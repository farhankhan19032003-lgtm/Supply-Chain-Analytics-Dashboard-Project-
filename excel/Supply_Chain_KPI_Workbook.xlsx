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KPI_Dashboard" sheetId="2" state="visible" r:id="rId2"/>
    <sheet xmlns:r="http://schemas.openxmlformats.org/officeDocument/2006/relationships" name="Config" sheetId="3" state="visible" r:id="rId3"/>
    <sheet xmlns:r="http://schemas.openxmlformats.org/officeDocument/2006/relationships" name="Stock_Snapshot" sheetId="4" state="visible" r:id="rId4"/>
    <sheet xmlns:r="http://schemas.openxmlformats.org/officeDocument/2006/relationships" name="Weekly_Trend" sheetId="5" state="visible" r:id="rId5"/>
    <sheet xmlns:r="http://schemas.openxmlformats.org/officeDocument/2006/relationships" name="Warehouse_Scorecard" sheetId="6" state="visible" r:id="rId6"/>
    <sheet xmlns:r="http://schemas.openxmlformats.org/officeDocument/2006/relationships" name="Supplier_Scorecard" sheetId="7" state="visible" r:id="rId7"/>
    <sheet xmlns:r="http://schemas.openxmlformats.org/officeDocument/2006/relationships" name="Deficit_Alerts" sheetId="8" state="visible" r:id="rId8"/>
    <sheet xmlns:r="http://schemas.openxmlformats.org/officeDocument/2006/relationships" name="Overdue_POs" sheetId="9" state="visible" r:id="rId9"/>
    <sheet xmlns:r="http://schemas.openxmlformats.org/officeDocument/2006/relationships" name="RCA_Stockouts" sheetId="10" state="visible" r:id="rId10"/>
    <sheet xmlns:r="http://schemas.openxmlformats.org/officeDocument/2006/relationships" name="Excess_Inventory" sheetId="11" state="visible" r:id="rId11"/>
    <sheet xmlns:r="http://schemas.openxmlformats.org/officeDocument/2006/relationships" name="Rebalance" sheetId="12" state="visible" r:id="rId12"/>
    <sheet xmlns:r="http://schemas.openxmlformats.org/officeDocument/2006/relationships" name="Asset_RCA" sheetId="13" state="visible" r:id="rId13"/>
  </sheets>
  <definedNames>
    <definedName name="_xlnm._FilterDatabase" localSheetId="3" hidden="1">'Stock_Snapshot'!$A$4:$P$1444</definedName>
    <definedName name="_xlnm._FilterDatabase" localSheetId="4" hidden="1">'Weekly_Trend'!$A$4:$G$108</definedName>
    <definedName name="_xlnm._FilterDatabase" localSheetId="5" hidden="1">'Warehouse_Scorecard'!$A$4:$P$16</definedName>
    <definedName name="_xlnm._FilterDatabase" localSheetId="6" hidden="1">'Supplier_Scorecard'!$A$4:$N$26</definedName>
    <definedName name="_xlnm._FilterDatabase" localSheetId="7" hidden="1">'Deficit_Alerts'!$A$4:$P$402</definedName>
    <definedName name="_xlnm._FilterDatabase" localSheetId="8" hidden="1">'Overdue_POs'!$A$4:$T$75</definedName>
    <definedName name="_xlnm._FilterDatabase" localSheetId="11" hidden="1">'Rebalance'!$A$4:$P$240</definedName>
    <definedName name="_xlnm._FilterDatabase" localSheetId="12" hidden="1">'Asset_RCA'!$A$21:$O$81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dd-mmm-yy"/>
    <numFmt numFmtId="166" formatCode="0.0%"/>
    <numFmt numFmtId="167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color rgb="000000FF"/>
      <sz val="10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3" borderId="0" applyAlignment="1" pivotButton="0" quotePrefix="0" xfId="0">
      <alignment vertical="top" wrapText="1"/>
    </xf>
    <xf numFmtId="3" fontId="5" fillId="0" borderId="0" pivotButton="0" quotePrefix="0" xfId="0"/>
    <xf numFmtId="166" fontId="5" fillId="0" borderId="0" pivotButton="0" quotePrefix="0" xfId="0"/>
    <xf numFmtId="10" fontId="5" fillId="0" borderId="0" pivotButton="0" quotePrefix="0" xfId="0"/>
    <xf numFmtId="0" fontId="3" fillId="2" borderId="0" applyAlignment="1" pivotButton="0" quotePrefix="0" xfId="0">
      <alignment horizontal="center" wrapText="1"/>
    </xf>
    <xf numFmtId="3" fontId="4" fillId="0" borderId="0" pivotButton="0" quotePrefix="0" xfId="0"/>
    <xf numFmtId="166" fontId="4" fillId="0" borderId="0" pivotButton="0" quotePrefix="0" xfId="0"/>
    <xf numFmtId="2" fontId="4" fillId="0" borderId="0" pivotButton="0" quotePrefix="0" xfId="0"/>
    <xf numFmtId="0" fontId="5" fillId="4" borderId="0" pivotButton="0" quotePrefix="0" xfId="0"/>
    <xf numFmtId="0" fontId="0" fillId="4" borderId="0" pivotButton="0" quotePrefix="0" xfId="0"/>
    <xf numFmtId="3" fontId="5" fillId="4" borderId="0" pivotButton="0" quotePrefix="0" xfId="0"/>
    <xf numFmtId="0" fontId="6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165" fontId="4" fillId="0" borderId="0" pivotButton="0" quotePrefix="0" xfId="0"/>
    <xf numFmtId="167" fontId="4" fillId="0" borderId="0" pivotButton="0" quotePrefix="0" xfId="0"/>
    <xf numFmtId="2" fontId="5" fillId="4" borderId="0" pivotButton="0" quotePrefix="0" xfId="0"/>
    <xf numFmtId="167" fontId="5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8CBAD"/>
          <bgColor rgb="00F8CBAD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E699"/>
          <bgColor rgb="00FFE699"/>
        </patternFill>
      </fill>
    </dxf>
    <dxf>
      <fill>
        <patternFill patternType="solid">
          <fgColor rgb="00C6E0B4"/>
          <bgColor rgb="00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value by warehouse (INR)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'KPI_Dashboard'!D19</f>
            </strRef>
          </tx>
          <spPr>
            <a:ln xmlns:a="http://schemas.openxmlformats.org/drawingml/2006/main">
              <a:prstDash val="solid"/>
            </a:ln>
          </spPr>
          <cat>
            <numRef>
              <f>'KPI_Dashboard'!$B$20:$B$31</f>
            </numRef>
          </cat>
          <val>
            <numRef>
              <f>'KPI_Dashboard'!$D$20:$D$31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#,##0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Weekly network fill rate</a:t>
            </a:r>
          </a:p>
        </rich>
      </tx>
    </title>
    <plotArea>
      <lineChart>
        <grouping val="standard"/>
        <ser>
          <idx val="0"/>
          <order val="0"/>
          <tx>
            <strRef>
              <f>'Weekly_Trend'!G4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'Weekly_Trend'!$A$5:$A$108</f>
            </numRef>
          </cat>
          <val>
            <numRef>
              <f>'Weekly_Trend'!$G$5:$G$108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-yy" sourceLinked="0"/>
        <majorTickMark val="none"/>
        <minorTickMark val="none"/>
        <crossAx val="100"/>
        <lblOffset val="100"/>
      </catAx>
      <valAx>
        <axId val="100"/>
        <scaling>
          <orientation val="minMax"/>
          <max val="1"/>
          <min val="0.9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35</row>
      <rowOff>0</rowOff>
    </from>
    <ext cx="576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35</row>
      <rowOff>0</rowOff>
    </from>
    <ext cx="576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8" customWidth="1" min="2" max="2"/>
    <col width="40" customWidth="1" min="3" max="3"/>
  </cols>
  <sheetData>
    <row r="1">
      <c r="A1" s="1" t="inlineStr">
        <is>
          <t>Supply Chain Analytics Platform - KPI Workbook</t>
        </is>
      </c>
    </row>
    <row r="2">
      <c r="A2" s="2" t="inlineStr">
        <is>
          <t>Nationwide (India) distribution network | 12 warehouses | 120 SKUs | 104 weeks | data as of week ending 2026-10-04</t>
        </is>
      </c>
    </row>
    <row r="4">
      <c r="A4" s="3" t="inlineStr">
        <is>
          <t>Sheet</t>
        </is>
      </c>
      <c r="B4" s="3" t="inlineStr">
        <is>
          <t>What it contains</t>
        </is>
      </c>
      <c r="C4" s="3" t="inlineStr">
        <is>
          <t>Source</t>
        </is>
      </c>
    </row>
    <row r="5">
      <c r="A5" s="4" t="inlineStr">
        <is>
          <t>KPI_Dashboard</t>
        </is>
      </c>
      <c r="B5" s="4" t="inlineStr">
        <is>
          <t>Headline KPIs, status counts by warehouse, two charts (all live formulas)</t>
        </is>
      </c>
      <c r="C5" s="4" t="inlineStr">
        <is>
          <t>Formulas on Stock_Snapshot / Weekly_Trend</t>
        </is>
      </c>
    </row>
    <row r="6">
      <c r="A6" s="4" t="inlineStr">
        <is>
          <t>Config</t>
        </is>
      </c>
      <c r="B6" s="4" t="inlineStr">
        <is>
          <t>Alert thresholds. Change a blue cell and every status in the workbook updates</t>
        </is>
      </c>
      <c r="C6" s="4" t="inlineStr">
        <is>
          <t>cfg_thresholds table</t>
        </is>
      </c>
    </row>
    <row r="7">
      <c r="A7" s="4" t="inlineStr">
        <is>
          <t>Stock_Snapshot</t>
        </is>
      </c>
      <c r="B7" s="4" t="inlineStr">
        <is>
          <t>Latest week, every SKU x warehouse: cover, status, value, margin at risk (formulas)</t>
        </is>
      </c>
      <c r="C7" s="4" t="inlineStr">
        <is>
          <t>vw_stock_status_latest</t>
        </is>
      </c>
    </row>
    <row r="8">
      <c r="A8" s="4" t="inlineStr">
        <is>
          <t>Weekly_Trend</t>
        </is>
      </c>
      <c r="B8" s="4" t="inlineStr">
        <is>
          <t>104-week demand, sales, lost sales, stock value, fill rate</t>
        </is>
      </c>
      <c r="C8" s="4" t="inlineStr">
        <is>
          <t>vw_inventory_enriched</t>
        </is>
      </c>
    </row>
    <row r="9">
      <c r="A9" s="4" t="inlineStr">
        <is>
          <t>Warehouse_Scorecard</t>
        </is>
      </c>
      <c r="B9" s="4" t="inlineStr">
        <is>
          <t>Fill rate, stock-out rate, turns, on-time inbound POs by warehouse</t>
        </is>
      </c>
      <c r="C9" s="4" t="inlineStr">
        <is>
          <t>sp_regional_kpis</t>
        </is>
      </c>
    </row>
    <row r="10">
      <c r="A10" s="4" t="inlineStr">
        <is>
          <t>Supplier_Scorecard</t>
        </is>
      </c>
      <c r="B10" s="4" t="inlineStr">
        <is>
          <t>On-time %, delay, quantity fill, overdue open POs by supplier</t>
        </is>
      </c>
      <c r="C10" s="4" t="inlineStr">
        <is>
          <t>vw_supplier_scorecard</t>
        </is>
      </c>
    </row>
    <row r="11">
      <c r="A11" s="4" t="inlineStr">
        <is>
          <t>Deficit_Alerts</t>
        </is>
      </c>
      <c r="B11" s="4" t="inlineStr">
        <is>
          <t>Every deficit line with inbound-PO risk and weekly margin at risk</t>
        </is>
      </c>
      <c r="C11" s="4" t="inlineStr">
        <is>
          <t>sp_stock_deficit_alerts</t>
        </is>
      </c>
    </row>
    <row r="12">
      <c r="A12" s="4" t="inlineStr">
        <is>
          <t>Overdue_POs</t>
        </is>
      </c>
      <c r="B12" s="4" t="inlineStr">
        <is>
          <t>Open purchase orders past their promise date, with stock exposure</t>
        </is>
      </c>
      <c r="C12" s="4" t="inlineStr">
        <is>
          <t>sp_pipeline_delay_alerts</t>
        </is>
      </c>
    </row>
    <row r="13">
      <c r="A13" s="4" t="inlineStr">
        <is>
          <t>RCA_Stockouts</t>
        </is>
      </c>
      <c r="B13" s="4" t="inlineStr">
        <is>
          <t>Why stock-outs happened: cause summary and warehouse x cause</t>
        </is>
      </c>
      <c r="C13" s="4" t="inlineStr">
        <is>
          <t>sp_stockout_root_cause</t>
        </is>
      </c>
    </row>
    <row r="14">
      <c r="A14" s="4" t="inlineStr">
        <is>
          <t>Excess_Inventory</t>
        </is>
      </c>
      <c r="B14" s="4" t="inlineStr">
        <is>
          <t>Excess / above-target stock, carrying cost, expiry risk</t>
        </is>
      </c>
      <c r="C14" s="4" t="inlineStr">
        <is>
          <t>sp_excess_inventory_waste</t>
        </is>
      </c>
    </row>
    <row r="15">
      <c r="A15" s="4" t="inlineStr">
        <is>
          <t>Rebalance</t>
        </is>
      </c>
      <c r="B15" s="4" t="inlineStr">
        <is>
          <t>Recommended stock transfers from surplus to deficit warehouses</t>
        </is>
      </c>
      <c r="C15" s="4" t="inlineStr">
        <is>
          <t>sp_regional_rebalance</t>
        </is>
      </c>
    </row>
    <row r="16">
      <c r="A16" s="4" t="inlineStr">
        <is>
          <t>Asset_RCA</t>
        </is>
      </c>
      <c r="B16" s="4" t="inlineStr">
        <is>
          <t>Idle, overstretched and ageing assets by warehouse</t>
        </is>
      </c>
      <c r="C16" s="4" t="inlineStr">
        <is>
          <t>sp_asset_waste_rca</t>
        </is>
      </c>
    </row>
    <row r="19">
      <c r="A19" s="5" t="inlineStr">
        <is>
          <t>IMPORTANT - about the data</t>
        </is>
      </c>
    </row>
    <row r="20">
      <c r="A20" s="6" t="inlineStr">
        <is>
          <t>All data is SIMULATED (generated by scripts/01_generate_data.py) to mirror a real Indian distribution network. Supplier names are fictional. Do not present these figures as results from a real employer.</t>
        </is>
      </c>
    </row>
    <row r="21"/>
    <row r="23">
      <c r="A23" s="2" t="inlineStr">
        <is>
          <t>Colour code: blue text = editable input; black = formula or pasted result.</t>
        </is>
      </c>
    </row>
  </sheetData>
  <mergeCells count="1">
    <mergeCell ref="A20:C2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selection activeCell="A1" sqref="A1"/>
    </sheetView>
  </sheetViews>
  <sheetFormatPr baseColWidth="8" defaultRowHeight="15"/>
  <cols>
    <col width="44" customWidth="1" min="1" max="1"/>
    <col width="18" customWidth="1" min="2" max="2"/>
    <col width="40" customWidth="1" min="3" max="3"/>
    <col width="16" customWidth="1" min="4" max="4"/>
    <col width="12" customWidth="1" min="5" max="5"/>
    <col width="11" customWidth="1" min="6" max="6"/>
    <col width="11" customWidth="1" min="7" max="7"/>
    <col width="9" customWidth="1" min="8" max="8"/>
    <col width="9" customWidth="1" min="9" max="9"/>
    <col width="12" customWidth="1" min="10" max="10"/>
    <col width="14" customWidth="1" min="11" max="11"/>
  </cols>
  <sheetData>
    <row r="1">
      <c r="A1" s="1" t="inlineStr">
        <is>
          <t>Network KPI dashboard</t>
        </is>
      </c>
    </row>
    <row r="2">
      <c r="A2" s="2" t="inlineStr">
        <is>
          <t>Live formulas on Stock_Snapshot, Weekly_Trend and the scorecards | as of 2026-10-04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Definition</t>
        </is>
      </c>
    </row>
    <row r="5">
      <c r="A5" s="4" t="inlineStr">
        <is>
          <t>Network stock value (INR)</t>
        </is>
      </c>
      <c r="B5" s="7">
        <f>SUM(Stock_Snapshot!$N$5:$N$1444)</f>
        <v/>
      </c>
      <c r="C5" s="2" t="inlineStr">
        <is>
          <t>Closing stock x unit cost, latest week</t>
        </is>
      </c>
    </row>
    <row r="6">
      <c r="A6" s="4" t="inlineStr">
        <is>
          <t>SKU x warehouse lines tracked</t>
        </is>
      </c>
      <c r="B6" s="7">
        <f>COUNTA(Stock_Snapshot!$D$5:$D$1444)</f>
        <v/>
      </c>
      <c r="C6" s="2" t="inlineStr"/>
    </row>
    <row r="7">
      <c r="A7" s="4" t="inlineStr">
        <is>
          <t>Lines in STOCKOUT</t>
        </is>
      </c>
      <c r="B7" s="7">
        <f>COUNTIF(Stock_Snapshot!$K$5:$K$1444,"STOCKOUT")</f>
        <v/>
      </c>
      <c r="C7" s="2" t="inlineStr">
        <is>
          <t>closing stock = 0 with demand</t>
        </is>
      </c>
    </row>
    <row r="8">
      <c r="A8" s="4" t="inlineStr">
        <is>
          <t>Lines CRITICAL</t>
        </is>
      </c>
      <c r="B8" s="7">
        <f>COUNTIF(Stock_Snapshot!$K$5:$K$1444,"CRITICAL")</f>
        <v/>
      </c>
      <c r="C8" s="2" t="inlineStr">
        <is>
          <t>cover below Config critical threshold</t>
        </is>
      </c>
    </row>
    <row r="9">
      <c r="A9" s="4" t="inlineStr">
        <is>
          <t>Lines LOW</t>
        </is>
      </c>
      <c r="B9" s="7">
        <f>COUNTIF(Stock_Snapshot!$K$5:$K$1444,"LOW")</f>
        <v/>
      </c>
      <c r="C9" s="2" t="inlineStr">
        <is>
          <t>cover below Config low threshold</t>
        </is>
      </c>
    </row>
    <row r="10">
      <c r="A10" s="4" t="inlineStr">
        <is>
          <t>Lines EXCESS</t>
        </is>
      </c>
      <c r="B10" s="7">
        <f>COUNTIF(Stock_Snapshot!$K$5:$K$1444,"EXCESS")</f>
        <v/>
      </c>
      <c r="C10" s="2" t="inlineStr">
        <is>
          <t>cover above Config excess threshold</t>
        </is>
      </c>
    </row>
    <row r="11">
      <c r="A11" s="4" t="inlineStr">
        <is>
          <t>Deficit lines as % of all lines</t>
        </is>
      </c>
      <c r="B11" s="8">
        <f>(B7+B8+B9)/B6</f>
        <v/>
      </c>
      <c r="C11" s="2" t="inlineStr">
        <is>
          <t>STOCKOUT + CRITICAL + LOW</t>
        </is>
      </c>
    </row>
    <row r="12">
      <c r="A12" s="4" t="inlineStr">
        <is>
          <t>Weekly margin at risk on deficit lines (INR)</t>
        </is>
      </c>
      <c r="B12" s="7">
        <f>SUMIFS(Stock_Snapshot!$O$5:$O$1444,Stock_Snapshot!$K$5:$K$1444,"STOCKOUT")+SUMIFS(Stock_Snapshot!$O$5:$O$1444,Stock_Snapshot!$K$5:$K$1444,"CRITICAL")+SUMIFS(Stock_Snapshot!$O$5:$O$1444,Stock_Snapshot!$K$5:$K$1444,"LOW")</f>
        <v/>
      </c>
      <c r="C12" s="2" t="inlineStr">
        <is>
          <t>avg weekly demand x unit margin</t>
        </is>
      </c>
    </row>
    <row r="13">
      <c r="A13" s="4" t="inlineStr">
        <is>
          <t>Network fill rate, 104 weeks</t>
        </is>
      </c>
      <c r="B13" s="9">
        <f>SUM(Weekly_Trend!$C$5:$C$108)/SUM(Weekly_Trend!$B$5:$B$108)</f>
        <v/>
      </c>
      <c r="C13" s="2" t="inlineStr">
        <is>
          <t>units sold / units demanded</t>
        </is>
      </c>
    </row>
    <row r="14">
      <c r="A14" s="4" t="inlineStr">
        <is>
          <t>Revenue lost to stock-outs, 104 weeks (INR)</t>
        </is>
      </c>
      <c r="B14" s="7">
        <f>SUM(Weekly_Trend!$F$5:$F$108)</f>
        <v/>
      </c>
      <c r="C14" s="2" t="inlineStr">
        <is>
          <t>lost units x selling price</t>
        </is>
      </c>
    </row>
    <row r="15">
      <c r="A15" s="4" t="inlineStr">
        <is>
          <t>Overdue open POs (&gt;= warn days)</t>
        </is>
      </c>
      <c r="B15" s="7">
        <f>COUNTA(Overdue_POs!$A$5:$A$75)</f>
        <v/>
      </c>
      <c r="C15" s="2" t="inlineStr">
        <is>
          <t>pipeline-delay alerts</t>
        </is>
      </c>
    </row>
    <row r="16">
      <c r="A16" s="4" t="inlineStr">
        <is>
          <t>Value of overdue open POs (INR)</t>
        </is>
      </c>
      <c r="B16" s="7">
        <f>SUM(Overdue_POs!$O$5:$O$75)</f>
        <v/>
      </c>
      <c r="C16" s="2" t="inlineStr">
        <is>
          <t>PO value of the above</t>
        </is>
      </c>
    </row>
    <row r="19" ht="30" customHeight="1">
      <c r="A19" s="10" t="inlineStr">
        <is>
          <t>warehouse_id</t>
        </is>
      </c>
      <c r="B19" s="10" t="inlineStr">
        <is>
          <t>warehouse_name</t>
        </is>
      </c>
      <c r="C19" s="10" t="inlineStr">
        <is>
          <t>region</t>
        </is>
      </c>
      <c r="D19" s="10" t="inlineStr">
        <is>
          <t>stock_value_inr</t>
        </is>
      </c>
      <c r="E19" s="10" t="inlineStr">
        <is>
          <t>pct_of_network_stock</t>
        </is>
      </c>
      <c r="F19" s="10" t="inlineStr">
        <is>
          <t>STOCKOUT</t>
        </is>
      </c>
      <c r="G19" s="10" t="inlineStr">
        <is>
          <t>CRITICAL</t>
        </is>
      </c>
      <c r="H19" s="10" t="inlineStr">
        <is>
          <t>LOW</t>
        </is>
      </c>
      <c r="I19" s="10" t="inlineStr">
        <is>
          <t>EXCESS</t>
        </is>
      </c>
      <c r="J19" s="10" t="inlineStr">
        <is>
          <t>deficit_lines_pct</t>
        </is>
      </c>
      <c r="K19" s="10" t="inlineStr">
        <is>
          <t>fill_rate_pct (104 wks)</t>
        </is>
      </c>
    </row>
    <row r="20">
      <c r="A20" s="4" t="inlineStr">
        <is>
          <t>WH01</t>
        </is>
      </c>
      <c r="B20" s="4" t="inlineStr">
        <is>
          <t>Gurugram DC</t>
        </is>
      </c>
      <c r="C20" s="4" t="inlineStr">
        <is>
          <t>North</t>
        </is>
      </c>
      <c r="D20" s="11">
        <f>SUMIFS(Stock_Snapshot!$N$5:$N$1444,Stock_Snapshot!$A$5:$A$1444,$A20)</f>
        <v/>
      </c>
      <c r="E20" s="12">
        <f>D20/$B$5</f>
        <v/>
      </c>
      <c r="F20" s="11">
        <f>COUNTIFS(Stock_Snapshot!$A$5:$A$1444,$A20,Stock_Snapshot!$K$5:$K$1444,"STOCKOUT")</f>
        <v/>
      </c>
      <c r="G20" s="11">
        <f>COUNTIFS(Stock_Snapshot!$A$5:$A$1444,$A20,Stock_Snapshot!$K$5:$K$1444,"CRITICAL")</f>
        <v/>
      </c>
      <c r="H20" s="11">
        <f>COUNTIFS(Stock_Snapshot!$A$5:$A$1444,$A20,Stock_Snapshot!$K$5:$K$1444,"LOW")</f>
        <v/>
      </c>
      <c r="I20" s="11">
        <f>COUNTIFS(Stock_Snapshot!$A$5:$A$1444,$A20,Stock_Snapshot!$K$5:$K$1444,"EXCESS")</f>
        <v/>
      </c>
      <c r="J20" s="12">
        <f>(F20+G20+H20)/COUNTIFS(Stock_Snapshot!$A$5:$A$1444,$A20)</f>
        <v/>
      </c>
      <c r="K20" s="13">
        <f>INDEX(Warehouse_Scorecard!$G$5:$G$16,MATCH($A20,Warehouse_Scorecard!$A$5:$A$16,0))</f>
        <v/>
      </c>
    </row>
    <row r="21">
      <c r="A21" s="4" t="inlineStr">
        <is>
          <t>WH02</t>
        </is>
      </c>
      <c r="B21" s="4" t="inlineStr">
        <is>
          <t>Jaipur DC</t>
        </is>
      </c>
      <c r="C21" s="4" t="inlineStr">
        <is>
          <t>North</t>
        </is>
      </c>
      <c r="D21" s="11">
        <f>SUMIFS(Stock_Snapshot!$N$5:$N$1444,Stock_Snapshot!$A$5:$A$1444,$A21)</f>
        <v/>
      </c>
      <c r="E21" s="12">
        <f>D21/$B$5</f>
        <v/>
      </c>
      <c r="F21" s="11">
        <f>COUNTIFS(Stock_Snapshot!$A$5:$A$1444,$A21,Stock_Snapshot!$K$5:$K$1444,"STOCKOUT")</f>
        <v/>
      </c>
      <c r="G21" s="11">
        <f>COUNTIFS(Stock_Snapshot!$A$5:$A$1444,$A21,Stock_Snapshot!$K$5:$K$1444,"CRITICAL")</f>
        <v/>
      </c>
      <c r="H21" s="11">
        <f>COUNTIFS(Stock_Snapshot!$A$5:$A$1444,$A21,Stock_Snapshot!$K$5:$K$1444,"LOW")</f>
        <v/>
      </c>
      <c r="I21" s="11">
        <f>COUNTIFS(Stock_Snapshot!$A$5:$A$1444,$A21,Stock_Snapshot!$K$5:$K$1444,"EXCESS")</f>
        <v/>
      </c>
      <c r="J21" s="12">
        <f>(F21+G21+H21)/COUNTIFS(Stock_Snapshot!$A$5:$A$1444,$A21)</f>
        <v/>
      </c>
      <c r="K21" s="13">
        <f>INDEX(Warehouse_Scorecard!$G$5:$G$16,MATCH($A21,Warehouse_Scorecard!$A$5:$A$16,0))</f>
        <v/>
      </c>
    </row>
    <row r="22">
      <c r="A22" s="4" t="inlineStr">
        <is>
          <t>WH03</t>
        </is>
      </c>
      <c r="B22" s="4" t="inlineStr">
        <is>
          <t>Lucknow DC</t>
        </is>
      </c>
      <c r="C22" s="4" t="inlineStr">
        <is>
          <t>North</t>
        </is>
      </c>
      <c r="D22" s="11">
        <f>SUMIFS(Stock_Snapshot!$N$5:$N$1444,Stock_Snapshot!$A$5:$A$1444,$A22)</f>
        <v/>
      </c>
      <c r="E22" s="12">
        <f>D22/$B$5</f>
        <v/>
      </c>
      <c r="F22" s="11">
        <f>COUNTIFS(Stock_Snapshot!$A$5:$A$1444,$A22,Stock_Snapshot!$K$5:$K$1444,"STOCKOUT")</f>
        <v/>
      </c>
      <c r="G22" s="11">
        <f>COUNTIFS(Stock_Snapshot!$A$5:$A$1444,$A22,Stock_Snapshot!$K$5:$K$1444,"CRITICAL")</f>
        <v/>
      </c>
      <c r="H22" s="11">
        <f>COUNTIFS(Stock_Snapshot!$A$5:$A$1444,$A22,Stock_Snapshot!$K$5:$K$1444,"LOW")</f>
        <v/>
      </c>
      <c r="I22" s="11">
        <f>COUNTIFS(Stock_Snapshot!$A$5:$A$1444,$A22,Stock_Snapshot!$K$5:$K$1444,"EXCESS")</f>
        <v/>
      </c>
      <c r="J22" s="12">
        <f>(F22+G22+H22)/COUNTIFS(Stock_Snapshot!$A$5:$A$1444,$A22)</f>
        <v/>
      </c>
      <c r="K22" s="13">
        <f>INDEX(Warehouse_Scorecard!$G$5:$G$16,MATCH($A22,Warehouse_Scorecard!$A$5:$A$16,0))</f>
        <v/>
      </c>
    </row>
    <row r="23">
      <c r="A23" s="4" t="inlineStr">
        <is>
          <t>WH04</t>
        </is>
      </c>
      <c r="B23" s="4" t="inlineStr">
        <is>
          <t>Bhiwandi DC</t>
        </is>
      </c>
      <c r="C23" s="4" t="inlineStr">
        <is>
          <t>West</t>
        </is>
      </c>
      <c r="D23" s="11">
        <f>SUMIFS(Stock_Snapshot!$N$5:$N$1444,Stock_Snapshot!$A$5:$A$1444,$A23)</f>
        <v/>
      </c>
      <c r="E23" s="12">
        <f>D23/$B$5</f>
        <v/>
      </c>
      <c r="F23" s="11">
        <f>COUNTIFS(Stock_Snapshot!$A$5:$A$1444,$A23,Stock_Snapshot!$K$5:$K$1444,"STOCKOUT")</f>
        <v/>
      </c>
      <c r="G23" s="11">
        <f>COUNTIFS(Stock_Snapshot!$A$5:$A$1444,$A23,Stock_Snapshot!$K$5:$K$1444,"CRITICAL")</f>
        <v/>
      </c>
      <c r="H23" s="11">
        <f>COUNTIFS(Stock_Snapshot!$A$5:$A$1444,$A23,Stock_Snapshot!$K$5:$K$1444,"LOW")</f>
        <v/>
      </c>
      <c r="I23" s="11">
        <f>COUNTIFS(Stock_Snapshot!$A$5:$A$1444,$A23,Stock_Snapshot!$K$5:$K$1444,"EXCESS")</f>
        <v/>
      </c>
      <c r="J23" s="12">
        <f>(F23+G23+H23)/COUNTIFS(Stock_Snapshot!$A$5:$A$1444,$A23)</f>
        <v/>
      </c>
      <c r="K23" s="13">
        <f>INDEX(Warehouse_Scorecard!$G$5:$G$16,MATCH($A23,Warehouse_Scorecard!$A$5:$A$16,0))</f>
        <v/>
      </c>
    </row>
    <row r="24">
      <c r="A24" s="4" t="inlineStr">
        <is>
          <t>WH05</t>
        </is>
      </c>
      <c r="B24" s="4" t="inlineStr">
        <is>
          <t>Pune DC</t>
        </is>
      </c>
      <c r="C24" s="4" t="inlineStr">
        <is>
          <t>West</t>
        </is>
      </c>
      <c r="D24" s="11">
        <f>SUMIFS(Stock_Snapshot!$N$5:$N$1444,Stock_Snapshot!$A$5:$A$1444,$A24)</f>
        <v/>
      </c>
      <c r="E24" s="12">
        <f>D24/$B$5</f>
        <v/>
      </c>
      <c r="F24" s="11">
        <f>COUNTIFS(Stock_Snapshot!$A$5:$A$1444,$A24,Stock_Snapshot!$K$5:$K$1444,"STOCKOUT")</f>
        <v/>
      </c>
      <c r="G24" s="11">
        <f>COUNTIFS(Stock_Snapshot!$A$5:$A$1444,$A24,Stock_Snapshot!$K$5:$K$1444,"CRITICAL")</f>
        <v/>
      </c>
      <c r="H24" s="11">
        <f>COUNTIFS(Stock_Snapshot!$A$5:$A$1444,$A24,Stock_Snapshot!$K$5:$K$1444,"LOW")</f>
        <v/>
      </c>
      <c r="I24" s="11">
        <f>COUNTIFS(Stock_Snapshot!$A$5:$A$1444,$A24,Stock_Snapshot!$K$5:$K$1444,"EXCESS")</f>
        <v/>
      </c>
      <c r="J24" s="12">
        <f>(F24+G24+H24)/COUNTIFS(Stock_Snapshot!$A$5:$A$1444,$A24)</f>
        <v/>
      </c>
      <c r="K24" s="13">
        <f>INDEX(Warehouse_Scorecard!$G$5:$G$16,MATCH($A24,Warehouse_Scorecard!$A$5:$A$16,0))</f>
        <v/>
      </c>
    </row>
    <row r="25">
      <c r="A25" s="4" t="inlineStr">
        <is>
          <t>WH06</t>
        </is>
      </c>
      <c r="B25" s="4" t="inlineStr">
        <is>
          <t>Ahmedabad DC</t>
        </is>
      </c>
      <c r="C25" s="4" t="inlineStr">
        <is>
          <t>West</t>
        </is>
      </c>
      <c r="D25" s="11">
        <f>SUMIFS(Stock_Snapshot!$N$5:$N$1444,Stock_Snapshot!$A$5:$A$1444,$A25)</f>
        <v/>
      </c>
      <c r="E25" s="12">
        <f>D25/$B$5</f>
        <v/>
      </c>
      <c r="F25" s="11">
        <f>COUNTIFS(Stock_Snapshot!$A$5:$A$1444,$A25,Stock_Snapshot!$K$5:$K$1444,"STOCKOUT")</f>
        <v/>
      </c>
      <c r="G25" s="11">
        <f>COUNTIFS(Stock_Snapshot!$A$5:$A$1444,$A25,Stock_Snapshot!$K$5:$K$1444,"CRITICAL")</f>
        <v/>
      </c>
      <c r="H25" s="11">
        <f>COUNTIFS(Stock_Snapshot!$A$5:$A$1444,$A25,Stock_Snapshot!$K$5:$K$1444,"LOW")</f>
        <v/>
      </c>
      <c r="I25" s="11">
        <f>COUNTIFS(Stock_Snapshot!$A$5:$A$1444,$A25,Stock_Snapshot!$K$5:$K$1444,"EXCESS")</f>
        <v/>
      </c>
      <c r="J25" s="12">
        <f>(F25+G25+H25)/COUNTIFS(Stock_Snapshot!$A$5:$A$1444,$A25)</f>
        <v/>
      </c>
      <c r="K25" s="13">
        <f>INDEX(Warehouse_Scorecard!$G$5:$G$16,MATCH($A25,Warehouse_Scorecard!$A$5:$A$16,0))</f>
        <v/>
      </c>
    </row>
    <row r="26">
      <c r="A26" s="4" t="inlineStr">
        <is>
          <t>WH07</t>
        </is>
      </c>
      <c r="B26" s="4" t="inlineStr">
        <is>
          <t>Bengaluru DC</t>
        </is>
      </c>
      <c r="C26" s="4" t="inlineStr">
        <is>
          <t>South</t>
        </is>
      </c>
      <c r="D26" s="11">
        <f>SUMIFS(Stock_Snapshot!$N$5:$N$1444,Stock_Snapshot!$A$5:$A$1444,$A26)</f>
        <v/>
      </c>
      <c r="E26" s="12">
        <f>D26/$B$5</f>
        <v/>
      </c>
      <c r="F26" s="11">
        <f>COUNTIFS(Stock_Snapshot!$A$5:$A$1444,$A26,Stock_Snapshot!$K$5:$K$1444,"STOCKOUT")</f>
        <v/>
      </c>
      <c r="G26" s="11">
        <f>COUNTIFS(Stock_Snapshot!$A$5:$A$1444,$A26,Stock_Snapshot!$K$5:$K$1444,"CRITICAL")</f>
        <v/>
      </c>
      <c r="H26" s="11">
        <f>COUNTIFS(Stock_Snapshot!$A$5:$A$1444,$A26,Stock_Snapshot!$K$5:$K$1444,"LOW")</f>
        <v/>
      </c>
      <c r="I26" s="11">
        <f>COUNTIFS(Stock_Snapshot!$A$5:$A$1444,$A26,Stock_Snapshot!$K$5:$K$1444,"EXCESS")</f>
        <v/>
      </c>
      <c r="J26" s="12">
        <f>(F26+G26+H26)/COUNTIFS(Stock_Snapshot!$A$5:$A$1444,$A26)</f>
        <v/>
      </c>
      <c r="K26" s="13">
        <f>INDEX(Warehouse_Scorecard!$G$5:$G$16,MATCH($A26,Warehouse_Scorecard!$A$5:$A$16,0))</f>
        <v/>
      </c>
    </row>
    <row r="27">
      <c r="A27" s="4" t="inlineStr">
        <is>
          <t>WH08</t>
        </is>
      </c>
      <c r="B27" s="4" t="inlineStr">
        <is>
          <t>Chennai DC</t>
        </is>
      </c>
      <c r="C27" s="4" t="inlineStr">
        <is>
          <t>South</t>
        </is>
      </c>
      <c r="D27" s="11">
        <f>SUMIFS(Stock_Snapshot!$N$5:$N$1444,Stock_Snapshot!$A$5:$A$1444,$A27)</f>
        <v/>
      </c>
      <c r="E27" s="12">
        <f>D27/$B$5</f>
        <v/>
      </c>
      <c r="F27" s="11">
        <f>COUNTIFS(Stock_Snapshot!$A$5:$A$1444,$A27,Stock_Snapshot!$K$5:$K$1444,"STOCKOUT")</f>
        <v/>
      </c>
      <c r="G27" s="11">
        <f>COUNTIFS(Stock_Snapshot!$A$5:$A$1444,$A27,Stock_Snapshot!$K$5:$K$1444,"CRITICAL")</f>
        <v/>
      </c>
      <c r="H27" s="11">
        <f>COUNTIFS(Stock_Snapshot!$A$5:$A$1444,$A27,Stock_Snapshot!$K$5:$K$1444,"LOW")</f>
        <v/>
      </c>
      <c r="I27" s="11">
        <f>COUNTIFS(Stock_Snapshot!$A$5:$A$1444,$A27,Stock_Snapshot!$K$5:$K$1444,"EXCESS")</f>
        <v/>
      </c>
      <c r="J27" s="12">
        <f>(F27+G27+H27)/COUNTIFS(Stock_Snapshot!$A$5:$A$1444,$A27)</f>
        <v/>
      </c>
      <c r="K27" s="13">
        <f>INDEX(Warehouse_Scorecard!$G$5:$G$16,MATCH($A27,Warehouse_Scorecard!$A$5:$A$16,0))</f>
        <v/>
      </c>
    </row>
    <row r="28">
      <c r="A28" s="4" t="inlineStr">
        <is>
          <t>WH09</t>
        </is>
      </c>
      <c r="B28" s="4" t="inlineStr">
        <is>
          <t>Hyderabad DC</t>
        </is>
      </c>
      <c r="C28" s="4" t="inlineStr">
        <is>
          <t>South</t>
        </is>
      </c>
      <c r="D28" s="11">
        <f>SUMIFS(Stock_Snapshot!$N$5:$N$1444,Stock_Snapshot!$A$5:$A$1444,$A28)</f>
        <v/>
      </c>
      <c r="E28" s="12">
        <f>D28/$B$5</f>
        <v/>
      </c>
      <c r="F28" s="11">
        <f>COUNTIFS(Stock_Snapshot!$A$5:$A$1444,$A28,Stock_Snapshot!$K$5:$K$1444,"STOCKOUT")</f>
        <v/>
      </c>
      <c r="G28" s="11">
        <f>COUNTIFS(Stock_Snapshot!$A$5:$A$1444,$A28,Stock_Snapshot!$K$5:$K$1444,"CRITICAL")</f>
        <v/>
      </c>
      <c r="H28" s="11">
        <f>COUNTIFS(Stock_Snapshot!$A$5:$A$1444,$A28,Stock_Snapshot!$K$5:$K$1444,"LOW")</f>
        <v/>
      </c>
      <c r="I28" s="11">
        <f>COUNTIFS(Stock_Snapshot!$A$5:$A$1444,$A28,Stock_Snapshot!$K$5:$K$1444,"EXCESS")</f>
        <v/>
      </c>
      <c r="J28" s="12">
        <f>(F28+G28+H28)/COUNTIFS(Stock_Snapshot!$A$5:$A$1444,$A28)</f>
        <v/>
      </c>
      <c r="K28" s="13">
        <f>INDEX(Warehouse_Scorecard!$G$5:$G$16,MATCH($A28,Warehouse_Scorecard!$A$5:$A$16,0))</f>
        <v/>
      </c>
    </row>
    <row r="29">
      <c r="A29" s="4" t="inlineStr">
        <is>
          <t>WH10</t>
        </is>
      </c>
      <c r="B29" s="4" t="inlineStr">
        <is>
          <t>Kolkata DC</t>
        </is>
      </c>
      <c r="C29" s="4" t="inlineStr">
        <is>
          <t>East</t>
        </is>
      </c>
      <c r="D29" s="11">
        <f>SUMIFS(Stock_Snapshot!$N$5:$N$1444,Stock_Snapshot!$A$5:$A$1444,$A29)</f>
        <v/>
      </c>
      <c r="E29" s="12">
        <f>D29/$B$5</f>
        <v/>
      </c>
      <c r="F29" s="11">
        <f>COUNTIFS(Stock_Snapshot!$A$5:$A$1444,$A29,Stock_Snapshot!$K$5:$K$1444,"STOCKOUT")</f>
        <v/>
      </c>
      <c r="G29" s="11">
        <f>COUNTIFS(Stock_Snapshot!$A$5:$A$1444,$A29,Stock_Snapshot!$K$5:$K$1444,"CRITICAL")</f>
        <v/>
      </c>
      <c r="H29" s="11">
        <f>COUNTIFS(Stock_Snapshot!$A$5:$A$1444,$A29,Stock_Snapshot!$K$5:$K$1444,"LOW")</f>
        <v/>
      </c>
      <c r="I29" s="11">
        <f>COUNTIFS(Stock_Snapshot!$A$5:$A$1444,$A29,Stock_Snapshot!$K$5:$K$1444,"EXCESS")</f>
        <v/>
      </c>
      <c r="J29" s="12">
        <f>(F29+G29+H29)/COUNTIFS(Stock_Snapshot!$A$5:$A$1444,$A29)</f>
        <v/>
      </c>
      <c r="K29" s="13">
        <f>INDEX(Warehouse_Scorecard!$G$5:$G$16,MATCH($A29,Warehouse_Scorecard!$A$5:$A$16,0))</f>
        <v/>
      </c>
    </row>
    <row r="30">
      <c r="A30" s="4" t="inlineStr">
        <is>
          <t>WH11</t>
        </is>
      </c>
      <c r="B30" s="4" t="inlineStr">
        <is>
          <t>Guwahati DC</t>
        </is>
      </c>
      <c r="C30" s="4" t="inlineStr">
        <is>
          <t>East</t>
        </is>
      </c>
      <c r="D30" s="11">
        <f>SUMIFS(Stock_Snapshot!$N$5:$N$1444,Stock_Snapshot!$A$5:$A$1444,$A30)</f>
        <v/>
      </c>
      <c r="E30" s="12">
        <f>D30/$B$5</f>
        <v/>
      </c>
      <c r="F30" s="11">
        <f>COUNTIFS(Stock_Snapshot!$A$5:$A$1444,$A30,Stock_Snapshot!$K$5:$K$1444,"STOCKOUT")</f>
        <v/>
      </c>
      <c r="G30" s="11">
        <f>COUNTIFS(Stock_Snapshot!$A$5:$A$1444,$A30,Stock_Snapshot!$K$5:$K$1444,"CRITICAL")</f>
        <v/>
      </c>
      <c r="H30" s="11">
        <f>COUNTIFS(Stock_Snapshot!$A$5:$A$1444,$A30,Stock_Snapshot!$K$5:$K$1444,"LOW")</f>
        <v/>
      </c>
      <c r="I30" s="11">
        <f>COUNTIFS(Stock_Snapshot!$A$5:$A$1444,$A30,Stock_Snapshot!$K$5:$K$1444,"EXCESS")</f>
        <v/>
      </c>
      <c r="J30" s="12">
        <f>(F30+G30+H30)/COUNTIFS(Stock_Snapshot!$A$5:$A$1444,$A30)</f>
        <v/>
      </c>
      <c r="K30" s="13">
        <f>INDEX(Warehouse_Scorecard!$G$5:$G$16,MATCH($A30,Warehouse_Scorecard!$A$5:$A$16,0))</f>
        <v/>
      </c>
    </row>
    <row r="31">
      <c r="A31" s="4" t="inlineStr">
        <is>
          <t>WH12</t>
        </is>
      </c>
      <c r="B31" s="4" t="inlineStr">
        <is>
          <t>Nagpur DC</t>
        </is>
      </c>
      <c r="C31" s="4" t="inlineStr">
        <is>
          <t>Central</t>
        </is>
      </c>
      <c r="D31" s="11">
        <f>SUMIFS(Stock_Snapshot!$N$5:$N$1444,Stock_Snapshot!$A$5:$A$1444,$A31)</f>
        <v/>
      </c>
      <c r="E31" s="12">
        <f>D31/$B$5</f>
        <v/>
      </c>
      <c r="F31" s="11">
        <f>COUNTIFS(Stock_Snapshot!$A$5:$A$1444,$A31,Stock_Snapshot!$K$5:$K$1444,"STOCKOUT")</f>
        <v/>
      </c>
      <c r="G31" s="11">
        <f>COUNTIFS(Stock_Snapshot!$A$5:$A$1444,$A31,Stock_Snapshot!$K$5:$K$1444,"CRITICAL")</f>
        <v/>
      </c>
      <c r="H31" s="11">
        <f>COUNTIFS(Stock_Snapshot!$A$5:$A$1444,$A31,Stock_Snapshot!$K$5:$K$1444,"LOW")</f>
        <v/>
      </c>
      <c r="I31" s="11">
        <f>COUNTIFS(Stock_Snapshot!$A$5:$A$1444,$A31,Stock_Snapshot!$K$5:$K$1444,"EXCESS")</f>
        <v/>
      </c>
      <c r="J31" s="12">
        <f>(F31+G31+H31)/COUNTIFS(Stock_Snapshot!$A$5:$A$1444,$A31)</f>
        <v/>
      </c>
      <c r="K31" s="13">
        <f>INDEX(Warehouse_Scorecard!$G$5:$G$16,MATCH($A31,Warehouse_Scorecard!$A$5:$A$16,0))</f>
        <v/>
      </c>
    </row>
    <row r="32">
      <c r="A32" s="14" t="inlineStr">
        <is>
          <t>NETWORK</t>
        </is>
      </c>
      <c r="B32" s="15" t="n"/>
      <c r="C32" s="15" t="n"/>
      <c r="D32" s="16">
        <f>SUM(D20:D31)</f>
        <v/>
      </c>
      <c r="E32" s="15" t="n"/>
      <c r="F32" s="16">
        <f>SUM(F20:F31)</f>
        <v/>
      </c>
      <c r="G32" s="16">
        <f>SUM(G20:G31)</f>
        <v/>
      </c>
      <c r="H32" s="16">
        <f>SUM(H20:H31)</f>
        <v/>
      </c>
      <c r="I32" s="16">
        <f>SUM(I20:I31)</f>
        <v/>
      </c>
      <c r="J32" s="15" t="n"/>
      <c r="K32" s="15" t="n"/>
    </row>
    <row r="34">
      <c r="A34" s="2" t="inlineStr">
        <is>
          <t>Red = more than 30% of the warehouse's SKU lines are in deficit.  Blue = holds more than 20% of all network stock value.</t>
        </is>
      </c>
    </row>
  </sheetData>
  <conditionalFormatting sqref="J20:J31">
    <cfRule type="cellIs" priority="1" operator="greaterThan" dxfId="0">
      <formula>0.3</formula>
    </cfRule>
  </conditionalFormatting>
  <conditionalFormatting sqref="E20:E31">
    <cfRule type="cellIs" priority="2" operator="greaterThan" dxfId="1">
      <formula>0.2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80" customWidth="1" min="3" max="3"/>
  </cols>
  <sheetData>
    <row r="1">
      <c r="A1" s="1" t="inlineStr">
        <is>
          <t>Alert thresholds</t>
        </is>
      </c>
    </row>
    <row r="2">
      <c r="A2" s="2" t="inlineStr">
        <is>
          <t>Blue cells are inputs. Stock_Snapshot status formulas read rows 5-7.</t>
        </is>
      </c>
    </row>
    <row r="4">
      <c r="A4" s="3" t="inlineStr">
        <is>
          <t>Parameter</t>
        </is>
      </c>
      <c r="B4" s="3" t="inlineStr">
        <is>
          <t>Value</t>
        </is>
      </c>
      <c r="C4" s="3" t="inlineStr">
        <is>
          <t>Description</t>
        </is>
      </c>
    </row>
    <row r="5">
      <c r="A5" s="4" t="inlineStr">
        <is>
          <t>critical_cover_weeks</t>
        </is>
      </c>
      <c r="B5" s="17" t="n">
        <v>0.5</v>
      </c>
      <c r="C5" s="4" t="inlineStr">
        <is>
          <t>Closing stock below this many weeks of demand = CRITICAL</t>
        </is>
      </c>
    </row>
    <row r="6">
      <c r="A6" s="4" t="inlineStr">
        <is>
          <t>low_cover_weeks</t>
        </is>
      </c>
      <c r="B6" s="17" t="n">
        <v>1.5</v>
      </c>
      <c r="C6" s="4" t="inlineStr">
        <is>
          <t>Below this = LOW (deficit risk)</t>
        </is>
      </c>
    </row>
    <row r="7">
      <c r="A7" s="4" t="inlineStr">
        <is>
          <t>excess_cover_weeks</t>
        </is>
      </c>
      <c r="B7" s="17" t="n">
        <v>8</v>
      </c>
      <c r="C7" s="4" t="inlineStr">
        <is>
          <t>Above this = EXCESS</t>
        </is>
      </c>
    </row>
    <row r="8">
      <c r="A8" s="4" t="inlineStr">
        <is>
          <t>obsolete_cover_weeks</t>
        </is>
      </c>
      <c r="B8" s="17" t="n">
        <v>20</v>
      </c>
      <c r="C8" s="4" t="inlineStr">
        <is>
          <t>Cover above this many weeks = slow-moving / obsolescence risk</t>
        </is>
      </c>
    </row>
    <row r="9">
      <c r="A9" s="4" t="inlineStr">
        <is>
          <t>expiry_cover_share</t>
        </is>
      </c>
      <c r="B9" s="17" t="n">
        <v>0.5</v>
      </c>
      <c r="C9" s="4" t="inlineStr">
        <is>
          <t>Cover (days) above this share of shelf life = expiry risk</t>
        </is>
      </c>
    </row>
    <row r="10">
      <c r="A10" s="4" t="inlineStr">
        <is>
          <t>holding_cost_pct_annual</t>
        </is>
      </c>
      <c r="B10" s="17" t="n">
        <v>0.22</v>
      </c>
      <c r="C10" s="4" t="inlineStr">
        <is>
          <t>Annual inventory carrying cost as a fraction of stock value</t>
        </is>
      </c>
    </row>
    <row r="11">
      <c r="A11" s="4" t="inlineStr">
        <is>
          <t>overdue_warn_days</t>
        </is>
      </c>
      <c r="B11" s="17" t="n">
        <v>3</v>
      </c>
      <c r="C11" s="4" t="inlineStr">
        <is>
          <t>Open PO this many days past promise = WARNING</t>
        </is>
      </c>
    </row>
    <row r="12">
      <c r="A12" s="4" t="inlineStr">
        <is>
          <t>overdue_critical_days</t>
        </is>
      </c>
      <c r="B12" s="17" t="n">
        <v>7</v>
      </c>
      <c r="C12" s="4" t="inlineStr">
        <is>
          <t>Open PO this many days past promise = CRITICAL</t>
        </is>
      </c>
    </row>
    <row r="13">
      <c r="A13" s="4" t="inlineStr">
        <is>
          <t>operator_idle_share</t>
        </is>
      </c>
      <c r="B13" s="17" t="n">
        <v>0.25</v>
      </c>
      <c r="C13" s="4" t="inlineStr">
        <is>
          <t>Share of operator cost wasted while an asset sits idle</t>
        </is>
      </c>
    </row>
    <row r="14">
      <c r="A14" s="4" t="inlineStr">
        <is>
          <t>asset_idle_flag_pct</t>
        </is>
      </c>
      <c r="B14" s="17" t="n">
        <v>0.4</v>
      </c>
      <c r="C14" s="4" t="inlineStr">
        <is>
          <t>Idle hours / scheduled hours above this = over-provisioned</t>
        </is>
      </c>
    </row>
    <row r="15">
      <c r="A15" s="4" t="inlineStr">
        <is>
          <t>asset_downtime_flag_pct</t>
        </is>
      </c>
      <c r="B15" s="17" t="n">
        <v>0.07000000000000001</v>
      </c>
      <c r="C15" s="4" t="inlineStr">
        <is>
          <t>Downtime hours / scheduled hours above this = reliability problem</t>
        </is>
      </c>
    </row>
    <row r="16">
      <c r="A16" s="4" t="inlineStr">
        <is>
          <t>asset_overstretch_util</t>
        </is>
      </c>
      <c r="B16" s="17" t="n">
        <v>0.9</v>
      </c>
      <c r="C16" s="4" t="inlineStr">
        <is>
          <t>Run hours / scheduled hours above this = under-provisioned</t>
        </is>
      </c>
    </row>
    <row r="17">
      <c r="A17" s="4" t="inlineStr">
        <is>
          <t>asset_target_util</t>
        </is>
      </c>
      <c r="B17" s="17" t="n">
        <v>0.7</v>
      </c>
      <c r="C17" s="4" t="inlineStr">
        <is>
          <t>Target run-hour utilisation used to size the fleet</t>
        </is>
      </c>
    </row>
    <row r="18">
      <c r="A18" s="4" t="inlineStr">
        <is>
          <t>rebalance_keep_weeks</t>
        </is>
      </c>
      <c r="B18" s="17" t="n">
        <v>4</v>
      </c>
      <c r="C18" s="4" t="inlineStr">
        <is>
          <t>Donor warehouses keep this many weeks of cover when transferring out</t>
        </is>
      </c>
    </row>
    <row r="19">
      <c r="A19" s="4" t="inlineStr">
        <is>
          <t>rebalance_target_weeks</t>
        </is>
      </c>
      <c r="B19" s="17" t="n">
        <v>3</v>
      </c>
      <c r="C19" s="4" t="inlineStr">
        <is>
          <t>Receiving warehouses are topped up to this many weeks of cover</t>
        </is>
      </c>
    </row>
    <row r="20">
      <c r="A20" s="4" t="inlineStr">
        <is>
          <t>transfer_cost_same_region_per_unit</t>
        </is>
      </c>
      <c r="B20" s="17" t="n">
        <v>2.5</v>
      </c>
      <c r="C20" s="4" t="inlineStr">
        <is>
          <t>Indicative freight INR/unit, same region</t>
        </is>
      </c>
    </row>
    <row r="21">
      <c r="A21" s="4" t="inlineStr">
        <is>
          <t>transfer_cost_cross_region_per_unit</t>
        </is>
      </c>
      <c r="B21" s="17" t="n">
        <v>6</v>
      </c>
      <c r="C21" s="4" t="inlineStr">
        <is>
          <t>Indicative freight INR/unit, cross region</t>
        </is>
      </c>
    </row>
    <row r="22">
      <c r="A22" s="4" t="inlineStr">
        <is>
          <t>capacity_warn_util</t>
        </is>
      </c>
      <c r="B22" s="17" t="n">
        <v>0.8</v>
      </c>
      <c r="C22" s="4" t="inlineStr">
        <is>
          <t>Warehouse storage utilisation warning level</t>
        </is>
      </c>
    </row>
    <row r="23">
      <c r="A23" s="4" t="inlineStr">
        <is>
          <t>capacity_critical_util</t>
        </is>
      </c>
      <c r="B23" s="17" t="n">
        <v>0.9</v>
      </c>
      <c r="C23" s="4" t="inlineStr">
        <is>
          <t>Warehouse storage utilisation critical level</t>
        </is>
      </c>
    </row>
    <row r="25">
      <c r="A25" s="2" t="inlineStr">
        <is>
          <t>Source: project assumptions (typical FMCG DC cover norms); holding cost 22% p.a. is an assumed carrying-cost rate.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444"/>
  <sheetViews>
    <sheetView showGridLines="0"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9" customWidth="1" min="3" max="3"/>
    <col width="9" customWidth="1" min="4" max="4"/>
    <col width="26" customWidth="1" min="5" max="5"/>
    <col width="24" customWidth="1" min="6" max="6"/>
    <col width="7" customWidth="1" min="7" max="7"/>
    <col width="11" customWidth="1" min="8" max="8"/>
    <col width="11" customWidth="1" min="9" max="9"/>
    <col width="10" customWidth="1" min="10" max="10"/>
    <col width="12" customWidth="1" min="11" max="11"/>
    <col width="11" customWidth="1" min="12" max="12"/>
    <col width="11" customWidth="1" min="13" max="13"/>
    <col width="13" customWidth="1" min="14" max="14"/>
    <col width="14" customWidth="1" min="15" max="15"/>
    <col width="11" customWidth="1" min="16" max="16"/>
  </cols>
  <sheetData>
    <row r="1">
      <c r="A1" s="1" t="inlineStr">
        <is>
          <t>Stock snapshot - latest week</t>
        </is>
      </c>
    </row>
    <row r="2">
      <c r="A2" s="2" t="inlineStr">
        <is>
          <t>Week ending 2026-10-04. Cover, status, value and margin-at-risk are formulas driven by the Config sheet.</t>
        </is>
      </c>
    </row>
    <row r="4" ht="30" customHeight="1">
      <c r="A4" s="10" t="inlineStr">
        <is>
          <t>warehouse_id</t>
        </is>
      </c>
      <c r="B4" s="10" t="inlineStr">
        <is>
          <t>warehouse_name</t>
        </is>
      </c>
      <c r="C4" s="10" t="inlineStr">
        <is>
          <t>region</t>
        </is>
      </c>
      <c r="D4" s="10" t="inlineStr">
        <is>
          <t>sku_id</t>
        </is>
      </c>
      <c r="E4" s="10" t="inlineStr">
        <is>
          <t>sku_name</t>
        </is>
      </c>
      <c r="F4" s="10" t="inlineStr">
        <is>
          <t>category</t>
        </is>
      </c>
      <c r="G4" s="10" t="inlineStr">
        <is>
          <t>abc_class</t>
        </is>
      </c>
      <c r="H4" s="10" t="inlineStr">
        <is>
          <t>closing_stock</t>
        </is>
      </c>
      <c r="I4" s="10" t="inlineStr">
        <is>
          <t>avg_demand_4w</t>
        </is>
      </c>
      <c r="J4" s="10" t="inlineStr">
        <is>
          <t>weeks_of_cover</t>
        </is>
      </c>
      <c r="K4" s="10" t="inlineStr">
        <is>
          <t>stock_status</t>
        </is>
      </c>
      <c r="L4" s="10" t="inlineStr">
        <is>
          <t>unit_cost_inr</t>
        </is>
      </c>
      <c r="M4" s="10" t="inlineStr">
        <is>
          <t>unit_price_inr</t>
        </is>
      </c>
      <c r="N4" s="10" t="inlineStr">
        <is>
          <t>stock_value_inr</t>
        </is>
      </c>
      <c r="O4" s="10" t="inlineStr">
        <is>
          <t>weekly_margin_at_risk_inr</t>
        </is>
      </c>
      <c r="P4" s="10" t="inlineStr">
        <is>
          <t>on_order_units</t>
        </is>
      </c>
    </row>
    <row r="5">
      <c r="A5" s="4" t="inlineStr">
        <is>
          <t>WH01</t>
        </is>
      </c>
      <c r="B5" s="4" t="inlineStr">
        <is>
          <t>Gurugram DC</t>
        </is>
      </c>
      <c r="C5" s="4" t="inlineStr">
        <is>
          <t>North</t>
        </is>
      </c>
      <c r="D5" s="4" t="inlineStr">
        <is>
          <t>SKU001</t>
        </is>
      </c>
      <c r="E5" s="4" t="inlineStr">
        <is>
          <t>Atta 5kg</t>
        </is>
      </c>
      <c r="F5" s="4" t="inlineStr">
        <is>
          <t>Packaged Staples</t>
        </is>
      </c>
      <c r="G5" s="4" t="inlineStr">
        <is>
          <t>A</t>
        </is>
      </c>
      <c r="H5" s="11" t="n">
        <v>7471</v>
      </c>
      <c r="I5" s="4" t="n">
        <v>1058.5</v>
      </c>
      <c r="J5" s="13">
        <f>IF(I5&gt;0,H5/I5,"")</f>
        <v/>
      </c>
      <c r="K5" s="4">
        <f>IF(I5&lt;=0,"NO DEMAND",IF(H5=0,"STOCKOUT",IF(J5&lt;Config!$B$5,"CRITICAL",IF(J5&lt;Config!$B$6,"LOW",IF(J5&gt;Config!$B$7,"EXCESS","HEALTHY")))))</f>
        <v/>
      </c>
      <c r="L5" s="11" t="n">
        <v>152</v>
      </c>
      <c r="M5" s="11" t="n">
        <v>168</v>
      </c>
      <c r="N5" s="11">
        <f>H5*L5</f>
        <v/>
      </c>
      <c r="O5" s="11">
        <f>IF(I5&gt;0,I5*(M5-L5),0)</f>
        <v/>
      </c>
      <c r="P5" s="11" t="n">
        <v>0</v>
      </c>
    </row>
    <row r="6">
      <c r="A6" s="4" t="inlineStr">
        <is>
          <t>WH01</t>
        </is>
      </c>
      <c r="B6" s="4" t="inlineStr">
        <is>
          <t>Gurugram DC</t>
        </is>
      </c>
      <c r="C6" s="4" t="inlineStr">
        <is>
          <t>North</t>
        </is>
      </c>
      <c r="D6" s="4" t="inlineStr">
        <is>
          <t>SKU002</t>
        </is>
      </c>
      <c r="E6" s="4" t="inlineStr">
        <is>
          <t>Basmati Rice 5kg</t>
        </is>
      </c>
      <c r="F6" s="4" t="inlineStr">
        <is>
          <t>Packaged Staples</t>
        </is>
      </c>
      <c r="G6" s="4" t="inlineStr">
        <is>
          <t>B</t>
        </is>
      </c>
      <c r="H6" s="11" t="n">
        <v>9135</v>
      </c>
      <c r="I6" s="4" t="n">
        <v>1549.25</v>
      </c>
      <c r="J6" s="13">
        <f>IF(I6&gt;0,H6/I6,"")</f>
        <v/>
      </c>
      <c r="K6" s="4">
        <f>IF(I6&lt;=0,"NO DEMAND",IF(H6=0,"STOCKOUT",IF(J6&lt;Config!$B$5,"CRITICAL",IF(J6&lt;Config!$B$6,"LOW",IF(J6&gt;Config!$B$7,"EXCESS","HEALTHY")))))</f>
        <v/>
      </c>
      <c r="L6" s="11" t="n">
        <v>59</v>
      </c>
      <c r="M6" s="11" t="n">
        <v>66</v>
      </c>
      <c r="N6" s="11">
        <f>H6*L6</f>
        <v/>
      </c>
      <c r="O6" s="11">
        <f>IF(I6&gt;0,I6*(M6-L6),0)</f>
        <v/>
      </c>
      <c r="P6" s="11" t="n">
        <v>0</v>
      </c>
    </row>
    <row r="7">
      <c r="A7" s="4" t="inlineStr">
        <is>
          <t>WH01</t>
        </is>
      </c>
      <c r="B7" s="4" t="inlineStr">
        <is>
          <t>Gurugram DC</t>
        </is>
      </c>
      <c r="C7" s="4" t="inlineStr">
        <is>
          <t>North</t>
        </is>
      </c>
      <c r="D7" s="4" t="inlineStr">
        <is>
          <t>SKU003</t>
        </is>
      </c>
      <c r="E7" s="4" t="inlineStr">
        <is>
          <t>Toor Dal 1kg</t>
        </is>
      </c>
      <c r="F7" s="4" t="inlineStr">
        <is>
          <t>Packaged Staples</t>
        </is>
      </c>
      <c r="G7" s="4" t="inlineStr">
        <is>
          <t>A</t>
        </is>
      </c>
      <c r="H7" s="11" t="n">
        <v>16645</v>
      </c>
      <c r="I7" s="4" t="n">
        <v>2014</v>
      </c>
      <c r="J7" s="13">
        <f>IF(I7&gt;0,H7/I7,"")</f>
        <v/>
      </c>
      <c r="K7" s="4">
        <f>IF(I7&lt;=0,"NO DEMAND",IF(H7=0,"STOCKOUT",IF(J7&lt;Config!$B$5,"CRITICAL",IF(J7&lt;Config!$B$6,"LOW",IF(J7&gt;Config!$B$7,"EXCESS","HEALTHY")))))</f>
        <v/>
      </c>
      <c r="L7" s="11" t="n">
        <v>61</v>
      </c>
      <c r="M7" s="11" t="n">
        <v>69</v>
      </c>
      <c r="N7" s="11">
        <f>H7*L7</f>
        <v/>
      </c>
      <c r="O7" s="11">
        <f>IF(I7&gt;0,I7*(M7-L7),0)</f>
        <v/>
      </c>
      <c r="P7" s="11" t="n">
        <v>0</v>
      </c>
    </row>
    <row r="8">
      <c r="A8" s="4" t="inlineStr">
        <is>
          <t>WH01</t>
        </is>
      </c>
      <c r="B8" s="4" t="inlineStr">
        <is>
          <t>Gurugram DC</t>
        </is>
      </c>
      <c r="C8" s="4" t="inlineStr">
        <is>
          <t>North</t>
        </is>
      </c>
      <c r="D8" s="4" t="inlineStr">
        <is>
          <t>SKU004</t>
        </is>
      </c>
      <c r="E8" s="4" t="inlineStr">
        <is>
          <t>Moong Dal 1kg</t>
        </is>
      </c>
      <c r="F8" s="4" t="inlineStr">
        <is>
          <t>Packaged Staples</t>
        </is>
      </c>
      <c r="G8" s="4" t="inlineStr">
        <is>
          <t>B</t>
        </is>
      </c>
      <c r="H8" s="11" t="n">
        <v>12370</v>
      </c>
      <c r="I8" s="4" t="n">
        <v>1470.5</v>
      </c>
      <c r="J8" s="13">
        <f>IF(I8&gt;0,H8/I8,"")</f>
        <v/>
      </c>
      <c r="K8" s="4">
        <f>IF(I8&lt;=0,"NO DEMAND",IF(H8=0,"STOCKOUT",IF(J8&lt;Config!$B$5,"CRITICAL",IF(J8&lt;Config!$B$6,"LOW",IF(J8&gt;Config!$B$7,"EXCESS","HEALTHY")))))</f>
        <v/>
      </c>
      <c r="L8" s="11" t="n">
        <v>80</v>
      </c>
      <c r="M8" s="11" t="n">
        <v>91</v>
      </c>
      <c r="N8" s="11">
        <f>H8*L8</f>
        <v/>
      </c>
      <c r="O8" s="11">
        <f>IF(I8&gt;0,I8*(M8-L8),0)</f>
        <v/>
      </c>
      <c r="P8" s="11" t="n">
        <v>0</v>
      </c>
    </row>
    <row r="9">
      <c r="A9" s="4" t="inlineStr">
        <is>
          <t>WH01</t>
        </is>
      </c>
      <c r="B9" s="4" t="inlineStr">
        <is>
          <t>Gurugram DC</t>
        </is>
      </c>
      <c r="C9" s="4" t="inlineStr">
        <is>
          <t>North</t>
        </is>
      </c>
      <c r="D9" s="4" t="inlineStr">
        <is>
          <t>SKU005</t>
        </is>
      </c>
      <c r="E9" s="4" t="inlineStr">
        <is>
          <t>Sunflower Oil 1L</t>
        </is>
      </c>
      <c r="F9" s="4" t="inlineStr">
        <is>
          <t>Packaged Staples</t>
        </is>
      </c>
      <c r="G9" s="4" t="inlineStr">
        <is>
          <t>A</t>
        </is>
      </c>
      <c r="H9" s="11" t="n">
        <v>11351</v>
      </c>
      <c r="I9" s="4" t="n">
        <v>1755</v>
      </c>
      <c r="J9" s="13">
        <f>IF(I9&gt;0,H9/I9,"")</f>
        <v/>
      </c>
      <c r="K9" s="4">
        <f>IF(I9&lt;=0,"NO DEMAND",IF(H9=0,"STOCKOUT",IF(J9&lt;Config!$B$5,"CRITICAL",IF(J9&lt;Config!$B$6,"LOW",IF(J9&gt;Config!$B$7,"EXCESS","HEALTHY")))))</f>
        <v/>
      </c>
      <c r="L9" s="11" t="n">
        <v>245</v>
      </c>
      <c r="M9" s="11" t="n">
        <v>273</v>
      </c>
      <c r="N9" s="11">
        <f>H9*L9</f>
        <v/>
      </c>
      <c r="O9" s="11">
        <f>IF(I9&gt;0,I9*(M9-L9),0)</f>
        <v/>
      </c>
      <c r="P9" s="11" t="n">
        <v>0</v>
      </c>
    </row>
    <row r="10">
      <c r="A10" s="4" t="inlineStr">
        <is>
          <t>WH01</t>
        </is>
      </c>
      <c r="B10" s="4" t="inlineStr">
        <is>
          <t>Gurugram DC</t>
        </is>
      </c>
      <c r="C10" s="4" t="inlineStr">
        <is>
          <t>North</t>
        </is>
      </c>
      <c r="D10" s="4" t="inlineStr">
        <is>
          <t>SKU006</t>
        </is>
      </c>
      <c r="E10" s="4" t="inlineStr">
        <is>
          <t>Mustard Oil 1L</t>
        </is>
      </c>
      <c r="F10" s="4" t="inlineStr">
        <is>
          <t>Packaged Staples</t>
        </is>
      </c>
      <c r="G10" s="4" t="inlineStr">
        <is>
          <t>B</t>
        </is>
      </c>
      <c r="H10" s="11" t="n">
        <v>3377</v>
      </c>
      <c r="I10" s="4" t="n">
        <v>636.25</v>
      </c>
      <c r="J10" s="13">
        <f>IF(I10&gt;0,H10/I10,"")</f>
        <v/>
      </c>
      <c r="K10" s="4">
        <f>IF(I10&lt;=0,"NO DEMAND",IF(H10=0,"STOCKOUT",IF(J10&lt;Config!$B$5,"CRITICAL",IF(J10&lt;Config!$B$6,"LOW",IF(J10&gt;Config!$B$7,"EXCESS","HEALTHY")))))</f>
        <v/>
      </c>
      <c r="L10" s="11" t="n">
        <v>68</v>
      </c>
      <c r="M10" s="11" t="n">
        <v>77</v>
      </c>
      <c r="N10" s="11">
        <f>H10*L10</f>
        <v/>
      </c>
      <c r="O10" s="11">
        <f>IF(I10&gt;0,I10*(M10-L10),0)</f>
        <v/>
      </c>
      <c r="P10" s="11" t="n">
        <v>0</v>
      </c>
    </row>
    <row r="11">
      <c r="A11" s="4" t="inlineStr">
        <is>
          <t>WH01</t>
        </is>
      </c>
      <c r="B11" s="4" t="inlineStr">
        <is>
          <t>Gurugram DC</t>
        </is>
      </c>
      <c r="C11" s="4" t="inlineStr">
        <is>
          <t>North</t>
        </is>
      </c>
      <c r="D11" s="4" t="inlineStr">
        <is>
          <t>SKU007</t>
        </is>
      </c>
      <c r="E11" s="4" t="inlineStr">
        <is>
          <t>Sugar 1kg</t>
        </is>
      </c>
      <c r="F11" s="4" t="inlineStr">
        <is>
          <t>Packaged Staples</t>
        </is>
      </c>
      <c r="G11" s="4" t="inlineStr">
        <is>
          <t>A</t>
        </is>
      </c>
      <c r="H11" s="11" t="n">
        <v>5604</v>
      </c>
      <c r="I11" s="4" t="n">
        <v>1340</v>
      </c>
      <c r="J11" s="13">
        <f>IF(I11&gt;0,H11/I11,"")</f>
        <v/>
      </c>
      <c r="K11" s="4">
        <f>IF(I11&lt;=0,"NO DEMAND",IF(H11=0,"STOCKOUT",IF(J11&lt;Config!$B$5,"CRITICAL",IF(J11&lt;Config!$B$6,"LOW",IF(J11&gt;Config!$B$7,"EXCESS","HEALTHY")))))</f>
        <v/>
      </c>
      <c r="L11" s="11" t="n">
        <v>129</v>
      </c>
      <c r="M11" s="11" t="n">
        <v>143</v>
      </c>
      <c r="N11" s="11">
        <f>H11*L11</f>
        <v/>
      </c>
      <c r="O11" s="11">
        <f>IF(I11&gt;0,I11*(M11-L11),0)</f>
        <v/>
      </c>
      <c r="P11" s="11" t="n">
        <v>7332</v>
      </c>
    </row>
    <row r="12">
      <c r="A12" s="4" t="inlineStr">
        <is>
          <t>WH01</t>
        </is>
      </c>
      <c r="B12" s="4" t="inlineStr">
        <is>
          <t>Gurugram DC</t>
        </is>
      </c>
      <c r="C12" s="4" t="inlineStr">
        <is>
          <t>North</t>
        </is>
      </c>
      <c r="D12" s="4" t="inlineStr">
        <is>
          <t>SKU008</t>
        </is>
      </c>
      <c r="E12" s="4" t="inlineStr">
        <is>
          <t>Iodized Salt 1kg</t>
        </is>
      </c>
      <c r="F12" s="4" t="inlineStr">
        <is>
          <t>Packaged Staples</t>
        </is>
      </c>
      <c r="G12" s="4" t="inlineStr">
        <is>
          <t>A</t>
        </is>
      </c>
      <c r="H12" s="11" t="n">
        <v>5910</v>
      </c>
      <c r="I12" s="4" t="n">
        <v>1985.5</v>
      </c>
      <c r="J12" s="13">
        <f>IF(I12&gt;0,H12/I12,"")</f>
        <v/>
      </c>
      <c r="K12" s="4">
        <f>IF(I12&lt;=0,"NO DEMAND",IF(H12=0,"STOCKOUT",IF(J12&lt;Config!$B$5,"CRITICAL",IF(J12&lt;Config!$B$6,"LOW",IF(J12&gt;Config!$B$7,"EXCESS","HEALTHY")))))</f>
        <v/>
      </c>
      <c r="L12" s="11" t="n">
        <v>140</v>
      </c>
      <c r="M12" s="11" t="n">
        <v>156</v>
      </c>
      <c r="N12" s="11">
        <f>H12*L12</f>
        <v/>
      </c>
      <c r="O12" s="11">
        <f>IF(I12&gt;0,I12*(M12-L12),0)</f>
        <v/>
      </c>
      <c r="P12" s="11" t="n">
        <v>11580</v>
      </c>
    </row>
    <row r="13">
      <c r="A13" s="4" t="inlineStr">
        <is>
          <t>WH01</t>
        </is>
      </c>
      <c r="B13" s="4" t="inlineStr">
        <is>
          <t>Gurugram DC</t>
        </is>
      </c>
      <c r="C13" s="4" t="inlineStr">
        <is>
          <t>North</t>
        </is>
      </c>
      <c r="D13" s="4" t="inlineStr">
        <is>
          <t>SKU009</t>
        </is>
      </c>
      <c r="E13" s="4" t="inlineStr">
        <is>
          <t>Tea Leaves 500g</t>
        </is>
      </c>
      <c r="F13" s="4" t="inlineStr">
        <is>
          <t>Packaged Staples</t>
        </is>
      </c>
      <c r="G13" s="4" t="inlineStr">
        <is>
          <t>A</t>
        </is>
      </c>
      <c r="H13" s="11" t="n">
        <v>2565</v>
      </c>
      <c r="I13" s="4" t="n">
        <v>1320.25</v>
      </c>
      <c r="J13" s="13">
        <f>IF(I13&gt;0,H13/I13,"")</f>
        <v/>
      </c>
      <c r="K13" s="4">
        <f>IF(I13&lt;=0,"NO DEMAND",IF(H13=0,"STOCKOUT",IF(J13&lt;Config!$B$5,"CRITICAL",IF(J13&lt;Config!$B$6,"LOW",IF(J13&gt;Config!$B$7,"EXCESS","HEALTHY")))))</f>
        <v/>
      </c>
      <c r="L13" s="11" t="n">
        <v>103</v>
      </c>
      <c r="M13" s="11" t="n">
        <v>116</v>
      </c>
      <c r="N13" s="11">
        <f>H13*L13</f>
        <v/>
      </c>
      <c r="O13" s="11">
        <f>IF(I13&gt;0,I13*(M13-L13),0)</f>
        <v/>
      </c>
      <c r="P13" s="11" t="n">
        <v>7860</v>
      </c>
    </row>
    <row r="14">
      <c r="A14" s="4" t="inlineStr">
        <is>
          <t>WH01</t>
        </is>
      </c>
      <c r="B14" s="4" t="inlineStr">
        <is>
          <t>Gurugram DC</t>
        </is>
      </c>
      <c r="C14" s="4" t="inlineStr">
        <is>
          <t>North</t>
        </is>
      </c>
      <c r="D14" s="4" t="inlineStr">
        <is>
          <t>SKU010</t>
        </is>
      </c>
      <c r="E14" s="4" t="inlineStr">
        <is>
          <t>Poha 500g</t>
        </is>
      </c>
      <c r="F14" s="4" t="inlineStr">
        <is>
          <t>Packaged Staples</t>
        </is>
      </c>
      <c r="G14" s="4" t="inlineStr">
        <is>
          <t>B</t>
        </is>
      </c>
      <c r="H14" s="11" t="n">
        <v>8566</v>
      </c>
      <c r="I14" s="4" t="n">
        <v>1603.25</v>
      </c>
      <c r="J14" s="13">
        <f>IF(I14&gt;0,H14/I14,"")</f>
        <v/>
      </c>
      <c r="K14" s="4">
        <f>IF(I14&lt;=0,"NO DEMAND",IF(H14=0,"STOCKOUT",IF(J14&lt;Config!$B$5,"CRITICAL",IF(J14&lt;Config!$B$6,"LOW",IF(J14&gt;Config!$B$7,"EXCESS","HEALTHY")))))</f>
        <v/>
      </c>
      <c r="L14" s="11" t="n">
        <v>40</v>
      </c>
      <c r="M14" s="11" t="n">
        <v>45</v>
      </c>
      <c r="N14" s="11">
        <f>H14*L14</f>
        <v/>
      </c>
      <c r="O14" s="11">
        <f>IF(I14&gt;0,I14*(M14-L14),0)</f>
        <v/>
      </c>
      <c r="P14" s="11" t="n">
        <v>0</v>
      </c>
    </row>
    <row r="15">
      <c r="A15" s="4" t="inlineStr">
        <is>
          <t>WH01</t>
        </is>
      </c>
      <c r="B15" s="4" t="inlineStr">
        <is>
          <t>Gurugram DC</t>
        </is>
      </c>
      <c r="C15" s="4" t="inlineStr">
        <is>
          <t>North</t>
        </is>
      </c>
      <c r="D15" s="4" t="inlineStr">
        <is>
          <t>SKU011</t>
        </is>
      </c>
      <c r="E15" s="4" t="inlineStr">
        <is>
          <t>Besan 1kg</t>
        </is>
      </c>
      <c r="F15" s="4" t="inlineStr">
        <is>
          <t>Packaged Staples</t>
        </is>
      </c>
      <c r="G15" s="4" t="inlineStr">
        <is>
          <t>A</t>
        </is>
      </c>
      <c r="H15" s="11" t="n">
        <v>16642</v>
      </c>
      <c r="I15" s="4" t="n">
        <v>2504.25</v>
      </c>
      <c r="J15" s="13">
        <f>IF(I15&gt;0,H15/I15,"")</f>
        <v/>
      </c>
      <c r="K15" s="4">
        <f>IF(I15&lt;=0,"NO DEMAND",IF(H15=0,"STOCKOUT",IF(J15&lt;Config!$B$5,"CRITICAL",IF(J15&lt;Config!$B$6,"LOW",IF(J15&gt;Config!$B$7,"EXCESS","HEALTHY")))))</f>
        <v/>
      </c>
      <c r="L15" s="11" t="n">
        <v>110</v>
      </c>
      <c r="M15" s="11" t="n">
        <v>122</v>
      </c>
      <c r="N15" s="11">
        <f>H15*L15</f>
        <v/>
      </c>
      <c r="O15" s="11">
        <f>IF(I15&gt;0,I15*(M15-L15),0)</f>
        <v/>
      </c>
      <c r="P15" s="11" t="n">
        <v>0</v>
      </c>
    </row>
    <row r="16">
      <c r="A16" s="4" t="inlineStr">
        <is>
          <t>WH01</t>
        </is>
      </c>
      <c r="B16" s="4" t="inlineStr">
        <is>
          <t>Gurugram DC</t>
        </is>
      </c>
      <c r="C16" s="4" t="inlineStr">
        <is>
          <t>North</t>
        </is>
      </c>
      <c r="D16" s="4" t="inlineStr">
        <is>
          <t>SKU012</t>
        </is>
      </c>
      <c r="E16" s="4" t="inlineStr">
        <is>
          <t>Rajma 1kg</t>
        </is>
      </c>
      <c r="F16" s="4" t="inlineStr">
        <is>
          <t>Packaged Staples</t>
        </is>
      </c>
      <c r="G16" s="4" t="inlineStr">
        <is>
          <t>B</t>
        </is>
      </c>
      <c r="H16" s="11" t="n">
        <v>1051</v>
      </c>
      <c r="I16" s="4" t="n">
        <v>196</v>
      </c>
      <c r="J16" s="13">
        <f>IF(I16&gt;0,H16/I16,"")</f>
        <v/>
      </c>
      <c r="K16" s="4">
        <f>IF(I16&lt;=0,"NO DEMAND",IF(H16=0,"STOCKOUT",IF(J16&lt;Config!$B$5,"CRITICAL",IF(J16&lt;Config!$B$6,"LOW",IF(J16&gt;Config!$B$7,"EXCESS","HEALTHY")))))</f>
        <v/>
      </c>
      <c r="L16" s="11" t="n">
        <v>45</v>
      </c>
      <c r="M16" s="11" t="n">
        <v>50</v>
      </c>
      <c r="N16" s="11">
        <f>H16*L16</f>
        <v/>
      </c>
      <c r="O16" s="11">
        <f>IF(I16&gt;0,I16*(M16-L16),0)</f>
        <v/>
      </c>
      <c r="P16" s="11" t="n">
        <v>0</v>
      </c>
    </row>
    <row r="17">
      <c r="A17" s="4" t="inlineStr">
        <is>
          <t>WH01</t>
        </is>
      </c>
      <c r="B17" s="4" t="inlineStr">
        <is>
          <t>Gurugram DC</t>
        </is>
      </c>
      <c r="C17" s="4" t="inlineStr">
        <is>
          <t>North</t>
        </is>
      </c>
      <c r="D17" s="4" t="inlineStr">
        <is>
          <t>SKU013</t>
        </is>
      </c>
      <c r="E17" s="4" t="inlineStr">
        <is>
          <t>Jaggery 1kg</t>
        </is>
      </c>
      <c r="F17" s="4" t="inlineStr">
        <is>
          <t>Packaged Staples</t>
        </is>
      </c>
      <c r="G17" s="4" t="inlineStr">
        <is>
          <t>A</t>
        </is>
      </c>
      <c r="H17" s="11" t="n">
        <v>2818</v>
      </c>
      <c r="I17" s="4" t="n">
        <v>457.25</v>
      </c>
      <c r="J17" s="13">
        <f>IF(I17&gt;0,H17/I17,"")</f>
        <v/>
      </c>
      <c r="K17" s="4">
        <f>IF(I17&lt;=0,"NO DEMAND",IF(H17=0,"STOCKOUT",IF(J17&lt;Config!$B$5,"CRITICAL",IF(J17&lt;Config!$B$6,"LOW",IF(J17&gt;Config!$B$7,"EXCESS","HEALTHY")))))</f>
        <v/>
      </c>
      <c r="L17" s="11" t="n">
        <v>125</v>
      </c>
      <c r="M17" s="11" t="n">
        <v>140</v>
      </c>
      <c r="N17" s="11">
        <f>H17*L17</f>
        <v/>
      </c>
      <c r="O17" s="11">
        <f>IF(I17&gt;0,I17*(M17-L17),0)</f>
        <v/>
      </c>
      <c r="P17" s="11" t="n">
        <v>0</v>
      </c>
    </row>
    <row r="18">
      <c r="A18" s="4" t="inlineStr">
        <is>
          <t>WH01</t>
        </is>
      </c>
      <c r="B18" s="4" t="inlineStr">
        <is>
          <t>Gurugram DC</t>
        </is>
      </c>
      <c r="C18" s="4" t="inlineStr">
        <is>
          <t>North</t>
        </is>
      </c>
      <c r="D18" s="4" t="inlineStr">
        <is>
          <t>SKU014</t>
        </is>
      </c>
      <c r="E18" s="4" t="inlineStr">
        <is>
          <t>Ghee 500ml</t>
        </is>
      </c>
      <c r="F18" s="4" t="inlineStr">
        <is>
          <t>Packaged Staples</t>
        </is>
      </c>
      <c r="G18" s="4" t="inlineStr">
        <is>
          <t>A</t>
        </is>
      </c>
      <c r="H18" s="11" t="n">
        <v>1732</v>
      </c>
      <c r="I18" s="4" t="n">
        <v>779.75</v>
      </c>
      <c r="J18" s="13">
        <f>IF(I18&gt;0,H18/I18,"")</f>
        <v/>
      </c>
      <c r="K18" s="4">
        <f>IF(I18&lt;=0,"NO DEMAND",IF(H18=0,"STOCKOUT",IF(J18&lt;Config!$B$5,"CRITICAL",IF(J18&lt;Config!$B$6,"LOW",IF(J18&gt;Config!$B$7,"EXCESS","HEALTHY")))))</f>
        <v/>
      </c>
      <c r="L18" s="11" t="n">
        <v>240</v>
      </c>
      <c r="M18" s="11" t="n">
        <v>270</v>
      </c>
      <c r="N18" s="11">
        <f>H18*L18</f>
        <v/>
      </c>
      <c r="O18" s="11">
        <f>IF(I18&gt;0,I18*(M18-L18),0)</f>
        <v/>
      </c>
      <c r="P18" s="11" t="n">
        <v>3900</v>
      </c>
    </row>
    <row r="19">
      <c r="A19" s="4" t="inlineStr">
        <is>
          <t>WH01</t>
        </is>
      </c>
      <c r="B19" s="4" t="inlineStr">
        <is>
          <t>Gurugram DC</t>
        </is>
      </c>
      <c r="C19" s="4" t="inlineStr">
        <is>
          <t>North</t>
        </is>
      </c>
      <c r="D19" s="4" t="inlineStr">
        <is>
          <t>SKU015</t>
        </is>
      </c>
      <c r="E19" s="4" t="inlineStr">
        <is>
          <t>Suji 1kg</t>
        </is>
      </c>
      <c r="F19" s="4" t="inlineStr">
        <is>
          <t>Packaged Staples</t>
        </is>
      </c>
      <c r="G19" s="4" t="inlineStr">
        <is>
          <t>C</t>
        </is>
      </c>
      <c r="H19" s="11" t="n">
        <v>4112</v>
      </c>
      <c r="I19" s="4" t="n">
        <v>879.5</v>
      </c>
      <c r="J19" s="13">
        <f>IF(I19&gt;0,H19/I19,"")</f>
        <v/>
      </c>
      <c r="K19" s="4">
        <f>IF(I19&lt;=0,"NO DEMAND",IF(H19=0,"STOCKOUT",IF(J19&lt;Config!$B$5,"CRITICAL",IF(J19&lt;Config!$B$6,"LOW",IF(J19&gt;Config!$B$7,"EXCESS","HEALTHY")))))</f>
        <v/>
      </c>
      <c r="L19" s="11" t="n">
        <v>42</v>
      </c>
      <c r="M19" s="11" t="n">
        <v>47</v>
      </c>
      <c r="N19" s="11">
        <f>H19*L19</f>
        <v/>
      </c>
      <c r="O19" s="11">
        <f>IF(I19&gt;0,I19*(M19-L19),0)</f>
        <v/>
      </c>
      <c r="P19" s="11" t="n">
        <v>0</v>
      </c>
    </row>
    <row r="20">
      <c r="A20" s="4" t="inlineStr">
        <is>
          <t>WH01</t>
        </is>
      </c>
      <c r="B20" s="4" t="inlineStr">
        <is>
          <t>Gurugram DC</t>
        </is>
      </c>
      <c r="C20" s="4" t="inlineStr">
        <is>
          <t>North</t>
        </is>
      </c>
      <c r="D20" s="4" t="inlineStr">
        <is>
          <t>SKU016</t>
        </is>
      </c>
      <c r="E20" s="4" t="inlineStr">
        <is>
          <t>Cola 750ml</t>
        </is>
      </c>
      <c r="F20" s="4" t="inlineStr">
        <is>
          <t>Beverages</t>
        </is>
      </c>
      <c r="G20" s="4" t="inlineStr">
        <is>
          <t>C</t>
        </is>
      </c>
      <c r="H20" s="11" t="n">
        <v>2425</v>
      </c>
      <c r="I20" s="4" t="n">
        <v>575.25</v>
      </c>
      <c r="J20" s="13">
        <f>IF(I20&gt;0,H20/I20,"")</f>
        <v/>
      </c>
      <c r="K20" s="4">
        <f>IF(I20&lt;=0,"NO DEMAND",IF(H20=0,"STOCKOUT",IF(J20&lt;Config!$B$5,"CRITICAL",IF(J20&lt;Config!$B$6,"LOW",IF(J20&gt;Config!$B$7,"EXCESS","HEALTHY")))))</f>
        <v/>
      </c>
      <c r="L20" s="11" t="n">
        <v>41</v>
      </c>
      <c r="M20" s="11" t="n">
        <v>47</v>
      </c>
      <c r="N20" s="11">
        <f>H20*L20</f>
        <v/>
      </c>
      <c r="O20" s="11">
        <f>IF(I20&gt;0,I20*(M20-L20),0)</f>
        <v/>
      </c>
      <c r="P20" s="11" t="n">
        <v>0</v>
      </c>
    </row>
    <row r="21">
      <c r="A21" s="4" t="inlineStr">
        <is>
          <t>WH01</t>
        </is>
      </c>
      <c r="B21" s="4" t="inlineStr">
        <is>
          <t>Gurugram DC</t>
        </is>
      </c>
      <c r="C21" s="4" t="inlineStr">
        <is>
          <t>North</t>
        </is>
      </c>
      <c r="D21" s="4" t="inlineStr">
        <is>
          <t>SKU017</t>
        </is>
      </c>
      <c r="E21" s="4" t="inlineStr">
        <is>
          <t>Lemon Soda 600ml</t>
        </is>
      </c>
      <c r="F21" s="4" t="inlineStr">
        <is>
          <t>Beverages</t>
        </is>
      </c>
      <c r="G21" s="4" t="inlineStr">
        <is>
          <t>B</t>
        </is>
      </c>
      <c r="H21" s="11" t="n">
        <v>9009</v>
      </c>
      <c r="I21" s="4" t="n">
        <v>1211.75</v>
      </c>
      <c r="J21" s="13">
        <f>IF(I21&gt;0,H21/I21,"")</f>
        <v/>
      </c>
      <c r="K21" s="4">
        <f>IF(I21&lt;=0,"NO DEMAND",IF(H21=0,"STOCKOUT",IF(J21&lt;Config!$B$5,"CRITICAL",IF(J21&lt;Config!$B$6,"LOW",IF(J21&gt;Config!$B$7,"EXCESS","HEALTHY")))))</f>
        <v/>
      </c>
      <c r="L21" s="11" t="n">
        <v>42</v>
      </c>
      <c r="M21" s="11" t="n">
        <v>50</v>
      </c>
      <c r="N21" s="11">
        <f>H21*L21</f>
        <v/>
      </c>
      <c r="O21" s="11">
        <f>IF(I21&gt;0,I21*(M21-L21),0)</f>
        <v/>
      </c>
      <c r="P21" s="11" t="n">
        <v>0</v>
      </c>
    </row>
    <row r="22">
      <c r="A22" s="4" t="inlineStr">
        <is>
          <t>WH01</t>
        </is>
      </c>
      <c r="B22" s="4" t="inlineStr">
        <is>
          <t>Gurugram DC</t>
        </is>
      </c>
      <c r="C22" s="4" t="inlineStr">
        <is>
          <t>North</t>
        </is>
      </c>
      <c r="D22" s="4" t="inlineStr">
        <is>
          <t>SKU018</t>
        </is>
      </c>
      <c r="E22" s="4" t="inlineStr">
        <is>
          <t>Mango Drink 1L</t>
        </is>
      </c>
      <c r="F22" s="4" t="inlineStr">
        <is>
          <t>Beverages</t>
        </is>
      </c>
      <c r="G22" s="4" t="inlineStr">
        <is>
          <t>A</t>
        </is>
      </c>
      <c r="H22" s="11" t="n">
        <v>10334</v>
      </c>
      <c r="I22" s="4" t="n">
        <v>1485.25</v>
      </c>
      <c r="J22" s="13">
        <f>IF(I22&gt;0,H22/I22,"")</f>
        <v/>
      </c>
      <c r="K22" s="4">
        <f>IF(I22&lt;=0,"NO DEMAND",IF(H22=0,"STOCKOUT",IF(J22&lt;Config!$B$5,"CRITICAL",IF(J22&lt;Config!$B$6,"LOW",IF(J22&gt;Config!$B$7,"EXCESS","HEALTHY")))))</f>
        <v/>
      </c>
      <c r="L22" s="11" t="n">
        <v>101</v>
      </c>
      <c r="M22" s="11" t="n">
        <v>117</v>
      </c>
      <c r="N22" s="11">
        <f>H22*L22</f>
        <v/>
      </c>
      <c r="O22" s="11">
        <f>IF(I22&gt;0,I22*(M22-L22),0)</f>
        <v/>
      </c>
      <c r="P22" s="11" t="n">
        <v>0</v>
      </c>
    </row>
    <row r="23">
      <c r="A23" s="4" t="inlineStr">
        <is>
          <t>WH01</t>
        </is>
      </c>
      <c r="B23" s="4" t="inlineStr">
        <is>
          <t>Gurugram DC</t>
        </is>
      </c>
      <c r="C23" s="4" t="inlineStr">
        <is>
          <t>North</t>
        </is>
      </c>
      <c r="D23" s="4" t="inlineStr">
        <is>
          <t>SKU019</t>
        </is>
      </c>
      <c r="E23" s="4" t="inlineStr">
        <is>
          <t>Packaged Water 1L</t>
        </is>
      </c>
      <c r="F23" s="4" t="inlineStr">
        <is>
          <t>Beverages</t>
        </is>
      </c>
      <c r="G23" s="4" t="inlineStr">
        <is>
          <t>A</t>
        </is>
      </c>
      <c r="H23" s="11" t="n">
        <v>2605</v>
      </c>
      <c r="I23" s="4" t="n">
        <v>1281.5</v>
      </c>
      <c r="J23" s="13">
        <f>IF(I23&gt;0,H23/I23,"")</f>
        <v/>
      </c>
      <c r="K23" s="4">
        <f>IF(I23&lt;=0,"NO DEMAND",IF(H23=0,"STOCKOUT",IF(J23&lt;Config!$B$5,"CRITICAL",IF(J23&lt;Config!$B$6,"LOW",IF(J23&gt;Config!$B$7,"EXCESS","HEALTHY")))))</f>
        <v/>
      </c>
      <c r="L23" s="11" t="n">
        <v>57</v>
      </c>
      <c r="M23" s="11" t="n">
        <v>68</v>
      </c>
      <c r="N23" s="11">
        <f>H23*L23</f>
        <v/>
      </c>
      <c r="O23" s="11">
        <f>IF(I23&gt;0,I23*(M23-L23),0)</f>
        <v/>
      </c>
      <c r="P23" s="11" t="n">
        <v>6360</v>
      </c>
    </row>
    <row r="24">
      <c r="A24" s="4" t="inlineStr">
        <is>
          <t>WH01</t>
        </is>
      </c>
      <c r="B24" s="4" t="inlineStr">
        <is>
          <t>Gurugram DC</t>
        </is>
      </c>
      <c r="C24" s="4" t="inlineStr">
        <is>
          <t>North</t>
        </is>
      </c>
      <c r="D24" s="4" t="inlineStr">
        <is>
          <t>SKU020</t>
        </is>
      </c>
      <c r="E24" s="4" t="inlineStr">
        <is>
          <t>Energy Drink 250ml</t>
        </is>
      </c>
      <c r="F24" s="4" t="inlineStr">
        <is>
          <t>Beverages</t>
        </is>
      </c>
      <c r="G24" s="4" t="inlineStr">
        <is>
          <t>B</t>
        </is>
      </c>
      <c r="H24" s="11" t="n">
        <v>9304</v>
      </c>
      <c r="I24" s="4" t="n">
        <v>1218.75</v>
      </c>
      <c r="J24" s="13">
        <f>IF(I24&gt;0,H24/I24,"")</f>
        <v/>
      </c>
      <c r="K24" s="4">
        <f>IF(I24&lt;=0,"NO DEMAND",IF(H24=0,"STOCKOUT",IF(J24&lt;Config!$B$5,"CRITICAL",IF(J24&lt;Config!$B$6,"LOW",IF(J24&gt;Config!$B$7,"EXCESS","HEALTHY")))))</f>
        <v/>
      </c>
      <c r="L24" s="11" t="n">
        <v>24</v>
      </c>
      <c r="M24" s="11" t="n">
        <v>28</v>
      </c>
      <c r="N24" s="11">
        <f>H24*L24</f>
        <v/>
      </c>
      <c r="O24" s="11">
        <f>IF(I24&gt;0,I24*(M24-L24),0)</f>
        <v/>
      </c>
      <c r="P24" s="11" t="n">
        <v>0</v>
      </c>
    </row>
    <row r="25">
      <c r="A25" s="4" t="inlineStr">
        <is>
          <t>WH01</t>
        </is>
      </c>
      <c r="B25" s="4" t="inlineStr">
        <is>
          <t>Gurugram DC</t>
        </is>
      </c>
      <c r="C25" s="4" t="inlineStr">
        <is>
          <t>North</t>
        </is>
      </c>
      <c r="D25" s="4" t="inlineStr">
        <is>
          <t>SKU021</t>
        </is>
      </c>
      <c r="E25" s="4" t="inlineStr">
        <is>
          <t>Fruit Juice 1L</t>
        </is>
      </c>
      <c r="F25" s="4" t="inlineStr">
        <is>
          <t>Beverages</t>
        </is>
      </c>
      <c r="G25" s="4" t="inlineStr">
        <is>
          <t>A</t>
        </is>
      </c>
      <c r="H25" s="11" t="n">
        <v>6605</v>
      </c>
      <c r="I25" s="4" t="n">
        <v>1060.75</v>
      </c>
      <c r="J25" s="13">
        <f>IF(I25&gt;0,H25/I25,"")</f>
        <v/>
      </c>
      <c r="K25" s="4">
        <f>IF(I25&lt;=0,"NO DEMAND",IF(H25=0,"STOCKOUT",IF(J25&lt;Config!$B$5,"CRITICAL",IF(J25&lt;Config!$B$6,"LOW",IF(J25&gt;Config!$B$7,"EXCESS","HEALTHY")))))</f>
        <v/>
      </c>
      <c r="L25" s="11" t="n">
        <v>54</v>
      </c>
      <c r="M25" s="11" t="n">
        <v>63</v>
      </c>
      <c r="N25" s="11">
        <f>H25*L25</f>
        <v/>
      </c>
      <c r="O25" s="11">
        <f>IF(I25&gt;0,I25*(M25-L25),0)</f>
        <v/>
      </c>
      <c r="P25" s="11" t="n">
        <v>0</v>
      </c>
    </row>
    <row r="26">
      <c r="A26" s="4" t="inlineStr">
        <is>
          <t>WH01</t>
        </is>
      </c>
      <c r="B26" s="4" t="inlineStr">
        <is>
          <t>Gurugram DC</t>
        </is>
      </c>
      <c r="C26" s="4" t="inlineStr">
        <is>
          <t>North</t>
        </is>
      </c>
      <c r="D26" s="4" t="inlineStr">
        <is>
          <t>SKU022</t>
        </is>
      </c>
      <c r="E26" s="4" t="inlineStr">
        <is>
          <t>Iced Tea 500ml</t>
        </is>
      </c>
      <c r="F26" s="4" t="inlineStr">
        <is>
          <t>Beverages</t>
        </is>
      </c>
      <c r="G26" s="4" t="inlineStr">
        <is>
          <t>A</t>
        </is>
      </c>
      <c r="H26" s="11" t="n">
        <v>5438</v>
      </c>
      <c r="I26" s="4" t="n">
        <v>877.25</v>
      </c>
      <c r="J26" s="13">
        <f>IF(I26&gt;0,H26/I26,"")</f>
        <v/>
      </c>
      <c r="K26" s="4">
        <f>IF(I26&lt;=0,"NO DEMAND",IF(H26=0,"STOCKOUT",IF(J26&lt;Config!$B$5,"CRITICAL",IF(J26&lt;Config!$B$6,"LOW",IF(J26&gt;Config!$B$7,"EXCESS","HEALTHY")))))</f>
        <v/>
      </c>
      <c r="L26" s="11" t="n">
        <v>53</v>
      </c>
      <c r="M26" s="11" t="n">
        <v>64</v>
      </c>
      <c r="N26" s="11">
        <f>H26*L26</f>
        <v/>
      </c>
      <c r="O26" s="11">
        <f>IF(I26&gt;0,I26*(M26-L26),0)</f>
        <v/>
      </c>
      <c r="P26" s="11" t="n">
        <v>0</v>
      </c>
    </row>
    <row r="27">
      <c r="A27" s="4" t="inlineStr">
        <is>
          <t>WH01</t>
        </is>
      </c>
      <c r="B27" s="4" t="inlineStr">
        <is>
          <t>Gurugram DC</t>
        </is>
      </c>
      <c r="C27" s="4" t="inlineStr">
        <is>
          <t>North</t>
        </is>
      </c>
      <c r="D27" s="4" t="inlineStr">
        <is>
          <t>SKU023</t>
        </is>
      </c>
      <c r="E27" s="4" t="inlineStr">
        <is>
          <t>Coconut Water 200ml</t>
        </is>
      </c>
      <c r="F27" s="4" t="inlineStr">
        <is>
          <t>Beverages</t>
        </is>
      </c>
      <c r="G27" s="4" t="inlineStr">
        <is>
          <t>A</t>
        </is>
      </c>
      <c r="H27" s="11" t="n">
        <v>13484</v>
      </c>
      <c r="I27" s="4" t="n">
        <v>1184</v>
      </c>
      <c r="J27" s="13">
        <f>IF(I27&gt;0,H27/I27,"")</f>
        <v/>
      </c>
      <c r="K27" s="4">
        <f>IF(I27&lt;=0,"NO DEMAND",IF(H27=0,"STOCKOUT",IF(J27&lt;Config!$B$5,"CRITICAL",IF(J27&lt;Config!$B$6,"LOW",IF(J27&gt;Config!$B$7,"EXCESS","HEALTHY")))))</f>
        <v/>
      </c>
      <c r="L27" s="11" t="n">
        <v>59</v>
      </c>
      <c r="M27" s="11" t="n">
        <v>69</v>
      </c>
      <c r="N27" s="11">
        <f>H27*L27</f>
        <v/>
      </c>
      <c r="O27" s="11">
        <f>IF(I27&gt;0,I27*(M27-L27),0)</f>
        <v/>
      </c>
      <c r="P27" s="11" t="n">
        <v>0</v>
      </c>
    </row>
    <row r="28">
      <c r="A28" s="4" t="inlineStr">
        <is>
          <t>WH01</t>
        </is>
      </c>
      <c r="B28" s="4" t="inlineStr">
        <is>
          <t>Gurugram DC</t>
        </is>
      </c>
      <c r="C28" s="4" t="inlineStr">
        <is>
          <t>North</t>
        </is>
      </c>
      <c r="D28" s="4" t="inlineStr">
        <is>
          <t>SKU024</t>
        </is>
      </c>
      <c r="E28" s="4" t="inlineStr">
        <is>
          <t>Instant Coffee 100g</t>
        </is>
      </c>
      <c r="F28" s="4" t="inlineStr">
        <is>
          <t>Beverages</t>
        </is>
      </c>
      <c r="G28" s="4" t="inlineStr">
        <is>
          <t>C</t>
        </is>
      </c>
      <c r="H28" s="11" t="n">
        <v>7558</v>
      </c>
      <c r="I28" s="4" t="n">
        <v>1073</v>
      </c>
      <c r="J28" s="13">
        <f>IF(I28&gt;0,H28/I28,"")</f>
        <v/>
      </c>
      <c r="K28" s="4">
        <f>IF(I28&lt;=0,"NO DEMAND",IF(H28=0,"STOCKOUT",IF(J28&lt;Config!$B$5,"CRITICAL",IF(J28&lt;Config!$B$6,"LOW",IF(J28&gt;Config!$B$7,"EXCESS","HEALTHY")))))</f>
        <v/>
      </c>
      <c r="L28" s="11" t="n">
        <v>27</v>
      </c>
      <c r="M28" s="11" t="n">
        <v>31</v>
      </c>
      <c r="N28" s="11">
        <f>H28*L28</f>
        <v/>
      </c>
      <c r="O28" s="11">
        <f>IF(I28&gt;0,I28*(M28-L28),0)</f>
        <v/>
      </c>
      <c r="P28" s="11" t="n">
        <v>0</v>
      </c>
    </row>
    <row r="29">
      <c r="A29" s="4" t="inlineStr">
        <is>
          <t>WH01</t>
        </is>
      </c>
      <c r="B29" s="4" t="inlineStr">
        <is>
          <t>Gurugram DC</t>
        </is>
      </c>
      <c r="C29" s="4" t="inlineStr">
        <is>
          <t>North</t>
        </is>
      </c>
      <c r="D29" s="4" t="inlineStr">
        <is>
          <t>SKU025</t>
        </is>
      </c>
      <c r="E29" s="4" t="inlineStr">
        <is>
          <t>Tea Bags 100pk</t>
        </is>
      </c>
      <c r="F29" s="4" t="inlineStr">
        <is>
          <t>Beverages</t>
        </is>
      </c>
      <c r="G29" s="4" t="inlineStr">
        <is>
          <t>C</t>
        </is>
      </c>
      <c r="H29" s="11" t="n">
        <v>4400</v>
      </c>
      <c r="I29" s="4" t="n">
        <v>1343.75</v>
      </c>
      <c r="J29" s="13">
        <f>IF(I29&gt;0,H29/I29,"")</f>
        <v/>
      </c>
      <c r="K29" s="4">
        <f>IF(I29&lt;=0,"NO DEMAND",IF(H29=0,"STOCKOUT",IF(J29&lt;Config!$B$5,"CRITICAL",IF(J29&lt;Config!$B$6,"LOW",IF(J29&gt;Config!$B$7,"EXCESS","HEALTHY")))))</f>
        <v/>
      </c>
      <c r="L29" s="11" t="n">
        <v>24</v>
      </c>
      <c r="M29" s="11" t="n">
        <v>28</v>
      </c>
      <c r="N29" s="11">
        <f>H29*L29</f>
        <v/>
      </c>
      <c r="O29" s="11">
        <f>IF(I29&gt;0,I29*(M29-L29),0)</f>
        <v/>
      </c>
      <c r="P29" s="11" t="n">
        <v>8232</v>
      </c>
    </row>
    <row r="30">
      <c r="A30" s="4" t="inlineStr">
        <is>
          <t>WH01</t>
        </is>
      </c>
      <c r="B30" s="4" t="inlineStr">
        <is>
          <t>Gurugram DC</t>
        </is>
      </c>
      <c r="C30" s="4" t="inlineStr">
        <is>
          <t>North</t>
        </is>
      </c>
      <c r="D30" s="4" t="inlineStr">
        <is>
          <t>SKU026</t>
        </is>
      </c>
      <c r="E30" s="4" t="inlineStr">
        <is>
          <t>Buttermilk 200ml</t>
        </is>
      </c>
      <c r="F30" s="4" t="inlineStr">
        <is>
          <t>Beverages</t>
        </is>
      </c>
      <c r="G30" s="4" t="inlineStr">
        <is>
          <t>B</t>
        </is>
      </c>
      <c r="H30" s="11" t="n">
        <v>4429</v>
      </c>
      <c r="I30" s="4" t="n">
        <v>1170.5</v>
      </c>
      <c r="J30" s="13">
        <f>IF(I30&gt;0,H30/I30,"")</f>
        <v/>
      </c>
      <c r="K30" s="4">
        <f>IF(I30&lt;=0,"NO DEMAND",IF(H30=0,"STOCKOUT",IF(J30&lt;Config!$B$5,"CRITICAL",IF(J30&lt;Config!$B$6,"LOW",IF(J30&gt;Config!$B$7,"EXCESS","HEALTHY")))))</f>
        <v/>
      </c>
      <c r="L30" s="11" t="n">
        <v>31</v>
      </c>
      <c r="M30" s="11" t="n">
        <v>36</v>
      </c>
      <c r="N30" s="11">
        <f>H30*L30</f>
        <v/>
      </c>
      <c r="O30" s="11">
        <f>IF(I30&gt;0,I30*(M30-L30),0)</f>
        <v/>
      </c>
      <c r="P30" s="11" t="n">
        <v>0</v>
      </c>
    </row>
    <row r="31">
      <c r="A31" s="4" t="inlineStr">
        <is>
          <t>WH01</t>
        </is>
      </c>
      <c r="B31" s="4" t="inlineStr">
        <is>
          <t>Gurugram DC</t>
        </is>
      </c>
      <c r="C31" s="4" t="inlineStr">
        <is>
          <t>North</t>
        </is>
      </c>
      <c r="D31" s="4" t="inlineStr">
        <is>
          <t>SKU027</t>
        </is>
      </c>
      <c r="E31" s="4" t="inlineStr">
        <is>
          <t>Lassi 200ml</t>
        </is>
      </c>
      <c r="F31" s="4" t="inlineStr">
        <is>
          <t>Beverages</t>
        </is>
      </c>
      <c r="G31" s="4" t="inlineStr">
        <is>
          <t>A</t>
        </is>
      </c>
      <c r="H31" s="11" t="n">
        <v>9187</v>
      </c>
      <c r="I31" s="4" t="n">
        <v>1462.75</v>
      </c>
      <c r="J31" s="13">
        <f>IF(I31&gt;0,H31/I31,"")</f>
        <v/>
      </c>
      <c r="K31" s="4">
        <f>IF(I31&lt;=0,"NO DEMAND",IF(H31=0,"STOCKOUT",IF(J31&lt;Config!$B$5,"CRITICAL",IF(J31&lt;Config!$B$6,"LOW",IF(J31&gt;Config!$B$7,"EXCESS","HEALTHY")))))</f>
        <v/>
      </c>
      <c r="L31" s="11" t="n">
        <v>60</v>
      </c>
      <c r="M31" s="11" t="n">
        <v>72</v>
      </c>
      <c r="N31" s="11">
        <f>H31*L31</f>
        <v/>
      </c>
      <c r="O31" s="11">
        <f>IF(I31&gt;0,I31*(M31-L31),0)</f>
        <v/>
      </c>
      <c r="P31" s="11" t="n">
        <v>0</v>
      </c>
    </row>
    <row r="32">
      <c r="A32" s="4" t="inlineStr">
        <is>
          <t>WH01</t>
        </is>
      </c>
      <c r="B32" s="4" t="inlineStr">
        <is>
          <t>Gurugram DC</t>
        </is>
      </c>
      <c r="C32" s="4" t="inlineStr">
        <is>
          <t>North</t>
        </is>
      </c>
      <c r="D32" s="4" t="inlineStr">
        <is>
          <t>SKU028</t>
        </is>
      </c>
      <c r="E32" s="4" t="inlineStr">
        <is>
          <t>Sports Drink 500ml</t>
        </is>
      </c>
      <c r="F32" s="4" t="inlineStr">
        <is>
          <t>Beverages</t>
        </is>
      </c>
      <c r="G32" s="4" t="inlineStr">
        <is>
          <t>A</t>
        </is>
      </c>
      <c r="H32" s="11" t="n">
        <v>2820</v>
      </c>
      <c r="I32" s="4" t="n">
        <v>1124.25</v>
      </c>
      <c r="J32" s="13">
        <f>IF(I32&gt;0,H32/I32,"")</f>
        <v/>
      </c>
      <c r="K32" s="4">
        <f>IF(I32&lt;=0,"NO DEMAND",IF(H32=0,"STOCKOUT",IF(J32&lt;Config!$B$5,"CRITICAL",IF(J32&lt;Config!$B$6,"LOW",IF(J32&gt;Config!$B$7,"EXCESS","HEALTHY")))))</f>
        <v/>
      </c>
      <c r="L32" s="11" t="n">
        <v>110</v>
      </c>
      <c r="M32" s="11" t="n">
        <v>131</v>
      </c>
      <c r="N32" s="11">
        <f>H32*L32</f>
        <v/>
      </c>
      <c r="O32" s="11">
        <f>IF(I32&gt;0,I32*(M32-L32),0)</f>
        <v/>
      </c>
      <c r="P32" s="11" t="n">
        <v>5880</v>
      </c>
    </row>
    <row r="33">
      <c r="A33" s="4" t="inlineStr">
        <is>
          <t>WH01</t>
        </is>
      </c>
      <c r="B33" s="4" t="inlineStr">
        <is>
          <t>Gurugram DC</t>
        </is>
      </c>
      <c r="C33" s="4" t="inlineStr">
        <is>
          <t>North</t>
        </is>
      </c>
      <c r="D33" s="4" t="inlineStr">
        <is>
          <t>SKU029</t>
        </is>
      </c>
      <c r="E33" s="4" t="inlineStr">
        <is>
          <t>Tonic Water 300ml</t>
        </is>
      </c>
      <c r="F33" s="4" t="inlineStr">
        <is>
          <t>Beverages</t>
        </is>
      </c>
      <c r="G33" s="4" t="inlineStr">
        <is>
          <t>B</t>
        </is>
      </c>
      <c r="H33" s="11" t="n">
        <v>4898</v>
      </c>
      <c r="I33" s="4" t="n">
        <v>778.5</v>
      </c>
      <c r="J33" s="13">
        <f>IF(I33&gt;0,H33/I33,"")</f>
        <v/>
      </c>
      <c r="K33" s="4">
        <f>IF(I33&lt;=0,"NO DEMAND",IF(H33=0,"STOCKOUT",IF(J33&lt;Config!$B$5,"CRITICAL",IF(J33&lt;Config!$B$6,"LOW",IF(J33&gt;Config!$B$7,"EXCESS","HEALTHY")))))</f>
        <v/>
      </c>
      <c r="L33" s="11" t="n">
        <v>23</v>
      </c>
      <c r="M33" s="11" t="n">
        <v>27</v>
      </c>
      <c r="N33" s="11">
        <f>H33*L33</f>
        <v/>
      </c>
      <c r="O33" s="11">
        <f>IF(I33&gt;0,I33*(M33-L33),0)</f>
        <v/>
      </c>
      <c r="P33" s="11" t="n">
        <v>0</v>
      </c>
    </row>
    <row r="34">
      <c r="A34" s="4" t="inlineStr">
        <is>
          <t>WH01</t>
        </is>
      </c>
      <c r="B34" s="4" t="inlineStr">
        <is>
          <t>Gurugram DC</t>
        </is>
      </c>
      <c r="C34" s="4" t="inlineStr">
        <is>
          <t>North</t>
        </is>
      </c>
      <c r="D34" s="4" t="inlineStr">
        <is>
          <t>SKU030</t>
        </is>
      </c>
      <c r="E34" s="4" t="inlineStr">
        <is>
          <t>Malt Drink 500g</t>
        </is>
      </c>
      <c r="F34" s="4" t="inlineStr">
        <is>
          <t>Beverages</t>
        </is>
      </c>
      <c r="G34" s="4" t="inlineStr">
        <is>
          <t>C</t>
        </is>
      </c>
      <c r="H34" s="11" t="n">
        <v>1665</v>
      </c>
      <c r="I34" s="4" t="n">
        <v>258.5</v>
      </c>
      <c r="J34" s="13">
        <f>IF(I34&gt;0,H34/I34,"")</f>
        <v/>
      </c>
      <c r="K34" s="4">
        <f>IF(I34&lt;=0,"NO DEMAND",IF(H34=0,"STOCKOUT",IF(J34&lt;Config!$B$5,"CRITICAL",IF(J34&lt;Config!$B$6,"LOW",IF(J34&gt;Config!$B$7,"EXCESS","HEALTHY")))))</f>
        <v/>
      </c>
      <c r="L34" s="11" t="n">
        <v>31</v>
      </c>
      <c r="M34" s="11" t="n">
        <v>37</v>
      </c>
      <c r="N34" s="11">
        <f>H34*L34</f>
        <v/>
      </c>
      <c r="O34" s="11">
        <f>IF(I34&gt;0,I34*(M34-L34),0)</f>
        <v/>
      </c>
      <c r="P34" s="11" t="n">
        <v>0</v>
      </c>
    </row>
    <row r="35">
      <c r="A35" s="4" t="inlineStr">
        <is>
          <t>WH01</t>
        </is>
      </c>
      <c r="B35" s="4" t="inlineStr">
        <is>
          <t>Gurugram DC</t>
        </is>
      </c>
      <c r="C35" s="4" t="inlineStr">
        <is>
          <t>North</t>
        </is>
      </c>
      <c r="D35" s="4" t="inlineStr">
        <is>
          <t>SKU031</t>
        </is>
      </c>
      <c r="E35" s="4" t="inlineStr">
        <is>
          <t>Potato Chips 90g</t>
        </is>
      </c>
      <c r="F35" s="4" t="inlineStr">
        <is>
          <t>Snacks &amp; Confectionery</t>
        </is>
      </c>
      <c r="G35" s="4" t="inlineStr">
        <is>
          <t>C</t>
        </is>
      </c>
      <c r="H35" s="11" t="n">
        <v>4658</v>
      </c>
      <c r="I35" s="4" t="n">
        <v>649.25</v>
      </c>
      <c r="J35" s="13">
        <f>IF(I35&gt;0,H35/I35,"")</f>
        <v/>
      </c>
      <c r="K35" s="4">
        <f>IF(I35&lt;=0,"NO DEMAND",IF(H35=0,"STOCKOUT",IF(J35&lt;Config!$B$5,"CRITICAL",IF(J35&lt;Config!$B$6,"LOW",IF(J35&gt;Config!$B$7,"EXCESS","HEALTHY")))))</f>
        <v/>
      </c>
      <c r="L35" s="11" t="n">
        <v>13</v>
      </c>
      <c r="M35" s="11" t="n">
        <v>16</v>
      </c>
      <c r="N35" s="11">
        <f>H35*L35</f>
        <v/>
      </c>
      <c r="O35" s="11">
        <f>IF(I35&gt;0,I35*(M35-L35),0)</f>
        <v/>
      </c>
      <c r="P35" s="11" t="n">
        <v>0</v>
      </c>
    </row>
    <row r="36">
      <c r="A36" s="4" t="inlineStr">
        <is>
          <t>WH01</t>
        </is>
      </c>
      <c r="B36" s="4" t="inlineStr">
        <is>
          <t>Gurugram DC</t>
        </is>
      </c>
      <c r="C36" s="4" t="inlineStr">
        <is>
          <t>North</t>
        </is>
      </c>
      <c r="D36" s="4" t="inlineStr">
        <is>
          <t>SKU032</t>
        </is>
      </c>
      <c r="E36" s="4" t="inlineStr">
        <is>
          <t>Namkeen Mix 400g</t>
        </is>
      </c>
      <c r="F36" s="4" t="inlineStr">
        <is>
          <t>Snacks &amp; Confectionery</t>
        </is>
      </c>
      <c r="G36" s="4" t="inlineStr">
        <is>
          <t>C</t>
        </is>
      </c>
      <c r="H36" s="11" t="n">
        <v>2052</v>
      </c>
      <c r="I36" s="4" t="n">
        <v>426.75</v>
      </c>
      <c r="J36" s="13">
        <f>IF(I36&gt;0,H36/I36,"")</f>
        <v/>
      </c>
      <c r="K36" s="4">
        <f>IF(I36&lt;=0,"NO DEMAND",IF(H36=0,"STOCKOUT",IF(J36&lt;Config!$B$5,"CRITICAL",IF(J36&lt;Config!$B$6,"LOW",IF(J36&gt;Config!$B$7,"EXCESS","HEALTHY")))))</f>
        <v/>
      </c>
      <c r="L36" s="11" t="n">
        <v>14</v>
      </c>
      <c r="M36" s="11" t="n">
        <v>17</v>
      </c>
      <c r="N36" s="11">
        <f>H36*L36</f>
        <v/>
      </c>
      <c r="O36" s="11">
        <f>IF(I36&gt;0,I36*(M36-L36),0)</f>
        <v/>
      </c>
      <c r="P36" s="11" t="n">
        <v>2508</v>
      </c>
    </row>
    <row r="37">
      <c r="A37" s="4" t="inlineStr">
        <is>
          <t>WH01</t>
        </is>
      </c>
      <c r="B37" s="4" t="inlineStr">
        <is>
          <t>Gurugram DC</t>
        </is>
      </c>
      <c r="C37" s="4" t="inlineStr">
        <is>
          <t>North</t>
        </is>
      </c>
      <c r="D37" s="4" t="inlineStr">
        <is>
          <t>SKU033</t>
        </is>
      </c>
      <c r="E37" s="4" t="inlineStr">
        <is>
          <t>Glucose Biscuits 300g</t>
        </is>
      </c>
      <c r="F37" s="4" t="inlineStr">
        <is>
          <t>Snacks &amp; Confectionery</t>
        </is>
      </c>
      <c r="G37" s="4" t="inlineStr">
        <is>
          <t>A</t>
        </is>
      </c>
      <c r="H37" s="11" t="n">
        <v>4016</v>
      </c>
      <c r="I37" s="4" t="n">
        <v>635.75</v>
      </c>
      <c r="J37" s="13">
        <f>IF(I37&gt;0,H37/I37,"")</f>
        <v/>
      </c>
      <c r="K37" s="4">
        <f>IF(I37&lt;=0,"NO DEMAND",IF(H37=0,"STOCKOUT",IF(J37&lt;Config!$B$5,"CRITICAL",IF(J37&lt;Config!$B$6,"LOW",IF(J37&gt;Config!$B$7,"EXCESS","HEALTHY")))))</f>
        <v/>
      </c>
      <c r="L37" s="11" t="n">
        <v>119</v>
      </c>
      <c r="M37" s="11" t="n">
        <v>144</v>
      </c>
      <c r="N37" s="11">
        <f>H37*L37</f>
        <v/>
      </c>
      <c r="O37" s="11">
        <f>IF(I37&gt;0,I37*(M37-L37),0)</f>
        <v/>
      </c>
      <c r="P37" s="11" t="n">
        <v>0</v>
      </c>
    </row>
    <row r="38">
      <c r="A38" s="4" t="inlineStr">
        <is>
          <t>WH01</t>
        </is>
      </c>
      <c r="B38" s="4" t="inlineStr">
        <is>
          <t>Gurugram DC</t>
        </is>
      </c>
      <c r="C38" s="4" t="inlineStr">
        <is>
          <t>North</t>
        </is>
      </c>
      <c r="D38" s="4" t="inlineStr">
        <is>
          <t>SKU034</t>
        </is>
      </c>
      <c r="E38" s="4" t="inlineStr">
        <is>
          <t>Cream Biscuits 120g</t>
        </is>
      </c>
      <c r="F38" s="4" t="inlineStr">
        <is>
          <t>Snacks &amp; Confectionery</t>
        </is>
      </c>
      <c r="G38" s="4" t="inlineStr">
        <is>
          <t>B</t>
        </is>
      </c>
      <c r="H38" s="11" t="n">
        <v>5925</v>
      </c>
      <c r="I38" s="4" t="n">
        <v>864.5</v>
      </c>
      <c r="J38" s="13">
        <f>IF(I38&gt;0,H38/I38,"")</f>
        <v/>
      </c>
      <c r="K38" s="4">
        <f>IF(I38&lt;=0,"NO DEMAND",IF(H38=0,"STOCKOUT",IF(J38&lt;Config!$B$5,"CRITICAL",IF(J38&lt;Config!$B$6,"LOW",IF(J38&gt;Config!$B$7,"EXCESS","HEALTHY")))))</f>
        <v/>
      </c>
      <c r="L38" s="11" t="n">
        <v>61</v>
      </c>
      <c r="M38" s="11" t="n">
        <v>73</v>
      </c>
      <c r="N38" s="11">
        <f>H38*L38</f>
        <v/>
      </c>
      <c r="O38" s="11">
        <f>IF(I38&gt;0,I38*(M38-L38),0)</f>
        <v/>
      </c>
      <c r="P38" s="11" t="n">
        <v>0</v>
      </c>
    </row>
    <row r="39">
      <c r="A39" s="4" t="inlineStr">
        <is>
          <t>WH01</t>
        </is>
      </c>
      <c r="B39" s="4" t="inlineStr">
        <is>
          <t>Gurugram DC</t>
        </is>
      </c>
      <c r="C39" s="4" t="inlineStr">
        <is>
          <t>North</t>
        </is>
      </c>
      <c r="D39" s="4" t="inlineStr">
        <is>
          <t>SKU035</t>
        </is>
      </c>
      <c r="E39" s="4" t="inlineStr">
        <is>
          <t>Chocolate Bar 40g</t>
        </is>
      </c>
      <c r="F39" s="4" t="inlineStr">
        <is>
          <t>Snacks &amp; Confectionery</t>
        </is>
      </c>
      <c r="G39" s="4" t="inlineStr">
        <is>
          <t>C</t>
        </is>
      </c>
      <c r="H39" s="11" t="n">
        <v>5508</v>
      </c>
      <c r="I39" s="4" t="n">
        <v>721</v>
      </c>
      <c r="J39" s="13">
        <f>IF(I39&gt;0,H39/I39,"")</f>
        <v/>
      </c>
      <c r="K39" s="4">
        <f>IF(I39&lt;=0,"NO DEMAND",IF(H39=0,"STOCKOUT",IF(J39&lt;Config!$B$5,"CRITICAL",IF(J39&lt;Config!$B$6,"LOW",IF(J39&gt;Config!$B$7,"EXCESS","HEALTHY")))))</f>
        <v/>
      </c>
      <c r="L39" s="11" t="n">
        <v>16</v>
      </c>
      <c r="M39" s="11" t="n">
        <v>20</v>
      </c>
      <c r="N39" s="11">
        <f>H39*L39</f>
        <v/>
      </c>
      <c r="O39" s="11">
        <f>IF(I39&gt;0,I39*(M39-L39),0)</f>
        <v/>
      </c>
      <c r="P39" s="11" t="n">
        <v>0</v>
      </c>
    </row>
    <row r="40">
      <c r="A40" s="4" t="inlineStr">
        <is>
          <t>WH01</t>
        </is>
      </c>
      <c r="B40" s="4" t="inlineStr">
        <is>
          <t>Gurugram DC</t>
        </is>
      </c>
      <c r="C40" s="4" t="inlineStr">
        <is>
          <t>North</t>
        </is>
      </c>
      <c r="D40" s="4" t="inlineStr">
        <is>
          <t>SKU036</t>
        </is>
      </c>
      <c r="E40" s="4" t="inlineStr">
        <is>
          <t>Instant Noodles 70g</t>
        </is>
      </c>
      <c r="F40" s="4" t="inlineStr">
        <is>
          <t>Snacks &amp; Confectionery</t>
        </is>
      </c>
      <c r="G40" s="4" t="inlineStr">
        <is>
          <t>C</t>
        </is>
      </c>
      <c r="H40" s="11" t="n">
        <v>4994</v>
      </c>
      <c r="I40" s="4" t="n">
        <v>701.75</v>
      </c>
      <c r="J40" s="13">
        <f>IF(I40&gt;0,H40/I40,"")</f>
        <v/>
      </c>
      <c r="K40" s="4">
        <f>IF(I40&lt;=0,"NO DEMAND",IF(H40=0,"STOCKOUT",IF(J40&lt;Config!$B$5,"CRITICAL",IF(J40&lt;Config!$B$6,"LOW",IF(J40&gt;Config!$B$7,"EXCESS","HEALTHY")))))</f>
        <v/>
      </c>
      <c r="L40" s="11" t="n">
        <v>19</v>
      </c>
      <c r="M40" s="11" t="n">
        <v>24</v>
      </c>
      <c r="N40" s="11">
        <f>H40*L40</f>
        <v/>
      </c>
      <c r="O40" s="11">
        <f>IF(I40&gt;0,I40*(M40-L40),0)</f>
        <v/>
      </c>
      <c r="P40" s="11" t="n">
        <v>0</v>
      </c>
    </row>
    <row r="41">
      <c r="A41" s="4" t="inlineStr">
        <is>
          <t>WH01</t>
        </is>
      </c>
      <c r="B41" s="4" t="inlineStr">
        <is>
          <t>Gurugram DC</t>
        </is>
      </c>
      <c r="C41" s="4" t="inlineStr">
        <is>
          <t>North</t>
        </is>
      </c>
      <c r="D41" s="4" t="inlineStr">
        <is>
          <t>SKU037</t>
        </is>
      </c>
      <c r="E41" s="4" t="inlineStr">
        <is>
          <t>Popcorn 60g</t>
        </is>
      </c>
      <c r="F41" s="4" t="inlineStr">
        <is>
          <t>Snacks &amp; Confectionery</t>
        </is>
      </c>
      <c r="G41" s="4" t="inlineStr">
        <is>
          <t>A</t>
        </is>
      </c>
      <c r="H41" s="11" t="n">
        <v>618</v>
      </c>
      <c r="I41" s="4" t="n">
        <v>81.25</v>
      </c>
      <c r="J41" s="13">
        <f>IF(I41&gt;0,H41/I41,"")</f>
        <v/>
      </c>
      <c r="K41" s="4">
        <f>IF(I41&lt;=0,"NO DEMAND",IF(H41=0,"STOCKOUT",IF(J41&lt;Config!$B$5,"CRITICAL",IF(J41&lt;Config!$B$6,"LOW",IF(J41&gt;Config!$B$7,"EXCESS","HEALTHY")))))</f>
        <v/>
      </c>
      <c r="L41" s="11" t="n">
        <v>137</v>
      </c>
      <c r="M41" s="11" t="n">
        <v>163</v>
      </c>
      <c r="N41" s="11">
        <f>H41*L41</f>
        <v/>
      </c>
      <c r="O41" s="11">
        <f>IF(I41&gt;0,I41*(M41-L41),0)</f>
        <v/>
      </c>
      <c r="P41" s="11" t="n">
        <v>0</v>
      </c>
    </row>
    <row r="42">
      <c r="A42" s="4" t="inlineStr">
        <is>
          <t>WH01</t>
        </is>
      </c>
      <c r="B42" s="4" t="inlineStr">
        <is>
          <t>Gurugram DC</t>
        </is>
      </c>
      <c r="C42" s="4" t="inlineStr">
        <is>
          <t>North</t>
        </is>
      </c>
      <c r="D42" s="4" t="inlineStr">
        <is>
          <t>SKU038</t>
        </is>
      </c>
      <c r="E42" s="4" t="inlineStr">
        <is>
          <t>Peanut Chikki 200g</t>
        </is>
      </c>
      <c r="F42" s="4" t="inlineStr">
        <is>
          <t>Snacks &amp; Confectionery</t>
        </is>
      </c>
      <c r="G42" s="4" t="inlineStr">
        <is>
          <t>C</t>
        </is>
      </c>
      <c r="H42" s="11" t="n">
        <v>6400</v>
      </c>
      <c r="I42" s="4" t="n">
        <v>572.75</v>
      </c>
      <c r="J42" s="13">
        <f>IF(I42&gt;0,H42/I42,"")</f>
        <v/>
      </c>
      <c r="K42" s="4">
        <f>IF(I42&lt;=0,"NO DEMAND",IF(H42=0,"STOCKOUT",IF(J42&lt;Config!$B$5,"CRITICAL",IF(J42&lt;Config!$B$6,"LOW",IF(J42&gt;Config!$B$7,"EXCESS","HEALTHY")))))</f>
        <v/>
      </c>
      <c r="L42" s="11" t="n">
        <v>18</v>
      </c>
      <c r="M42" s="11" t="n">
        <v>22</v>
      </c>
      <c r="N42" s="11">
        <f>H42*L42</f>
        <v/>
      </c>
      <c r="O42" s="11">
        <f>IF(I42&gt;0,I42*(M42-L42),0)</f>
        <v/>
      </c>
      <c r="P42" s="11" t="n">
        <v>0</v>
      </c>
    </row>
    <row r="43">
      <c r="A43" s="4" t="inlineStr">
        <is>
          <t>WH01</t>
        </is>
      </c>
      <c r="B43" s="4" t="inlineStr">
        <is>
          <t>Gurugram DC</t>
        </is>
      </c>
      <c r="C43" s="4" t="inlineStr">
        <is>
          <t>North</t>
        </is>
      </c>
      <c r="D43" s="4" t="inlineStr">
        <is>
          <t>SKU039</t>
        </is>
      </c>
      <c r="E43" s="4" t="inlineStr">
        <is>
          <t>Cookies 200g</t>
        </is>
      </c>
      <c r="F43" s="4" t="inlineStr">
        <is>
          <t>Snacks &amp; Confectionery</t>
        </is>
      </c>
      <c r="G43" s="4" t="inlineStr">
        <is>
          <t>A</t>
        </is>
      </c>
      <c r="H43" s="11" t="n">
        <v>5888</v>
      </c>
      <c r="I43" s="4" t="n">
        <v>1069.25</v>
      </c>
      <c r="J43" s="13">
        <f>IF(I43&gt;0,H43/I43,"")</f>
        <v/>
      </c>
      <c r="K43" s="4">
        <f>IF(I43&lt;=0,"NO DEMAND",IF(H43=0,"STOCKOUT",IF(J43&lt;Config!$B$5,"CRITICAL",IF(J43&lt;Config!$B$6,"LOW",IF(J43&gt;Config!$B$7,"EXCESS","HEALTHY")))))</f>
        <v/>
      </c>
      <c r="L43" s="11" t="n">
        <v>126</v>
      </c>
      <c r="M43" s="11" t="n">
        <v>150</v>
      </c>
      <c r="N43" s="11">
        <f>H43*L43</f>
        <v/>
      </c>
      <c r="O43" s="11">
        <f>IF(I43&gt;0,I43*(M43-L43),0)</f>
        <v/>
      </c>
      <c r="P43" s="11" t="n">
        <v>0</v>
      </c>
    </row>
    <row r="44">
      <c r="A44" s="4" t="inlineStr">
        <is>
          <t>WH01</t>
        </is>
      </c>
      <c r="B44" s="4" t="inlineStr">
        <is>
          <t>Gurugram DC</t>
        </is>
      </c>
      <c r="C44" s="4" t="inlineStr">
        <is>
          <t>North</t>
        </is>
      </c>
      <c r="D44" s="4" t="inlineStr">
        <is>
          <t>SKU040</t>
        </is>
      </c>
      <c r="E44" s="4" t="inlineStr">
        <is>
          <t>Wafers 75g</t>
        </is>
      </c>
      <c r="F44" s="4" t="inlineStr">
        <is>
          <t>Snacks &amp; Confectionery</t>
        </is>
      </c>
      <c r="G44" s="4" t="inlineStr">
        <is>
          <t>A</t>
        </is>
      </c>
      <c r="H44" s="11" t="n">
        <v>12454</v>
      </c>
      <c r="I44" s="4" t="n">
        <v>2013.75</v>
      </c>
      <c r="J44" s="13">
        <f>IF(I44&gt;0,H44/I44,"")</f>
        <v/>
      </c>
      <c r="K44" s="4">
        <f>IF(I44&lt;=0,"NO DEMAND",IF(H44=0,"STOCKOUT",IF(J44&lt;Config!$B$5,"CRITICAL",IF(J44&lt;Config!$B$6,"LOW",IF(J44&gt;Config!$B$7,"EXCESS","HEALTHY")))))</f>
        <v/>
      </c>
      <c r="L44" s="11" t="n">
        <v>90</v>
      </c>
      <c r="M44" s="11" t="n">
        <v>109</v>
      </c>
      <c r="N44" s="11">
        <f>H44*L44</f>
        <v/>
      </c>
      <c r="O44" s="11">
        <f>IF(I44&gt;0,I44*(M44-L44),0)</f>
        <v/>
      </c>
      <c r="P44" s="11" t="n">
        <v>0</v>
      </c>
    </row>
    <row r="45">
      <c r="A45" s="4" t="inlineStr">
        <is>
          <t>WH01</t>
        </is>
      </c>
      <c r="B45" s="4" t="inlineStr">
        <is>
          <t>Gurugram DC</t>
        </is>
      </c>
      <c r="C45" s="4" t="inlineStr">
        <is>
          <t>North</t>
        </is>
      </c>
      <c r="D45" s="4" t="inlineStr">
        <is>
          <t>SKU041</t>
        </is>
      </c>
      <c r="E45" s="4" t="inlineStr">
        <is>
          <t>Mathri 250g</t>
        </is>
      </c>
      <c r="F45" s="4" t="inlineStr">
        <is>
          <t>Snacks &amp; Confectionery</t>
        </is>
      </c>
      <c r="G45" s="4" t="inlineStr">
        <is>
          <t>A</t>
        </is>
      </c>
      <c r="H45" s="11" t="n">
        <v>6159</v>
      </c>
      <c r="I45" s="4" t="n">
        <v>803.25</v>
      </c>
      <c r="J45" s="13">
        <f>IF(I45&gt;0,H45/I45,"")</f>
        <v/>
      </c>
      <c r="K45" s="4">
        <f>IF(I45&lt;=0,"NO DEMAND",IF(H45=0,"STOCKOUT",IF(J45&lt;Config!$B$5,"CRITICAL",IF(J45&lt;Config!$B$6,"LOW",IF(J45&gt;Config!$B$7,"EXCESS","HEALTHY")))))</f>
        <v/>
      </c>
      <c r="L45" s="11" t="n">
        <v>100</v>
      </c>
      <c r="M45" s="11" t="n">
        <v>125</v>
      </c>
      <c r="N45" s="11">
        <f>H45*L45</f>
        <v/>
      </c>
      <c r="O45" s="11">
        <f>IF(I45&gt;0,I45*(M45-L45),0)</f>
        <v/>
      </c>
      <c r="P45" s="11" t="n">
        <v>0</v>
      </c>
    </row>
    <row r="46">
      <c r="A46" s="4" t="inlineStr">
        <is>
          <t>WH01</t>
        </is>
      </c>
      <c r="B46" s="4" t="inlineStr">
        <is>
          <t>Gurugram DC</t>
        </is>
      </c>
      <c r="C46" s="4" t="inlineStr">
        <is>
          <t>North</t>
        </is>
      </c>
      <c r="D46" s="4" t="inlineStr">
        <is>
          <t>SKU042</t>
        </is>
      </c>
      <c r="E46" s="4" t="inlineStr">
        <is>
          <t>Dry Fruit Mix 250g</t>
        </is>
      </c>
      <c r="F46" s="4" t="inlineStr">
        <is>
          <t>Snacks &amp; Confectionery</t>
        </is>
      </c>
      <c r="G46" s="4" t="inlineStr">
        <is>
          <t>A</t>
        </is>
      </c>
      <c r="H46" s="11" t="n">
        <v>3420</v>
      </c>
      <c r="I46" s="4" t="n">
        <v>643.25</v>
      </c>
      <c r="J46" s="13">
        <f>IF(I46&gt;0,H46/I46,"")</f>
        <v/>
      </c>
      <c r="K46" s="4">
        <f>IF(I46&lt;=0,"NO DEMAND",IF(H46=0,"STOCKOUT",IF(J46&lt;Config!$B$5,"CRITICAL",IF(J46&lt;Config!$B$6,"LOW",IF(J46&gt;Config!$B$7,"EXCESS","HEALTHY")))))</f>
        <v/>
      </c>
      <c r="L46" s="11" t="n">
        <v>74</v>
      </c>
      <c r="M46" s="11" t="n">
        <v>88</v>
      </c>
      <c r="N46" s="11">
        <f>H46*L46</f>
        <v/>
      </c>
      <c r="O46" s="11">
        <f>IF(I46&gt;0,I46*(M46-L46),0)</f>
        <v/>
      </c>
      <c r="P46" s="11" t="n">
        <v>0</v>
      </c>
    </row>
    <row r="47">
      <c r="A47" s="4" t="inlineStr">
        <is>
          <t>WH01</t>
        </is>
      </c>
      <c r="B47" s="4" t="inlineStr">
        <is>
          <t>Gurugram DC</t>
        </is>
      </c>
      <c r="C47" s="4" t="inlineStr">
        <is>
          <t>North</t>
        </is>
      </c>
      <c r="D47" s="4" t="inlineStr">
        <is>
          <t>SKU043</t>
        </is>
      </c>
      <c r="E47" s="4" t="inlineStr">
        <is>
          <t>Soan Papdi 500g</t>
        </is>
      </c>
      <c r="F47" s="4" t="inlineStr">
        <is>
          <t>Snacks &amp; Confectionery</t>
        </is>
      </c>
      <c r="G47" s="4" t="inlineStr">
        <is>
          <t>C</t>
        </is>
      </c>
      <c r="H47" s="11" t="n">
        <v>2883</v>
      </c>
      <c r="I47" s="4" t="n">
        <v>814</v>
      </c>
      <c r="J47" s="13">
        <f>IF(I47&gt;0,H47/I47,"")</f>
        <v/>
      </c>
      <c r="K47" s="4">
        <f>IF(I47&lt;=0,"NO DEMAND",IF(H47=0,"STOCKOUT",IF(J47&lt;Config!$B$5,"CRITICAL",IF(J47&lt;Config!$B$6,"LOW",IF(J47&gt;Config!$B$7,"EXCESS","HEALTHY")))))</f>
        <v/>
      </c>
      <c r="L47" s="11" t="n">
        <v>15</v>
      </c>
      <c r="M47" s="11" t="n">
        <v>18</v>
      </c>
      <c r="N47" s="11">
        <f>H47*L47</f>
        <v/>
      </c>
      <c r="O47" s="11">
        <f>IF(I47&gt;0,I47*(M47-L47),0)</f>
        <v/>
      </c>
      <c r="P47" s="11" t="n">
        <v>4188</v>
      </c>
    </row>
    <row r="48">
      <c r="A48" s="4" t="inlineStr">
        <is>
          <t>WH01</t>
        </is>
      </c>
      <c r="B48" s="4" t="inlineStr">
        <is>
          <t>Gurugram DC</t>
        </is>
      </c>
      <c r="C48" s="4" t="inlineStr">
        <is>
          <t>North</t>
        </is>
      </c>
      <c r="D48" s="4" t="inlineStr">
        <is>
          <t>SKU044</t>
        </is>
      </c>
      <c r="E48" s="4" t="inlineStr">
        <is>
          <t>Rusk 300g</t>
        </is>
      </c>
      <c r="F48" s="4" t="inlineStr">
        <is>
          <t>Snacks &amp; Confectionery</t>
        </is>
      </c>
      <c r="G48" s="4" t="inlineStr">
        <is>
          <t>A</t>
        </is>
      </c>
      <c r="H48" s="11" t="n">
        <v>1838</v>
      </c>
      <c r="I48" s="4" t="n">
        <v>363.25</v>
      </c>
      <c r="J48" s="13">
        <f>IF(I48&gt;0,H48/I48,"")</f>
        <v/>
      </c>
      <c r="K48" s="4">
        <f>IF(I48&lt;=0,"NO DEMAND",IF(H48=0,"STOCKOUT",IF(J48&lt;Config!$B$5,"CRITICAL",IF(J48&lt;Config!$B$6,"LOW",IF(J48&gt;Config!$B$7,"EXCESS","HEALTHY")))))</f>
        <v/>
      </c>
      <c r="L48" s="11" t="n">
        <v>57</v>
      </c>
      <c r="M48" s="11" t="n">
        <v>70</v>
      </c>
      <c r="N48" s="11">
        <f>H48*L48</f>
        <v/>
      </c>
      <c r="O48" s="11">
        <f>IF(I48&gt;0,I48*(M48-L48),0)</f>
        <v/>
      </c>
      <c r="P48" s="11" t="n">
        <v>0</v>
      </c>
    </row>
    <row r="49">
      <c r="A49" s="4" t="inlineStr">
        <is>
          <t>WH01</t>
        </is>
      </c>
      <c r="B49" s="4" t="inlineStr">
        <is>
          <t>Gurugram DC</t>
        </is>
      </c>
      <c r="C49" s="4" t="inlineStr">
        <is>
          <t>North</t>
        </is>
      </c>
      <c r="D49" s="4" t="inlineStr">
        <is>
          <t>SKU045</t>
        </is>
      </c>
      <c r="E49" s="4" t="inlineStr">
        <is>
          <t>Candy Pack 150g</t>
        </is>
      </c>
      <c r="F49" s="4" t="inlineStr">
        <is>
          <t>Snacks &amp; Confectionery</t>
        </is>
      </c>
      <c r="G49" s="4" t="inlineStr">
        <is>
          <t>C</t>
        </is>
      </c>
      <c r="H49" s="11" t="n">
        <v>3814</v>
      </c>
      <c r="I49" s="4" t="n">
        <v>1088</v>
      </c>
      <c r="J49" s="13">
        <f>IF(I49&gt;0,H49/I49,"")</f>
        <v/>
      </c>
      <c r="K49" s="4">
        <f>IF(I49&lt;=0,"NO DEMAND",IF(H49=0,"STOCKOUT",IF(J49&lt;Config!$B$5,"CRITICAL",IF(J49&lt;Config!$B$6,"LOW",IF(J49&gt;Config!$B$7,"EXCESS","HEALTHY")))))</f>
        <v/>
      </c>
      <c r="L49" s="11" t="n">
        <v>22</v>
      </c>
      <c r="M49" s="11" t="n">
        <v>27</v>
      </c>
      <c r="N49" s="11">
        <f>H49*L49</f>
        <v/>
      </c>
      <c r="O49" s="11">
        <f>IF(I49&gt;0,I49*(M49-L49),0)</f>
        <v/>
      </c>
      <c r="P49" s="11" t="n">
        <v>6492</v>
      </c>
    </row>
    <row r="50">
      <c r="A50" s="4" t="inlineStr">
        <is>
          <t>WH01</t>
        </is>
      </c>
      <c r="B50" s="4" t="inlineStr">
        <is>
          <t>Gurugram DC</t>
        </is>
      </c>
      <c r="C50" s="4" t="inlineStr">
        <is>
          <t>North</t>
        </is>
      </c>
      <c r="D50" s="4" t="inlineStr">
        <is>
          <t>SKU046</t>
        </is>
      </c>
      <c r="E50" s="4" t="inlineStr">
        <is>
          <t>Shampoo 340ml</t>
        </is>
      </c>
      <c r="F50" s="4" t="inlineStr">
        <is>
          <t>Personal Care</t>
        </is>
      </c>
      <c r="G50" s="4" t="inlineStr">
        <is>
          <t>C</t>
        </is>
      </c>
      <c r="H50" s="11" t="n">
        <v>3736</v>
      </c>
      <c r="I50" s="4" t="n">
        <v>712.75</v>
      </c>
      <c r="J50" s="13">
        <f>IF(I50&gt;0,H50/I50,"")</f>
        <v/>
      </c>
      <c r="K50" s="4">
        <f>IF(I50&lt;=0,"NO DEMAND",IF(H50=0,"STOCKOUT",IF(J50&lt;Config!$B$5,"CRITICAL",IF(J50&lt;Config!$B$6,"LOW",IF(J50&gt;Config!$B$7,"EXCESS","HEALTHY")))))</f>
        <v/>
      </c>
      <c r="L50" s="11" t="n">
        <v>51</v>
      </c>
      <c r="M50" s="11" t="n">
        <v>67</v>
      </c>
      <c r="N50" s="11">
        <f>H50*L50</f>
        <v/>
      </c>
      <c r="O50" s="11">
        <f>IF(I50&gt;0,I50*(M50-L50),0)</f>
        <v/>
      </c>
      <c r="P50" s="11" t="n">
        <v>0</v>
      </c>
    </row>
    <row r="51">
      <c r="A51" s="4" t="inlineStr">
        <is>
          <t>WH01</t>
        </is>
      </c>
      <c r="B51" s="4" t="inlineStr">
        <is>
          <t>Gurugram DC</t>
        </is>
      </c>
      <c r="C51" s="4" t="inlineStr">
        <is>
          <t>North</t>
        </is>
      </c>
      <c r="D51" s="4" t="inlineStr">
        <is>
          <t>SKU047</t>
        </is>
      </c>
      <c r="E51" s="4" t="inlineStr">
        <is>
          <t>Soap 4-pack</t>
        </is>
      </c>
      <c r="F51" s="4" t="inlineStr">
        <is>
          <t>Personal Care</t>
        </is>
      </c>
      <c r="G51" s="4" t="inlineStr">
        <is>
          <t>C</t>
        </is>
      </c>
      <c r="H51" s="11" t="n">
        <v>5360</v>
      </c>
      <c r="I51" s="4" t="n">
        <v>1057.75</v>
      </c>
      <c r="J51" s="13">
        <f>IF(I51&gt;0,H51/I51,"")</f>
        <v/>
      </c>
      <c r="K51" s="4">
        <f>IF(I51&lt;=0,"NO DEMAND",IF(H51=0,"STOCKOUT",IF(J51&lt;Config!$B$5,"CRITICAL",IF(J51&lt;Config!$B$6,"LOW",IF(J51&gt;Config!$B$7,"EXCESS","HEALTHY")))))</f>
        <v/>
      </c>
      <c r="L51" s="11" t="n">
        <v>37</v>
      </c>
      <c r="M51" s="11" t="n">
        <v>47</v>
      </c>
      <c r="N51" s="11">
        <f>H51*L51</f>
        <v/>
      </c>
      <c r="O51" s="11">
        <f>IF(I51&gt;0,I51*(M51-L51),0)</f>
        <v/>
      </c>
      <c r="P51" s="11" t="n">
        <v>0</v>
      </c>
    </row>
    <row r="52">
      <c r="A52" s="4" t="inlineStr">
        <is>
          <t>WH01</t>
        </is>
      </c>
      <c r="B52" s="4" t="inlineStr">
        <is>
          <t>Gurugram DC</t>
        </is>
      </c>
      <c r="C52" s="4" t="inlineStr">
        <is>
          <t>North</t>
        </is>
      </c>
      <c r="D52" s="4" t="inlineStr">
        <is>
          <t>SKU048</t>
        </is>
      </c>
      <c r="E52" s="4" t="inlineStr">
        <is>
          <t>Toothpaste 150g</t>
        </is>
      </c>
      <c r="F52" s="4" t="inlineStr">
        <is>
          <t>Personal Care</t>
        </is>
      </c>
      <c r="G52" s="4" t="inlineStr">
        <is>
          <t>C</t>
        </is>
      </c>
      <c r="H52" s="11" t="n">
        <v>2891</v>
      </c>
      <c r="I52" s="4" t="n">
        <v>538.25</v>
      </c>
      <c r="J52" s="13">
        <f>IF(I52&gt;0,H52/I52,"")</f>
        <v/>
      </c>
      <c r="K52" s="4">
        <f>IF(I52&lt;=0,"NO DEMAND",IF(H52=0,"STOCKOUT",IF(J52&lt;Config!$B$5,"CRITICAL",IF(J52&lt;Config!$B$6,"LOW",IF(J52&gt;Config!$B$7,"EXCESS","HEALTHY")))))</f>
        <v/>
      </c>
      <c r="L52" s="11" t="n">
        <v>51</v>
      </c>
      <c r="M52" s="11" t="n">
        <v>67</v>
      </c>
      <c r="N52" s="11">
        <f>H52*L52</f>
        <v/>
      </c>
      <c r="O52" s="11">
        <f>IF(I52&gt;0,I52*(M52-L52),0)</f>
        <v/>
      </c>
      <c r="P52" s="11" t="n">
        <v>3192</v>
      </c>
    </row>
    <row r="53">
      <c r="A53" s="4" t="inlineStr">
        <is>
          <t>WH01</t>
        </is>
      </c>
      <c r="B53" s="4" t="inlineStr">
        <is>
          <t>Gurugram DC</t>
        </is>
      </c>
      <c r="C53" s="4" t="inlineStr">
        <is>
          <t>North</t>
        </is>
      </c>
      <c r="D53" s="4" t="inlineStr">
        <is>
          <t>SKU049</t>
        </is>
      </c>
      <c r="E53" s="4" t="inlineStr">
        <is>
          <t>Face Wash 100ml</t>
        </is>
      </c>
      <c r="F53" s="4" t="inlineStr">
        <is>
          <t>Personal Care</t>
        </is>
      </c>
      <c r="G53" s="4" t="inlineStr">
        <is>
          <t>C</t>
        </is>
      </c>
      <c r="H53" s="11" t="n">
        <v>1649</v>
      </c>
      <c r="I53" s="4" t="n">
        <v>470.75</v>
      </c>
      <c r="J53" s="13">
        <f>IF(I53&gt;0,H53/I53,"")</f>
        <v/>
      </c>
      <c r="K53" s="4">
        <f>IF(I53&lt;=0,"NO DEMAND",IF(H53=0,"STOCKOUT",IF(J53&lt;Config!$B$5,"CRITICAL",IF(J53&lt;Config!$B$6,"LOW",IF(J53&gt;Config!$B$7,"EXCESS","HEALTHY")))))</f>
        <v/>
      </c>
      <c r="L53" s="11" t="n">
        <v>32</v>
      </c>
      <c r="M53" s="11" t="n">
        <v>41</v>
      </c>
      <c r="N53" s="11">
        <f>H53*L53</f>
        <v/>
      </c>
      <c r="O53" s="11">
        <f>IF(I53&gt;0,I53*(M53-L53),0)</f>
        <v/>
      </c>
      <c r="P53" s="11" t="n">
        <v>2196</v>
      </c>
    </row>
    <row r="54">
      <c r="A54" s="4" t="inlineStr">
        <is>
          <t>WH01</t>
        </is>
      </c>
      <c r="B54" s="4" t="inlineStr">
        <is>
          <t>Gurugram DC</t>
        </is>
      </c>
      <c r="C54" s="4" t="inlineStr">
        <is>
          <t>North</t>
        </is>
      </c>
      <c r="D54" s="4" t="inlineStr">
        <is>
          <t>SKU050</t>
        </is>
      </c>
      <c r="E54" s="4" t="inlineStr">
        <is>
          <t>Body Lotion 400ml</t>
        </is>
      </c>
      <c r="F54" s="4" t="inlineStr">
        <is>
          <t>Personal Care</t>
        </is>
      </c>
      <c r="G54" s="4" t="inlineStr">
        <is>
          <t>B</t>
        </is>
      </c>
      <c r="H54" s="11" t="n">
        <v>4005</v>
      </c>
      <c r="I54" s="4" t="n">
        <v>493.25</v>
      </c>
      <c r="J54" s="13">
        <f>IF(I54&gt;0,H54/I54,"")</f>
        <v/>
      </c>
      <c r="K54" s="4">
        <f>IF(I54&lt;=0,"NO DEMAND",IF(H54=0,"STOCKOUT",IF(J54&lt;Config!$B$5,"CRITICAL",IF(J54&lt;Config!$B$6,"LOW",IF(J54&gt;Config!$B$7,"EXCESS","HEALTHY")))))</f>
        <v/>
      </c>
      <c r="L54" s="11" t="n">
        <v>138</v>
      </c>
      <c r="M54" s="11" t="n">
        <v>175</v>
      </c>
      <c r="N54" s="11">
        <f>H54*L54</f>
        <v/>
      </c>
      <c r="O54" s="11">
        <f>IF(I54&gt;0,I54*(M54-L54),0)</f>
        <v/>
      </c>
      <c r="P54" s="11" t="n">
        <v>0</v>
      </c>
    </row>
    <row r="55">
      <c r="A55" s="4" t="inlineStr">
        <is>
          <t>WH01</t>
        </is>
      </c>
      <c r="B55" s="4" t="inlineStr">
        <is>
          <t>Gurugram DC</t>
        </is>
      </c>
      <c r="C55" s="4" t="inlineStr">
        <is>
          <t>North</t>
        </is>
      </c>
      <c r="D55" s="4" t="inlineStr">
        <is>
          <t>SKU051</t>
        </is>
      </c>
      <c r="E55" s="4" t="inlineStr">
        <is>
          <t>Hair Oil 200ml</t>
        </is>
      </c>
      <c r="F55" s="4" t="inlineStr">
        <is>
          <t>Personal Care</t>
        </is>
      </c>
      <c r="G55" s="4" t="inlineStr">
        <is>
          <t>B</t>
        </is>
      </c>
      <c r="H55" s="11" t="n">
        <v>1698</v>
      </c>
      <c r="I55" s="4" t="n">
        <v>387.75</v>
      </c>
      <c r="J55" s="13">
        <f>IF(I55&gt;0,H55/I55,"")</f>
        <v/>
      </c>
      <c r="K55" s="4">
        <f>IF(I55&lt;=0,"NO DEMAND",IF(H55=0,"STOCKOUT",IF(J55&lt;Config!$B$5,"CRITICAL",IF(J55&lt;Config!$B$6,"LOW",IF(J55&gt;Config!$B$7,"EXCESS","HEALTHY")))))</f>
        <v/>
      </c>
      <c r="L55" s="11" t="n">
        <v>156</v>
      </c>
      <c r="M55" s="11" t="n">
        <v>203</v>
      </c>
      <c r="N55" s="11">
        <f>H55*L55</f>
        <v/>
      </c>
      <c r="O55" s="11">
        <f>IF(I55&gt;0,I55*(M55-L55),0)</f>
        <v/>
      </c>
      <c r="P55" s="11" t="n">
        <v>2316</v>
      </c>
    </row>
    <row r="56">
      <c r="A56" s="4" t="inlineStr">
        <is>
          <t>WH01</t>
        </is>
      </c>
      <c r="B56" s="4" t="inlineStr">
        <is>
          <t>Gurugram DC</t>
        </is>
      </c>
      <c r="C56" s="4" t="inlineStr">
        <is>
          <t>North</t>
        </is>
      </c>
      <c r="D56" s="4" t="inlineStr">
        <is>
          <t>SKU052</t>
        </is>
      </c>
      <c r="E56" s="4" t="inlineStr">
        <is>
          <t>Deodorant 150ml</t>
        </is>
      </c>
      <c r="F56" s="4" t="inlineStr">
        <is>
          <t>Personal Care</t>
        </is>
      </c>
      <c r="G56" s="4" t="inlineStr">
        <is>
          <t>B</t>
        </is>
      </c>
      <c r="H56" s="11" t="n">
        <v>4064</v>
      </c>
      <c r="I56" s="4" t="n">
        <v>473.75</v>
      </c>
      <c r="J56" s="13">
        <f>IF(I56&gt;0,H56/I56,"")</f>
        <v/>
      </c>
      <c r="K56" s="4">
        <f>IF(I56&lt;=0,"NO DEMAND",IF(H56=0,"STOCKOUT",IF(J56&lt;Config!$B$5,"CRITICAL",IF(J56&lt;Config!$B$6,"LOW",IF(J56&gt;Config!$B$7,"EXCESS","HEALTHY")))))</f>
        <v/>
      </c>
      <c r="L56" s="11" t="n">
        <v>133</v>
      </c>
      <c r="M56" s="11" t="n">
        <v>179</v>
      </c>
      <c r="N56" s="11">
        <f>H56*L56</f>
        <v/>
      </c>
      <c r="O56" s="11">
        <f>IF(I56&gt;0,I56*(M56-L56),0)</f>
        <v/>
      </c>
      <c r="P56" s="11" t="n">
        <v>0</v>
      </c>
    </row>
    <row r="57">
      <c r="A57" s="4" t="inlineStr">
        <is>
          <t>WH01</t>
        </is>
      </c>
      <c r="B57" s="4" t="inlineStr">
        <is>
          <t>Gurugram DC</t>
        </is>
      </c>
      <c r="C57" s="4" t="inlineStr">
        <is>
          <t>North</t>
        </is>
      </c>
      <c r="D57" s="4" t="inlineStr">
        <is>
          <t>SKU053</t>
        </is>
      </c>
      <c r="E57" s="4" t="inlineStr">
        <is>
          <t>Sanitary Pads 20pk</t>
        </is>
      </c>
      <c r="F57" s="4" t="inlineStr">
        <is>
          <t>Personal Care</t>
        </is>
      </c>
      <c r="G57" s="4" t="inlineStr">
        <is>
          <t>C</t>
        </is>
      </c>
      <c r="H57" s="11" t="n">
        <v>5166</v>
      </c>
      <c r="I57" s="4" t="n">
        <v>695</v>
      </c>
      <c r="J57" s="13">
        <f>IF(I57&gt;0,H57/I57,"")</f>
        <v/>
      </c>
      <c r="K57" s="4">
        <f>IF(I57&lt;=0,"NO DEMAND",IF(H57=0,"STOCKOUT",IF(J57&lt;Config!$B$5,"CRITICAL",IF(J57&lt;Config!$B$6,"LOW",IF(J57&gt;Config!$B$7,"EXCESS","HEALTHY")))))</f>
        <v/>
      </c>
      <c r="L57" s="11" t="n">
        <v>31</v>
      </c>
      <c r="M57" s="11" t="n">
        <v>39</v>
      </c>
      <c r="N57" s="11">
        <f>H57*L57</f>
        <v/>
      </c>
      <c r="O57" s="11">
        <f>IF(I57&gt;0,I57*(M57-L57),0)</f>
        <v/>
      </c>
      <c r="P57" s="11" t="n">
        <v>0</v>
      </c>
    </row>
    <row r="58">
      <c r="A58" s="4" t="inlineStr">
        <is>
          <t>WH01</t>
        </is>
      </c>
      <c r="B58" s="4" t="inlineStr">
        <is>
          <t>Gurugram DC</t>
        </is>
      </c>
      <c r="C58" s="4" t="inlineStr">
        <is>
          <t>North</t>
        </is>
      </c>
      <c r="D58" s="4" t="inlineStr">
        <is>
          <t>SKU054</t>
        </is>
      </c>
      <c r="E58" s="4" t="inlineStr">
        <is>
          <t>Razor 5pk</t>
        </is>
      </c>
      <c r="F58" s="4" t="inlineStr">
        <is>
          <t>Personal Care</t>
        </is>
      </c>
      <c r="G58" s="4" t="inlineStr">
        <is>
          <t>B</t>
        </is>
      </c>
      <c r="H58" s="11" t="n">
        <v>3286</v>
      </c>
      <c r="I58" s="4" t="n">
        <v>428</v>
      </c>
      <c r="J58" s="13">
        <f>IF(I58&gt;0,H58/I58,"")</f>
        <v/>
      </c>
      <c r="K58" s="4">
        <f>IF(I58&lt;=0,"NO DEMAND",IF(H58=0,"STOCKOUT",IF(J58&lt;Config!$B$5,"CRITICAL",IF(J58&lt;Config!$B$6,"LOW",IF(J58&gt;Config!$B$7,"EXCESS","HEALTHY")))))</f>
        <v/>
      </c>
      <c r="L58" s="11" t="n">
        <v>106</v>
      </c>
      <c r="M58" s="11" t="n">
        <v>137</v>
      </c>
      <c r="N58" s="11">
        <f>H58*L58</f>
        <v/>
      </c>
      <c r="O58" s="11">
        <f>IF(I58&gt;0,I58*(M58-L58),0)</f>
        <v/>
      </c>
      <c r="P58" s="11" t="n">
        <v>0</v>
      </c>
    </row>
    <row r="59">
      <c r="A59" s="4" t="inlineStr">
        <is>
          <t>WH01</t>
        </is>
      </c>
      <c r="B59" s="4" t="inlineStr">
        <is>
          <t>Gurugram DC</t>
        </is>
      </c>
      <c r="C59" s="4" t="inlineStr">
        <is>
          <t>North</t>
        </is>
      </c>
      <c r="D59" s="4" t="inlineStr">
        <is>
          <t>SKU055</t>
        </is>
      </c>
      <c r="E59" s="4" t="inlineStr">
        <is>
          <t>Talc 300g</t>
        </is>
      </c>
      <c r="F59" s="4" t="inlineStr">
        <is>
          <t>Personal Care</t>
        </is>
      </c>
      <c r="G59" s="4" t="inlineStr">
        <is>
          <t>B</t>
        </is>
      </c>
      <c r="H59" s="11" t="n">
        <v>3029</v>
      </c>
      <c r="I59" s="4" t="n">
        <v>521.5</v>
      </c>
      <c r="J59" s="13">
        <f>IF(I59&gt;0,H59/I59,"")</f>
        <v/>
      </c>
      <c r="K59" s="4">
        <f>IF(I59&lt;=0,"NO DEMAND",IF(H59=0,"STOCKOUT",IF(J59&lt;Config!$B$5,"CRITICAL",IF(J59&lt;Config!$B$6,"LOW",IF(J59&gt;Config!$B$7,"EXCESS","HEALTHY")))))</f>
        <v/>
      </c>
      <c r="L59" s="11" t="n">
        <v>77</v>
      </c>
      <c r="M59" s="11" t="n">
        <v>100</v>
      </c>
      <c r="N59" s="11">
        <f>H59*L59</f>
        <v/>
      </c>
      <c r="O59" s="11">
        <f>IF(I59&gt;0,I59*(M59-L59),0)</f>
        <v/>
      </c>
      <c r="P59" s="11" t="n">
        <v>0</v>
      </c>
    </row>
    <row r="60">
      <c r="A60" s="4" t="inlineStr">
        <is>
          <t>WH01</t>
        </is>
      </c>
      <c r="B60" s="4" t="inlineStr">
        <is>
          <t>Gurugram DC</t>
        </is>
      </c>
      <c r="C60" s="4" t="inlineStr">
        <is>
          <t>North</t>
        </is>
      </c>
      <c r="D60" s="4" t="inlineStr">
        <is>
          <t>SKU056</t>
        </is>
      </c>
      <c r="E60" s="4" t="inlineStr">
        <is>
          <t>Sunscreen 50g</t>
        </is>
      </c>
      <c r="F60" s="4" t="inlineStr">
        <is>
          <t>Personal Care</t>
        </is>
      </c>
      <c r="G60" s="4" t="inlineStr">
        <is>
          <t>A</t>
        </is>
      </c>
      <c r="H60" s="11" t="n">
        <v>481</v>
      </c>
      <c r="I60" s="4" t="n">
        <v>292.25</v>
      </c>
      <c r="J60" s="13">
        <f>IF(I60&gt;0,H60/I60,"")</f>
        <v/>
      </c>
      <c r="K60" s="4">
        <f>IF(I60&lt;=0,"NO DEMAND",IF(H60=0,"STOCKOUT",IF(J60&lt;Config!$B$5,"CRITICAL",IF(J60&lt;Config!$B$6,"LOW",IF(J60&gt;Config!$B$7,"EXCESS","HEALTHY")))))</f>
        <v/>
      </c>
      <c r="L60" s="11" t="n">
        <v>393</v>
      </c>
      <c r="M60" s="11" t="n">
        <v>510</v>
      </c>
      <c r="N60" s="11">
        <f>H60*L60</f>
        <v/>
      </c>
      <c r="O60" s="11">
        <f>IF(I60&gt;0,I60*(M60-L60),0)</f>
        <v/>
      </c>
      <c r="P60" s="11" t="n">
        <v>2016</v>
      </c>
    </row>
    <row r="61">
      <c r="A61" s="4" t="inlineStr">
        <is>
          <t>WH01</t>
        </is>
      </c>
      <c r="B61" s="4" t="inlineStr">
        <is>
          <t>Gurugram DC</t>
        </is>
      </c>
      <c r="C61" s="4" t="inlineStr">
        <is>
          <t>North</t>
        </is>
      </c>
      <c r="D61" s="4" t="inlineStr">
        <is>
          <t>SKU057</t>
        </is>
      </c>
      <c r="E61" s="4" t="inlineStr">
        <is>
          <t>Hand Wash 250ml</t>
        </is>
      </c>
      <c r="F61" s="4" t="inlineStr">
        <is>
          <t>Personal Care</t>
        </is>
      </c>
      <c r="G61" s="4" t="inlineStr">
        <is>
          <t>C</t>
        </is>
      </c>
      <c r="H61" s="11" t="n">
        <v>1274</v>
      </c>
      <c r="I61" s="4" t="n">
        <v>209.25</v>
      </c>
      <c r="J61" s="13">
        <f>IF(I61&gt;0,H61/I61,"")</f>
        <v/>
      </c>
      <c r="K61" s="4">
        <f>IF(I61&lt;=0,"NO DEMAND",IF(H61=0,"STOCKOUT",IF(J61&lt;Config!$B$5,"CRITICAL",IF(J61&lt;Config!$B$6,"LOW",IF(J61&gt;Config!$B$7,"EXCESS","HEALTHY")))))</f>
        <v/>
      </c>
      <c r="L61" s="11" t="n">
        <v>108</v>
      </c>
      <c r="M61" s="11" t="n">
        <v>136</v>
      </c>
      <c r="N61" s="11">
        <f>H61*L61</f>
        <v/>
      </c>
      <c r="O61" s="11">
        <f>IF(I61&gt;0,I61*(M61-L61),0)</f>
        <v/>
      </c>
      <c r="P61" s="11" t="n">
        <v>0</v>
      </c>
    </row>
    <row r="62">
      <c r="A62" s="4" t="inlineStr">
        <is>
          <t>WH01</t>
        </is>
      </c>
      <c r="B62" s="4" t="inlineStr">
        <is>
          <t>Gurugram DC</t>
        </is>
      </c>
      <c r="C62" s="4" t="inlineStr">
        <is>
          <t>North</t>
        </is>
      </c>
      <c r="D62" s="4" t="inlineStr">
        <is>
          <t>SKU058</t>
        </is>
      </c>
      <c r="E62" s="4" t="inlineStr">
        <is>
          <t>Kajal Pack</t>
        </is>
      </c>
      <c r="F62" s="4" t="inlineStr">
        <is>
          <t>Personal Care</t>
        </is>
      </c>
      <c r="G62" s="4" t="inlineStr">
        <is>
          <t>A</t>
        </is>
      </c>
      <c r="H62" s="11" t="n">
        <v>476</v>
      </c>
      <c r="I62" s="4" t="n">
        <v>70.5</v>
      </c>
      <c r="J62" s="13">
        <f>IF(I62&gt;0,H62/I62,"")</f>
        <v/>
      </c>
      <c r="K62" s="4">
        <f>IF(I62&lt;=0,"NO DEMAND",IF(H62=0,"STOCKOUT",IF(J62&lt;Config!$B$5,"CRITICAL",IF(J62&lt;Config!$B$6,"LOW",IF(J62&gt;Config!$B$7,"EXCESS","HEALTHY")))))</f>
        <v/>
      </c>
      <c r="L62" s="11" t="n">
        <v>392</v>
      </c>
      <c r="M62" s="11" t="n">
        <v>498</v>
      </c>
      <c r="N62" s="11">
        <f>H62*L62</f>
        <v/>
      </c>
      <c r="O62" s="11">
        <f>IF(I62&gt;0,I62*(M62-L62),0)</f>
        <v/>
      </c>
      <c r="P62" s="11" t="n">
        <v>0</v>
      </c>
    </row>
    <row r="63">
      <c r="A63" s="4" t="inlineStr">
        <is>
          <t>WH01</t>
        </is>
      </c>
      <c r="B63" s="4" t="inlineStr">
        <is>
          <t>Gurugram DC</t>
        </is>
      </c>
      <c r="C63" s="4" t="inlineStr">
        <is>
          <t>North</t>
        </is>
      </c>
      <c r="D63" s="4" t="inlineStr">
        <is>
          <t>SKU059</t>
        </is>
      </c>
      <c r="E63" s="4" t="inlineStr">
        <is>
          <t>Lip Balm</t>
        </is>
      </c>
      <c r="F63" s="4" t="inlineStr">
        <is>
          <t>Personal Care</t>
        </is>
      </c>
      <c r="G63" s="4" t="inlineStr">
        <is>
          <t>B</t>
        </is>
      </c>
      <c r="H63" s="11" t="n">
        <v>148</v>
      </c>
      <c r="I63" s="4" t="n">
        <v>90.75</v>
      </c>
      <c r="J63" s="13">
        <f>IF(I63&gt;0,H63/I63,"")</f>
        <v/>
      </c>
      <c r="K63" s="4">
        <f>IF(I63&lt;=0,"NO DEMAND",IF(H63=0,"STOCKOUT",IF(J63&lt;Config!$B$5,"CRITICAL",IF(J63&lt;Config!$B$6,"LOW",IF(J63&gt;Config!$B$7,"EXCESS","HEALTHY")))))</f>
        <v/>
      </c>
      <c r="L63" s="11" t="n">
        <v>150</v>
      </c>
      <c r="M63" s="11" t="n">
        <v>198</v>
      </c>
      <c r="N63" s="11">
        <f>H63*L63</f>
        <v/>
      </c>
      <c r="O63" s="11">
        <f>IF(I63&gt;0,I63*(M63-L63),0)</f>
        <v/>
      </c>
      <c r="P63" s="11" t="n">
        <v>828</v>
      </c>
    </row>
    <row r="64">
      <c r="A64" s="4" t="inlineStr">
        <is>
          <t>WH01</t>
        </is>
      </c>
      <c r="B64" s="4" t="inlineStr">
        <is>
          <t>Gurugram DC</t>
        </is>
      </c>
      <c r="C64" s="4" t="inlineStr">
        <is>
          <t>North</t>
        </is>
      </c>
      <c r="D64" s="4" t="inlineStr">
        <is>
          <t>SKU060</t>
        </is>
      </c>
      <c r="E64" s="4" t="inlineStr">
        <is>
          <t>Mouthwash 250ml</t>
        </is>
      </c>
      <c r="F64" s="4" t="inlineStr">
        <is>
          <t>Personal Care</t>
        </is>
      </c>
      <c r="G64" s="4" t="inlineStr">
        <is>
          <t>A</t>
        </is>
      </c>
      <c r="H64" s="11" t="n">
        <v>6258</v>
      </c>
      <c r="I64" s="4" t="n">
        <v>1008.25</v>
      </c>
      <c r="J64" s="13">
        <f>IF(I64&gt;0,H64/I64,"")</f>
        <v/>
      </c>
      <c r="K64" s="4">
        <f>IF(I64&lt;=0,"NO DEMAND",IF(H64=0,"STOCKOUT",IF(J64&lt;Config!$B$5,"CRITICAL",IF(J64&lt;Config!$B$6,"LOW",IF(J64&gt;Config!$B$7,"EXCESS","HEALTHY")))))</f>
        <v/>
      </c>
      <c r="L64" s="11" t="n">
        <v>376</v>
      </c>
      <c r="M64" s="11" t="n">
        <v>491</v>
      </c>
      <c r="N64" s="11">
        <f>H64*L64</f>
        <v/>
      </c>
      <c r="O64" s="11">
        <f>IF(I64&gt;0,I64*(M64-L64),0)</f>
        <v/>
      </c>
      <c r="P64" s="11" t="n">
        <v>0</v>
      </c>
    </row>
    <row r="65">
      <c r="A65" s="4" t="inlineStr">
        <is>
          <t>WH01</t>
        </is>
      </c>
      <c r="B65" s="4" t="inlineStr">
        <is>
          <t>Gurugram DC</t>
        </is>
      </c>
      <c r="C65" s="4" t="inlineStr">
        <is>
          <t>North</t>
        </is>
      </c>
      <c r="D65" s="4" t="inlineStr">
        <is>
          <t>SKU061</t>
        </is>
      </c>
      <c r="E65" s="4" t="inlineStr">
        <is>
          <t>Detergent Powder 2kg</t>
        </is>
      </c>
      <c r="F65" s="4" t="inlineStr">
        <is>
          <t>Home Care</t>
        </is>
      </c>
      <c r="G65" s="4" t="inlineStr">
        <is>
          <t>B</t>
        </is>
      </c>
      <c r="H65" s="11" t="n">
        <v>1195</v>
      </c>
      <c r="I65" s="4" t="n">
        <v>550.25</v>
      </c>
      <c r="J65" s="13">
        <f>IF(I65&gt;0,H65/I65,"")</f>
        <v/>
      </c>
      <c r="K65" s="4">
        <f>IF(I65&lt;=0,"NO DEMAND",IF(H65=0,"STOCKOUT",IF(J65&lt;Config!$B$5,"CRITICAL",IF(J65&lt;Config!$B$6,"LOW",IF(J65&gt;Config!$B$7,"EXCESS","HEALTHY")))))</f>
        <v/>
      </c>
      <c r="L65" s="11" t="n">
        <v>104</v>
      </c>
      <c r="M65" s="11" t="n">
        <v>132</v>
      </c>
      <c r="N65" s="11">
        <f>H65*L65</f>
        <v/>
      </c>
      <c r="O65" s="11">
        <f>IF(I65&gt;0,I65*(M65-L65),0)</f>
        <v/>
      </c>
      <c r="P65" s="11" t="n">
        <v>3576</v>
      </c>
    </row>
    <row r="66">
      <c r="A66" s="4" t="inlineStr">
        <is>
          <t>WH01</t>
        </is>
      </c>
      <c r="B66" s="4" t="inlineStr">
        <is>
          <t>Gurugram DC</t>
        </is>
      </c>
      <c r="C66" s="4" t="inlineStr">
        <is>
          <t>North</t>
        </is>
      </c>
      <c r="D66" s="4" t="inlineStr">
        <is>
          <t>SKU062</t>
        </is>
      </c>
      <c r="E66" s="4" t="inlineStr">
        <is>
          <t>Dishwash Liquid 750ml</t>
        </is>
      </c>
      <c r="F66" s="4" t="inlineStr">
        <is>
          <t>Home Care</t>
        </is>
      </c>
      <c r="G66" s="4" t="inlineStr">
        <is>
          <t>A</t>
        </is>
      </c>
      <c r="H66" s="11" t="n">
        <v>4183</v>
      </c>
      <c r="I66" s="4" t="n">
        <v>554.75</v>
      </c>
      <c r="J66" s="13">
        <f>IF(I66&gt;0,H66/I66,"")</f>
        <v/>
      </c>
      <c r="K66" s="4">
        <f>IF(I66&lt;=0,"NO DEMAND",IF(H66=0,"STOCKOUT",IF(J66&lt;Config!$B$5,"CRITICAL",IF(J66&lt;Config!$B$6,"LOW",IF(J66&gt;Config!$B$7,"EXCESS","HEALTHY")))))</f>
        <v/>
      </c>
      <c r="L66" s="11" t="n">
        <v>122</v>
      </c>
      <c r="M66" s="11" t="n">
        <v>148</v>
      </c>
      <c r="N66" s="11">
        <f>H66*L66</f>
        <v/>
      </c>
      <c r="O66" s="11">
        <f>IF(I66&gt;0,I66*(M66-L66),0)</f>
        <v/>
      </c>
      <c r="P66" s="11" t="n">
        <v>0</v>
      </c>
    </row>
    <row r="67">
      <c r="A67" s="4" t="inlineStr">
        <is>
          <t>WH01</t>
        </is>
      </c>
      <c r="B67" s="4" t="inlineStr">
        <is>
          <t>Gurugram DC</t>
        </is>
      </c>
      <c r="C67" s="4" t="inlineStr">
        <is>
          <t>North</t>
        </is>
      </c>
      <c r="D67" s="4" t="inlineStr">
        <is>
          <t>SKU063</t>
        </is>
      </c>
      <c r="E67" s="4" t="inlineStr">
        <is>
          <t>Floor Cleaner 1L</t>
        </is>
      </c>
      <c r="F67" s="4" t="inlineStr">
        <is>
          <t>Home Care</t>
        </is>
      </c>
      <c r="G67" s="4" t="inlineStr">
        <is>
          <t>C</t>
        </is>
      </c>
      <c r="H67" s="11" t="n">
        <v>2575</v>
      </c>
      <c r="I67" s="4" t="n">
        <v>462.25</v>
      </c>
      <c r="J67" s="13">
        <f>IF(I67&gt;0,H67/I67,"")</f>
        <v/>
      </c>
      <c r="K67" s="4">
        <f>IF(I67&lt;=0,"NO DEMAND",IF(H67=0,"STOCKOUT",IF(J67&lt;Config!$B$5,"CRITICAL",IF(J67&lt;Config!$B$6,"LOW",IF(J67&gt;Config!$B$7,"EXCESS","HEALTHY")))))</f>
        <v/>
      </c>
      <c r="L67" s="11" t="n">
        <v>44</v>
      </c>
      <c r="M67" s="11" t="n">
        <v>56</v>
      </c>
      <c r="N67" s="11">
        <f>H67*L67</f>
        <v/>
      </c>
      <c r="O67" s="11">
        <f>IF(I67&gt;0,I67*(M67-L67),0)</f>
        <v/>
      </c>
      <c r="P67" s="11" t="n">
        <v>0</v>
      </c>
    </row>
    <row r="68">
      <c r="A68" s="4" t="inlineStr">
        <is>
          <t>WH01</t>
        </is>
      </c>
      <c r="B68" s="4" t="inlineStr">
        <is>
          <t>Gurugram DC</t>
        </is>
      </c>
      <c r="C68" s="4" t="inlineStr">
        <is>
          <t>North</t>
        </is>
      </c>
      <c r="D68" s="4" t="inlineStr">
        <is>
          <t>SKU064</t>
        </is>
      </c>
      <c r="E68" s="4" t="inlineStr">
        <is>
          <t>Toilet Cleaner 500ml</t>
        </is>
      </c>
      <c r="F68" s="4" t="inlineStr">
        <is>
          <t>Home Care</t>
        </is>
      </c>
      <c r="G68" s="4" t="inlineStr">
        <is>
          <t>C</t>
        </is>
      </c>
      <c r="H68" s="11" t="n">
        <v>955</v>
      </c>
      <c r="I68" s="4" t="n">
        <v>194.75</v>
      </c>
      <c r="J68" s="13">
        <f>IF(I68&gt;0,H68/I68,"")</f>
        <v/>
      </c>
      <c r="K68" s="4">
        <f>IF(I68&lt;=0,"NO DEMAND",IF(H68=0,"STOCKOUT",IF(J68&lt;Config!$B$5,"CRITICAL",IF(J68&lt;Config!$B$6,"LOW",IF(J68&gt;Config!$B$7,"EXCESS","HEALTHY")))))</f>
        <v/>
      </c>
      <c r="L68" s="11" t="n">
        <v>102</v>
      </c>
      <c r="M68" s="11" t="n">
        <v>128</v>
      </c>
      <c r="N68" s="11">
        <f>H68*L68</f>
        <v/>
      </c>
      <c r="O68" s="11">
        <f>IF(I68&gt;0,I68*(M68-L68),0)</f>
        <v/>
      </c>
      <c r="P68" s="11" t="n">
        <v>0</v>
      </c>
    </row>
    <row r="69">
      <c r="A69" s="4" t="inlineStr">
        <is>
          <t>WH01</t>
        </is>
      </c>
      <c r="B69" s="4" t="inlineStr">
        <is>
          <t>Gurugram DC</t>
        </is>
      </c>
      <c r="C69" s="4" t="inlineStr">
        <is>
          <t>North</t>
        </is>
      </c>
      <c r="D69" s="4" t="inlineStr">
        <is>
          <t>SKU065</t>
        </is>
      </c>
      <c r="E69" s="4" t="inlineStr">
        <is>
          <t>Glass Cleaner 500ml</t>
        </is>
      </c>
      <c r="F69" s="4" t="inlineStr">
        <is>
          <t>Home Care</t>
        </is>
      </c>
      <c r="G69" s="4" t="inlineStr">
        <is>
          <t>B</t>
        </is>
      </c>
      <c r="H69" s="11" t="n">
        <v>2585</v>
      </c>
      <c r="I69" s="4" t="n">
        <v>600.75</v>
      </c>
      <c r="J69" s="13">
        <f>IF(I69&gt;0,H69/I69,"")</f>
        <v/>
      </c>
      <c r="K69" s="4">
        <f>IF(I69&lt;=0,"NO DEMAND",IF(H69=0,"STOCKOUT",IF(J69&lt;Config!$B$5,"CRITICAL",IF(J69&lt;Config!$B$6,"LOW",IF(J69&gt;Config!$B$7,"EXCESS","HEALTHY")))))</f>
        <v/>
      </c>
      <c r="L69" s="11" t="n">
        <v>82</v>
      </c>
      <c r="M69" s="11" t="n">
        <v>102</v>
      </c>
      <c r="N69" s="11">
        <f>H69*L69</f>
        <v/>
      </c>
      <c r="O69" s="11">
        <f>IF(I69&gt;0,I69*(M69-L69),0)</f>
        <v/>
      </c>
      <c r="P69" s="11" t="n">
        <v>3252</v>
      </c>
    </row>
    <row r="70">
      <c r="A70" s="4" t="inlineStr">
        <is>
          <t>WH01</t>
        </is>
      </c>
      <c r="B70" s="4" t="inlineStr">
        <is>
          <t>Gurugram DC</t>
        </is>
      </c>
      <c r="C70" s="4" t="inlineStr">
        <is>
          <t>North</t>
        </is>
      </c>
      <c r="D70" s="4" t="inlineStr">
        <is>
          <t>SKU066</t>
        </is>
      </c>
      <c r="E70" s="4" t="inlineStr">
        <is>
          <t>Fabric Softener 1L</t>
        </is>
      </c>
      <c r="F70" s="4" t="inlineStr">
        <is>
          <t>Home Care</t>
        </is>
      </c>
      <c r="G70" s="4" t="inlineStr">
        <is>
          <t>B</t>
        </is>
      </c>
      <c r="H70" s="11" t="n">
        <v>2697</v>
      </c>
      <c r="I70" s="4" t="n">
        <v>663.25</v>
      </c>
      <c r="J70" s="13">
        <f>IF(I70&gt;0,H70/I70,"")</f>
        <v/>
      </c>
      <c r="K70" s="4">
        <f>IF(I70&lt;=0,"NO DEMAND",IF(H70=0,"STOCKOUT",IF(J70&lt;Config!$B$5,"CRITICAL",IF(J70&lt;Config!$B$6,"LOW",IF(J70&gt;Config!$B$7,"EXCESS","HEALTHY")))))</f>
        <v/>
      </c>
      <c r="L70" s="11" t="n">
        <v>51</v>
      </c>
      <c r="M70" s="11" t="n">
        <v>65</v>
      </c>
      <c r="N70" s="11">
        <f>H70*L70</f>
        <v/>
      </c>
      <c r="O70" s="11">
        <f>IF(I70&gt;0,I70*(M70-L70),0)</f>
        <v/>
      </c>
      <c r="P70" s="11" t="n">
        <v>3888</v>
      </c>
    </row>
    <row r="71">
      <c r="A71" s="4" t="inlineStr">
        <is>
          <t>WH01</t>
        </is>
      </c>
      <c r="B71" s="4" t="inlineStr">
        <is>
          <t>Gurugram DC</t>
        </is>
      </c>
      <c r="C71" s="4" t="inlineStr">
        <is>
          <t>North</t>
        </is>
      </c>
      <c r="D71" s="4" t="inlineStr">
        <is>
          <t>SKU067</t>
        </is>
      </c>
      <c r="E71" s="4" t="inlineStr">
        <is>
          <t>Mosquito Coil 10pk</t>
        </is>
      </c>
      <c r="F71" s="4" t="inlineStr">
        <is>
          <t>Home Care</t>
        </is>
      </c>
      <c r="G71" s="4" t="inlineStr">
        <is>
          <t>A</t>
        </is>
      </c>
      <c r="H71" s="11" t="n">
        <v>1564</v>
      </c>
      <c r="I71" s="4" t="n">
        <v>327.5</v>
      </c>
      <c r="J71" s="13">
        <f>IF(I71&gt;0,H71/I71,"")</f>
        <v/>
      </c>
      <c r="K71" s="4">
        <f>IF(I71&lt;=0,"NO DEMAND",IF(H71=0,"STOCKOUT",IF(J71&lt;Config!$B$5,"CRITICAL",IF(J71&lt;Config!$B$6,"LOW",IF(J71&gt;Config!$B$7,"EXCESS","HEALTHY")))))</f>
        <v/>
      </c>
      <c r="L71" s="11" t="n">
        <v>200</v>
      </c>
      <c r="M71" s="11" t="n">
        <v>257</v>
      </c>
      <c r="N71" s="11">
        <f>H71*L71</f>
        <v/>
      </c>
      <c r="O71" s="11">
        <f>IF(I71&gt;0,I71*(M71-L71),0)</f>
        <v/>
      </c>
      <c r="P71" s="11" t="n">
        <v>0</v>
      </c>
    </row>
    <row r="72">
      <c r="A72" s="4" t="inlineStr">
        <is>
          <t>WH01</t>
        </is>
      </c>
      <c r="B72" s="4" t="inlineStr">
        <is>
          <t>Gurugram DC</t>
        </is>
      </c>
      <c r="C72" s="4" t="inlineStr">
        <is>
          <t>North</t>
        </is>
      </c>
      <c r="D72" s="4" t="inlineStr">
        <is>
          <t>SKU068</t>
        </is>
      </c>
      <c r="E72" s="4" t="inlineStr">
        <is>
          <t>Air Freshener 250ml</t>
        </is>
      </c>
      <c r="F72" s="4" t="inlineStr">
        <is>
          <t>Home Care</t>
        </is>
      </c>
      <c r="G72" s="4" t="inlineStr">
        <is>
          <t>A</t>
        </is>
      </c>
      <c r="H72" s="11" t="n">
        <v>3095</v>
      </c>
      <c r="I72" s="4" t="n">
        <v>779.5</v>
      </c>
      <c r="J72" s="13">
        <f>IF(I72&gt;0,H72/I72,"")</f>
        <v/>
      </c>
      <c r="K72" s="4">
        <f>IF(I72&lt;=0,"NO DEMAND",IF(H72=0,"STOCKOUT",IF(J72&lt;Config!$B$5,"CRITICAL",IF(J72&lt;Config!$B$6,"LOW",IF(J72&gt;Config!$B$7,"EXCESS","HEALTHY")))))</f>
        <v/>
      </c>
      <c r="L72" s="11" t="n">
        <v>99</v>
      </c>
      <c r="M72" s="11" t="n">
        <v>123</v>
      </c>
      <c r="N72" s="11">
        <f>H72*L72</f>
        <v/>
      </c>
      <c r="O72" s="11">
        <f>IF(I72&gt;0,I72*(M72-L72),0)</f>
        <v/>
      </c>
      <c r="P72" s="11" t="n">
        <v>0</v>
      </c>
    </row>
    <row r="73">
      <c r="A73" s="4" t="inlineStr">
        <is>
          <t>WH01</t>
        </is>
      </c>
      <c r="B73" s="4" t="inlineStr">
        <is>
          <t>Gurugram DC</t>
        </is>
      </c>
      <c r="C73" s="4" t="inlineStr">
        <is>
          <t>North</t>
        </is>
      </c>
      <c r="D73" s="4" t="inlineStr">
        <is>
          <t>SKU069</t>
        </is>
      </c>
      <c r="E73" s="4" t="inlineStr">
        <is>
          <t>Garbage Bags 30pk</t>
        </is>
      </c>
      <c r="F73" s="4" t="inlineStr">
        <is>
          <t>Home Care</t>
        </is>
      </c>
      <c r="G73" s="4" t="inlineStr">
        <is>
          <t>B</t>
        </is>
      </c>
      <c r="H73" s="11" t="n">
        <v>1856</v>
      </c>
      <c r="I73" s="4" t="n">
        <v>237</v>
      </c>
      <c r="J73" s="13">
        <f>IF(I73&gt;0,H73/I73,"")</f>
        <v/>
      </c>
      <c r="K73" s="4">
        <f>IF(I73&lt;=0,"NO DEMAND",IF(H73=0,"STOCKOUT",IF(J73&lt;Config!$B$5,"CRITICAL",IF(J73&lt;Config!$B$6,"LOW",IF(J73&gt;Config!$B$7,"EXCESS","HEALTHY")))))</f>
        <v/>
      </c>
      <c r="L73" s="11" t="n">
        <v>202</v>
      </c>
      <c r="M73" s="11" t="n">
        <v>252</v>
      </c>
      <c r="N73" s="11">
        <f>H73*L73</f>
        <v/>
      </c>
      <c r="O73" s="11">
        <f>IF(I73&gt;0,I73*(M73-L73),0)</f>
        <v/>
      </c>
      <c r="P73" s="11" t="n">
        <v>0</v>
      </c>
    </row>
    <row r="74">
      <c r="A74" s="4" t="inlineStr">
        <is>
          <t>WH01</t>
        </is>
      </c>
      <c r="B74" s="4" t="inlineStr">
        <is>
          <t>Gurugram DC</t>
        </is>
      </c>
      <c r="C74" s="4" t="inlineStr">
        <is>
          <t>North</t>
        </is>
      </c>
      <c r="D74" s="4" t="inlineStr">
        <is>
          <t>SKU070</t>
        </is>
      </c>
      <c r="E74" s="4" t="inlineStr">
        <is>
          <t>Scrub Pad 3pk</t>
        </is>
      </c>
      <c r="F74" s="4" t="inlineStr">
        <is>
          <t>Home Care</t>
        </is>
      </c>
      <c r="G74" s="4" t="inlineStr">
        <is>
          <t>A</t>
        </is>
      </c>
      <c r="H74" s="11" t="n">
        <v>660</v>
      </c>
      <c r="I74" s="4" t="n">
        <v>89.75</v>
      </c>
      <c r="J74" s="13">
        <f>IF(I74&gt;0,H74/I74,"")</f>
        <v/>
      </c>
      <c r="K74" s="4">
        <f>IF(I74&lt;=0,"NO DEMAND",IF(H74=0,"STOCKOUT",IF(J74&lt;Config!$B$5,"CRITICAL",IF(J74&lt;Config!$B$6,"LOW",IF(J74&gt;Config!$B$7,"EXCESS","HEALTHY")))))</f>
        <v/>
      </c>
      <c r="L74" s="11" t="n">
        <v>121</v>
      </c>
      <c r="M74" s="11" t="n">
        <v>153</v>
      </c>
      <c r="N74" s="11">
        <f>H74*L74</f>
        <v/>
      </c>
      <c r="O74" s="11">
        <f>IF(I74&gt;0,I74*(M74-L74),0)</f>
        <v/>
      </c>
      <c r="P74" s="11" t="n">
        <v>0</v>
      </c>
    </row>
    <row r="75">
      <c r="A75" s="4" t="inlineStr">
        <is>
          <t>WH01</t>
        </is>
      </c>
      <c r="B75" s="4" t="inlineStr">
        <is>
          <t>Gurugram DC</t>
        </is>
      </c>
      <c r="C75" s="4" t="inlineStr">
        <is>
          <t>North</t>
        </is>
      </c>
      <c r="D75" s="4" t="inlineStr">
        <is>
          <t>SKU071</t>
        </is>
      </c>
      <c r="E75" s="4" t="inlineStr">
        <is>
          <t>Bleach 500ml</t>
        </is>
      </c>
      <c r="F75" s="4" t="inlineStr">
        <is>
          <t>Home Care</t>
        </is>
      </c>
      <c r="G75" s="4" t="inlineStr">
        <is>
          <t>C</t>
        </is>
      </c>
      <c r="H75" s="11" t="n">
        <v>665</v>
      </c>
      <c r="I75" s="4" t="n">
        <v>442.75</v>
      </c>
      <c r="J75" s="13">
        <f>IF(I75&gt;0,H75/I75,"")</f>
        <v/>
      </c>
      <c r="K75" s="4">
        <f>IF(I75&lt;=0,"NO DEMAND",IF(H75=0,"STOCKOUT",IF(J75&lt;Config!$B$5,"CRITICAL",IF(J75&lt;Config!$B$6,"LOW",IF(J75&gt;Config!$B$7,"EXCESS","HEALTHY")))))</f>
        <v/>
      </c>
      <c r="L75" s="11" t="n">
        <v>41</v>
      </c>
      <c r="M75" s="11" t="n">
        <v>51</v>
      </c>
      <c r="N75" s="11">
        <f>H75*L75</f>
        <v/>
      </c>
      <c r="O75" s="11">
        <f>IF(I75&gt;0,I75*(M75-L75),0)</f>
        <v/>
      </c>
      <c r="P75" s="11" t="n">
        <v>2388</v>
      </c>
    </row>
    <row r="76">
      <c r="A76" s="4" t="inlineStr">
        <is>
          <t>WH01</t>
        </is>
      </c>
      <c r="B76" s="4" t="inlineStr">
        <is>
          <t>Gurugram DC</t>
        </is>
      </c>
      <c r="C76" s="4" t="inlineStr">
        <is>
          <t>North</t>
        </is>
      </c>
      <c r="D76" s="4" t="inlineStr">
        <is>
          <t>SKU072</t>
        </is>
      </c>
      <c r="E76" s="4" t="inlineStr">
        <is>
          <t>Phenyl 1L</t>
        </is>
      </c>
      <c r="F76" s="4" t="inlineStr">
        <is>
          <t>Home Care</t>
        </is>
      </c>
      <c r="G76" s="4" t="inlineStr">
        <is>
          <t>B</t>
        </is>
      </c>
      <c r="H76" s="11" t="n">
        <v>3038</v>
      </c>
      <c r="I76" s="4" t="n">
        <v>670.25</v>
      </c>
      <c r="J76" s="13">
        <f>IF(I76&gt;0,H76/I76,"")</f>
        <v/>
      </c>
      <c r="K76" s="4">
        <f>IF(I76&lt;=0,"NO DEMAND",IF(H76=0,"STOCKOUT",IF(J76&lt;Config!$B$5,"CRITICAL",IF(J76&lt;Config!$B$6,"LOW",IF(J76&gt;Config!$B$7,"EXCESS","HEALTHY")))))</f>
        <v/>
      </c>
      <c r="L76" s="11" t="n">
        <v>137</v>
      </c>
      <c r="M76" s="11" t="n">
        <v>170</v>
      </c>
      <c r="N76" s="11">
        <f>H76*L76</f>
        <v/>
      </c>
      <c r="O76" s="11">
        <f>IF(I76&gt;0,I76*(M76-L76),0)</f>
        <v/>
      </c>
      <c r="P76" s="11" t="n">
        <v>0</v>
      </c>
    </row>
    <row r="77">
      <c r="A77" s="4" t="inlineStr">
        <is>
          <t>WH01</t>
        </is>
      </c>
      <c r="B77" s="4" t="inlineStr">
        <is>
          <t>Gurugram DC</t>
        </is>
      </c>
      <c r="C77" s="4" t="inlineStr">
        <is>
          <t>North</t>
        </is>
      </c>
      <c r="D77" s="4" t="inlineStr">
        <is>
          <t>SKU073</t>
        </is>
      </c>
      <c r="E77" s="4" t="inlineStr">
        <is>
          <t>Agarbatti 100pk</t>
        </is>
      </c>
      <c r="F77" s="4" t="inlineStr">
        <is>
          <t>Home Care</t>
        </is>
      </c>
      <c r="G77" s="4" t="inlineStr">
        <is>
          <t>C</t>
        </is>
      </c>
      <c r="H77" s="11" t="n">
        <v>954</v>
      </c>
      <c r="I77" s="4" t="n">
        <v>420</v>
      </c>
      <c r="J77" s="13">
        <f>IF(I77&gt;0,H77/I77,"")</f>
        <v/>
      </c>
      <c r="K77" s="4">
        <f>IF(I77&lt;=0,"NO DEMAND",IF(H77=0,"STOCKOUT",IF(J77&lt;Config!$B$5,"CRITICAL",IF(J77&lt;Config!$B$6,"LOW",IF(J77&gt;Config!$B$7,"EXCESS","HEALTHY")))))</f>
        <v/>
      </c>
      <c r="L77" s="11" t="n">
        <v>59</v>
      </c>
      <c r="M77" s="11" t="n">
        <v>75</v>
      </c>
      <c r="N77" s="11">
        <f>H77*L77</f>
        <v/>
      </c>
      <c r="O77" s="11">
        <f>IF(I77&gt;0,I77*(M77-L77),0)</f>
        <v/>
      </c>
      <c r="P77" s="11" t="n">
        <v>2160</v>
      </c>
    </row>
    <row r="78">
      <c r="A78" s="4" t="inlineStr">
        <is>
          <t>WH01</t>
        </is>
      </c>
      <c r="B78" s="4" t="inlineStr">
        <is>
          <t>Gurugram DC</t>
        </is>
      </c>
      <c r="C78" s="4" t="inlineStr">
        <is>
          <t>North</t>
        </is>
      </c>
      <c r="D78" s="4" t="inlineStr">
        <is>
          <t>SKU074</t>
        </is>
      </c>
      <c r="E78" s="4" t="inlineStr">
        <is>
          <t>Matchbox 10pk</t>
        </is>
      </c>
      <c r="F78" s="4" t="inlineStr">
        <is>
          <t>Home Care</t>
        </is>
      </c>
      <c r="G78" s="4" t="inlineStr">
        <is>
          <t>A</t>
        </is>
      </c>
      <c r="H78" s="11" t="n">
        <v>910</v>
      </c>
      <c r="I78" s="4" t="n">
        <v>412.5</v>
      </c>
      <c r="J78" s="13">
        <f>IF(I78&gt;0,H78/I78,"")</f>
        <v/>
      </c>
      <c r="K78" s="4">
        <f>IF(I78&lt;=0,"NO DEMAND",IF(H78=0,"STOCKOUT",IF(J78&lt;Config!$B$5,"CRITICAL",IF(J78&lt;Config!$B$6,"LOW",IF(J78&gt;Config!$B$7,"EXCESS","HEALTHY")))))</f>
        <v/>
      </c>
      <c r="L78" s="11" t="n">
        <v>257</v>
      </c>
      <c r="M78" s="11" t="n">
        <v>315</v>
      </c>
      <c r="N78" s="11">
        <f>H78*L78</f>
        <v/>
      </c>
      <c r="O78" s="11">
        <f>IF(I78&gt;0,I78*(M78-L78),0)</f>
        <v/>
      </c>
      <c r="P78" s="11" t="n">
        <v>2292</v>
      </c>
    </row>
    <row r="79">
      <c r="A79" s="4" t="inlineStr">
        <is>
          <t>WH01</t>
        </is>
      </c>
      <c r="B79" s="4" t="inlineStr">
        <is>
          <t>Gurugram DC</t>
        </is>
      </c>
      <c r="C79" s="4" t="inlineStr">
        <is>
          <t>North</t>
        </is>
      </c>
      <c r="D79" s="4" t="inlineStr">
        <is>
          <t>SKU075</t>
        </is>
      </c>
      <c r="E79" s="4" t="inlineStr">
        <is>
          <t>Naphthalene Balls 200g</t>
        </is>
      </c>
      <c r="F79" s="4" t="inlineStr">
        <is>
          <t>Home Care</t>
        </is>
      </c>
      <c r="G79" s="4" t="inlineStr">
        <is>
          <t>C</t>
        </is>
      </c>
      <c r="H79" s="11" t="n">
        <v>2067</v>
      </c>
      <c r="I79" s="4" t="n">
        <v>492.5</v>
      </c>
      <c r="J79" s="13">
        <f>IF(I79&gt;0,H79/I79,"")</f>
        <v/>
      </c>
      <c r="K79" s="4">
        <f>IF(I79&lt;=0,"NO DEMAND",IF(H79=0,"STOCKOUT",IF(J79&lt;Config!$B$5,"CRITICAL",IF(J79&lt;Config!$B$6,"LOW",IF(J79&gt;Config!$B$7,"EXCESS","HEALTHY")))))</f>
        <v/>
      </c>
      <c r="L79" s="11" t="n">
        <v>49</v>
      </c>
      <c r="M79" s="11" t="n">
        <v>60</v>
      </c>
      <c r="N79" s="11">
        <f>H79*L79</f>
        <v/>
      </c>
      <c r="O79" s="11">
        <f>IF(I79&gt;0,I79*(M79-L79),0)</f>
        <v/>
      </c>
      <c r="P79" s="11" t="n">
        <v>2796</v>
      </c>
    </row>
    <row r="80">
      <c r="A80" s="4" t="inlineStr">
        <is>
          <t>WH01</t>
        </is>
      </c>
      <c r="B80" s="4" t="inlineStr">
        <is>
          <t>Gurugram DC</t>
        </is>
      </c>
      <c r="C80" s="4" t="inlineStr">
        <is>
          <t>North</t>
        </is>
      </c>
      <c r="D80" s="4" t="inlineStr">
        <is>
          <t>SKU076</t>
        </is>
      </c>
      <c r="E80" s="4" t="inlineStr">
        <is>
          <t>USB-C Cable 1m</t>
        </is>
      </c>
      <c r="F80" s="4" t="inlineStr">
        <is>
          <t>Electronics Accessories</t>
        </is>
      </c>
      <c r="G80" s="4" t="inlineStr">
        <is>
          <t>A</t>
        </is>
      </c>
      <c r="H80" s="11" t="n">
        <v>749</v>
      </c>
      <c r="I80" s="4" t="n">
        <v>160.25</v>
      </c>
      <c r="J80" s="13">
        <f>IF(I80&gt;0,H80/I80,"")</f>
        <v/>
      </c>
      <c r="K80" s="4">
        <f>IF(I80&lt;=0,"NO DEMAND",IF(H80=0,"STOCKOUT",IF(J80&lt;Config!$B$5,"CRITICAL",IF(J80&lt;Config!$B$6,"LOW",IF(J80&gt;Config!$B$7,"EXCESS","HEALTHY")))))</f>
        <v/>
      </c>
      <c r="L80" s="11" t="n">
        <v>441</v>
      </c>
      <c r="M80" s="11" t="n">
        <v>572</v>
      </c>
      <c r="N80" s="11">
        <f>H80*L80</f>
        <v/>
      </c>
      <c r="O80" s="11">
        <f>IF(I80&gt;0,I80*(M80-L80),0)</f>
        <v/>
      </c>
      <c r="P80" s="11" t="n">
        <v>910</v>
      </c>
    </row>
    <row r="81">
      <c r="A81" s="4" t="inlineStr">
        <is>
          <t>WH01</t>
        </is>
      </c>
      <c r="B81" s="4" t="inlineStr">
        <is>
          <t>Gurugram DC</t>
        </is>
      </c>
      <c r="C81" s="4" t="inlineStr">
        <is>
          <t>North</t>
        </is>
      </c>
      <c r="D81" s="4" t="inlineStr">
        <is>
          <t>SKU077</t>
        </is>
      </c>
      <c r="E81" s="4" t="inlineStr">
        <is>
          <t>Fast Charger 25W</t>
        </is>
      </c>
      <c r="F81" s="4" t="inlineStr">
        <is>
          <t>Electronics Accessories</t>
        </is>
      </c>
      <c r="G81" s="4" t="inlineStr">
        <is>
          <t>B</t>
        </is>
      </c>
      <c r="H81" s="11" t="n">
        <v>817</v>
      </c>
      <c r="I81" s="4" t="n">
        <v>197</v>
      </c>
      <c r="J81" s="13">
        <f>IF(I81&gt;0,H81/I81,"")</f>
        <v/>
      </c>
      <c r="K81" s="4">
        <f>IF(I81&lt;=0,"NO DEMAND",IF(H81=0,"STOCKOUT",IF(J81&lt;Config!$B$5,"CRITICAL",IF(J81&lt;Config!$B$6,"LOW",IF(J81&gt;Config!$B$7,"EXCESS","HEALTHY")))))</f>
        <v/>
      </c>
      <c r="L81" s="11" t="n">
        <v>364</v>
      </c>
      <c r="M81" s="11" t="n">
        <v>465</v>
      </c>
      <c r="N81" s="11">
        <f>H81*L81</f>
        <v/>
      </c>
      <c r="O81" s="11">
        <f>IF(I81&gt;0,I81*(M81-L81),0)</f>
        <v/>
      </c>
      <c r="P81" s="11" t="n">
        <v>1390</v>
      </c>
    </row>
    <row r="82">
      <c r="A82" s="4" t="inlineStr">
        <is>
          <t>WH01</t>
        </is>
      </c>
      <c r="B82" s="4" t="inlineStr">
        <is>
          <t>Gurugram DC</t>
        </is>
      </c>
      <c r="C82" s="4" t="inlineStr">
        <is>
          <t>North</t>
        </is>
      </c>
      <c r="D82" s="4" t="inlineStr">
        <is>
          <t>SKU078</t>
        </is>
      </c>
      <c r="E82" s="4" t="inlineStr">
        <is>
          <t>Power Bank 10000mAh</t>
        </is>
      </c>
      <c r="F82" s="4" t="inlineStr">
        <is>
          <t>Electronics Accessories</t>
        </is>
      </c>
      <c r="G82" s="4" t="inlineStr">
        <is>
          <t>B</t>
        </is>
      </c>
      <c r="H82" s="11" t="n">
        <v>384</v>
      </c>
      <c r="I82" s="4" t="n">
        <v>101</v>
      </c>
      <c r="J82" s="13">
        <f>IF(I82&gt;0,H82/I82,"")</f>
        <v/>
      </c>
      <c r="K82" s="4">
        <f>IF(I82&lt;=0,"NO DEMAND",IF(H82=0,"STOCKOUT",IF(J82&lt;Config!$B$5,"CRITICAL",IF(J82&lt;Config!$B$6,"LOW",IF(J82&gt;Config!$B$7,"EXCESS","HEALTHY")))))</f>
        <v/>
      </c>
      <c r="L82" s="11" t="n">
        <v>359</v>
      </c>
      <c r="M82" s="11" t="n">
        <v>471</v>
      </c>
      <c r="N82" s="11">
        <f>H82*L82</f>
        <v/>
      </c>
      <c r="O82" s="11">
        <f>IF(I82&gt;0,I82*(M82-L82),0)</f>
        <v/>
      </c>
      <c r="P82" s="11" t="n">
        <v>720</v>
      </c>
    </row>
    <row r="83">
      <c r="A83" s="4" t="inlineStr">
        <is>
          <t>WH01</t>
        </is>
      </c>
      <c r="B83" s="4" t="inlineStr">
        <is>
          <t>Gurugram DC</t>
        </is>
      </c>
      <c r="C83" s="4" t="inlineStr">
        <is>
          <t>North</t>
        </is>
      </c>
      <c r="D83" s="4" t="inlineStr">
        <is>
          <t>SKU079</t>
        </is>
      </c>
      <c r="E83" s="4" t="inlineStr">
        <is>
          <t>Wired Earphones</t>
        </is>
      </c>
      <c r="F83" s="4" t="inlineStr">
        <is>
          <t>Electronics Accessories</t>
        </is>
      </c>
      <c r="G83" s="4" t="inlineStr">
        <is>
          <t>A</t>
        </is>
      </c>
      <c r="H83" s="11" t="n">
        <v>2562</v>
      </c>
      <c r="I83" s="4" t="n">
        <v>199</v>
      </c>
      <c r="J83" s="13">
        <f>IF(I83&gt;0,H83/I83,"")</f>
        <v/>
      </c>
      <c r="K83" s="4">
        <f>IF(I83&lt;=0,"NO DEMAND",IF(H83=0,"STOCKOUT",IF(J83&lt;Config!$B$5,"CRITICAL",IF(J83&lt;Config!$B$6,"LOW",IF(J83&gt;Config!$B$7,"EXCESS","HEALTHY")))))</f>
        <v/>
      </c>
      <c r="L83" s="11" t="n">
        <v>1110</v>
      </c>
      <c r="M83" s="11" t="n">
        <v>1412</v>
      </c>
      <c r="N83" s="11">
        <f>H83*L83</f>
        <v/>
      </c>
      <c r="O83" s="11">
        <f>IF(I83&gt;0,I83*(M83-L83),0)</f>
        <v/>
      </c>
      <c r="P83" s="11" t="n">
        <v>0</v>
      </c>
    </row>
    <row r="84">
      <c r="A84" s="4" t="inlineStr">
        <is>
          <t>WH01</t>
        </is>
      </c>
      <c r="B84" s="4" t="inlineStr">
        <is>
          <t>Gurugram DC</t>
        </is>
      </c>
      <c r="C84" s="4" t="inlineStr">
        <is>
          <t>North</t>
        </is>
      </c>
      <c r="D84" s="4" t="inlineStr">
        <is>
          <t>SKU080</t>
        </is>
      </c>
      <c r="E84" s="4" t="inlineStr">
        <is>
          <t>TWS Earbuds</t>
        </is>
      </c>
      <c r="F84" s="4" t="inlineStr">
        <is>
          <t>Electronics Accessories</t>
        </is>
      </c>
      <c r="G84" s="4" t="inlineStr">
        <is>
          <t>A</t>
        </is>
      </c>
      <c r="H84" s="11" t="n">
        <v>2641</v>
      </c>
      <c r="I84" s="4" t="n">
        <v>275.75</v>
      </c>
      <c r="J84" s="13">
        <f>IF(I84&gt;0,H84/I84,"")</f>
        <v/>
      </c>
      <c r="K84" s="4">
        <f>IF(I84&lt;=0,"NO DEMAND",IF(H84=0,"STOCKOUT",IF(J84&lt;Config!$B$5,"CRITICAL",IF(J84&lt;Config!$B$6,"LOW",IF(J84&gt;Config!$B$7,"EXCESS","HEALTHY")))))</f>
        <v/>
      </c>
      <c r="L84" s="11" t="n">
        <v>2238</v>
      </c>
      <c r="M84" s="11" t="n">
        <v>2947</v>
      </c>
      <c r="N84" s="11">
        <f>H84*L84</f>
        <v/>
      </c>
      <c r="O84" s="11">
        <f>IF(I84&gt;0,I84*(M84-L84),0)</f>
        <v/>
      </c>
      <c r="P84" s="11" t="n">
        <v>0</v>
      </c>
    </row>
    <row r="85">
      <c r="A85" s="4" t="inlineStr">
        <is>
          <t>WH01</t>
        </is>
      </c>
      <c r="B85" s="4" t="inlineStr">
        <is>
          <t>Gurugram DC</t>
        </is>
      </c>
      <c r="C85" s="4" t="inlineStr">
        <is>
          <t>North</t>
        </is>
      </c>
      <c r="D85" s="4" t="inlineStr">
        <is>
          <t>SKU081</t>
        </is>
      </c>
      <c r="E85" s="4" t="inlineStr">
        <is>
          <t>Bluetooth Speaker</t>
        </is>
      </c>
      <c r="F85" s="4" t="inlineStr">
        <is>
          <t>Electronics Accessories</t>
        </is>
      </c>
      <c r="G85" s="4" t="inlineStr">
        <is>
          <t>B</t>
        </is>
      </c>
      <c r="H85" s="11" t="n">
        <v>467</v>
      </c>
      <c r="I85" s="4" t="n">
        <v>43.25</v>
      </c>
      <c r="J85" s="13">
        <f>IF(I85&gt;0,H85/I85,"")</f>
        <v/>
      </c>
      <c r="K85" s="4">
        <f>IF(I85&lt;=0,"NO DEMAND",IF(H85=0,"STOCKOUT",IF(J85&lt;Config!$B$5,"CRITICAL",IF(J85&lt;Config!$B$6,"LOW",IF(J85&gt;Config!$B$7,"EXCESS","HEALTHY")))))</f>
        <v/>
      </c>
      <c r="L85" s="11" t="n">
        <v>227</v>
      </c>
      <c r="M85" s="11" t="n">
        <v>293</v>
      </c>
      <c r="N85" s="11">
        <f>H85*L85</f>
        <v/>
      </c>
      <c r="O85" s="11">
        <f>IF(I85&gt;0,I85*(M85-L85),0)</f>
        <v/>
      </c>
      <c r="P85" s="11" t="n">
        <v>0</v>
      </c>
    </row>
    <row r="86">
      <c r="A86" s="4" t="inlineStr">
        <is>
          <t>WH01</t>
        </is>
      </c>
      <c r="B86" s="4" t="inlineStr">
        <is>
          <t>Gurugram DC</t>
        </is>
      </c>
      <c r="C86" s="4" t="inlineStr">
        <is>
          <t>North</t>
        </is>
      </c>
      <c r="D86" s="4" t="inlineStr">
        <is>
          <t>SKU082</t>
        </is>
      </c>
      <c r="E86" s="4" t="inlineStr">
        <is>
          <t>Phone Case</t>
        </is>
      </c>
      <c r="F86" s="4" t="inlineStr">
        <is>
          <t>Electronics Accessories</t>
        </is>
      </c>
      <c r="G86" s="4" t="inlineStr">
        <is>
          <t>B</t>
        </is>
      </c>
      <c r="H86" s="11" t="n">
        <v>484</v>
      </c>
      <c r="I86" s="4" t="n">
        <v>91</v>
      </c>
      <c r="J86" s="13">
        <f>IF(I86&gt;0,H86/I86,"")</f>
        <v/>
      </c>
      <c r="K86" s="4">
        <f>IF(I86&lt;=0,"NO DEMAND",IF(H86=0,"STOCKOUT",IF(J86&lt;Config!$B$5,"CRITICAL",IF(J86&lt;Config!$B$6,"LOW",IF(J86&gt;Config!$B$7,"EXCESS","HEALTHY")))))</f>
        <v/>
      </c>
      <c r="L86" s="11" t="n">
        <v>665</v>
      </c>
      <c r="M86" s="11" t="n">
        <v>835</v>
      </c>
      <c r="N86" s="11">
        <f>H86*L86</f>
        <v/>
      </c>
      <c r="O86" s="11">
        <f>IF(I86&gt;0,I86*(M86-L86),0)</f>
        <v/>
      </c>
      <c r="P86" s="11" t="n">
        <v>0</v>
      </c>
    </row>
    <row r="87">
      <c r="A87" s="4" t="inlineStr">
        <is>
          <t>WH01</t>
        </is>
      </c>
      <c r="B87" s="4" t="inlineStr">
        <is>
          <t>Gurugram DC</t>
        </is>
      </c>
      <c r="C87" s="4" t="inlineStr">
        <is>
          <t>North</t>
        </is>
      </c>
      <c r="D87" s="4" t="inlineStr">
        <is>
          <t>SKU083</t>
        </is>
      </c>
      <c r="E87" s="4" t="inlineStr">
        <is>
          <t>Screen Guard</t>
        </is>
      </c>
      <c r="F87" s="4" t="inlineStr">
        <is>
          <t>Electronics Accessories</t>
        </is>
      </c>
      <c r="G87" s="4" t="inlineStr">
        <is>
          <t>C</t>
        </is>
      </c>
      <c r="H87" s="11" t="n">
        <v>250</v>
      </c>
      <c r="I87" s="4" t="n">
        <v>48.75</v>
      </c>
      <c r="J87" s="13">
        <f>IF(I87&gt;0,H87/I87,"")</f>
        <v/>
      </c>
      <c r="K87" s="4">
        <f>IF(I87&lt;=0,"NO DEMAND",IF(H87=0,"STOCKOUT",IF(J87&lt;Config!$B$5,"CRITICAL",IF(J87&lt;Config!$B$6,"LOW",IF(J87&gt;Config!$B$7,"EXCESS","HEALTHY")))))</f>
        <v/>
      </c>
      <c r="L87" s="11" t="n">
        <v>229</v>
      </c>
      <c r="M87" s="11" t="n">
        <v>298</v>
      </c>
      <c r="N87" s="11">
        <f>H87*L87</f>
        <v/>
      </c>
      <c r="O87" s="11">
        <f>IF(I87&gt;0,I87*(M87-L87),0)</f>
        <v/>
      </c>
      <c r="P87" s="11" t="n">
        <v>240</v>
      </c>
    </row>
    <row r="88">
      <c r="A88" s="4" t="inlineStr">
        <is>
          <t>WH01</t>
        </is>
      </c>
      <c r="B88" s="4" t="inlineStr">
        <is>
          <t>Gurugram DC</t>
        </is>
      </c>
      <c r="C88" s="4" t="inlineStr">
        <is>
          <t>North</t>
        </is>
      </c>
      <c r="D88" s="4" t="inlineStr">
        <is>
          <t>SKU084</t>
        </is>
      </c>
      <c r="E88" s="4" t="inlineStr">
        <is>
          <t>LED Bulb 9W</t>
        </is>
      </c>
      <c r="F88" s="4" t="inlineStr">
        <is>
          <t>Electronics Accessories</t>
        </is>
      </c>
      <c r="G88" s="4" t="inlineStr">
        <is>
          <t>C</t>
        </is>
      </c>
      <c r="H88" s="11" t="n">
        <v>750</v>
      </c>
      <c r="I88" s="4" t="n">
        <v>69.25</v>
      </c>
      <c r="J88" s="13">
        <f>IF(I88&gt;0,H88/I88,"")</f>
        <v/>
      </c>
      <c r="K88" s="4">
        <f>IF(I88&lt;=0,"NO DEMAND",IF(H88=0,"STOCKOUT",IF(J88&lt;Config!$B$5,"CRITICAL",IF(J88&lt;Config!$B$6,"LOW",IF(J88&gt;Config!$B$7,"EXCESS","HEALTHY")))))</f>
        <v/>
      </c>
      <c r="L88" s="11" t="n">
        <v>160</v>
      </c>
      <c r="M88" s="11" t="n">
        <v>207</v>
      </c>
      <c r="N88" s="11">
        <f>H88*L88</f>
        <v/>
      </c>
      <c r="O88" s="11">
        <f>IF(I88&gt;0,I88*(M88-L88),0)</f>
        <v/>
      </c>
      <c r="P88" s="11" t="n">
        <v>0</v>
      </c>
    </row>
    <row r="89">
      <c r="A89" s="4" t="inlineStr">
        <is>
          <t>WH01</t>
        </is>
      </c>
      <c r="B89" s="4" t="inlineStr">
        <is>
          <t>Gurugram DC</t>
        </is>
      </c>
      <c r="C89" s="4" t="inlineStr">
        <is>
          <t>North</t>
        </is>
      </c>
      <c r="D89" s="4" t="inlineStr">
        <is>
          <t>SKU085</t>
        </is>
      </c>
      <c r="E89" s="4" t="inlineStr">
        <is>
          <t>Extension Board 4-socket</t>
        </is>
      </c>
      <c r="F89" s="4" t="inlineStr">
        <is>
          <t>Electronics Accessories</t>
        </is>
      </c>
      <c r="G89" s="4" t="inlineStr">
        <is>
          <t>B</t>
        </is>
      </c>
      <c r="H89" s="11" t="n">
        <v>1228</v>
      </c>
      <c r="I89" s="4" t="n">
        <v>115.5</v>
      </c>
      <c r="J89" s="13">
        <f>IF(I89&gt;0,H89/I89,"")</f>
        <v/>
      </c>
      <c r="K89" s="4">
        <f>IF(I89&lt;=0,"NO DEMAND",IF(H89=0,"STOCKOUT",IF(J89&lt;Config!$B$5,"CRITICAL",IF(J89&lt;Config!$B$6,"LOW",IF(J89&gt;Config!$B$7,"EXCESS","HEALTHY")))))</f>
        <v/>
      </c>
      <c r="L89" s="11" t="n">
        <v>336</v>
      </c>
      <c r="M89" s="11" t="n">
        <v>431</v>
      </c>
      <c r="N89" s="11">
        <f>H89*L89</f>
        <v/>
      </c>
      <c r="O89" s="11">
        <f>IF(I89&gt;0,I89*(M89-L89),0)</f>
        <v/>
      </c>
      <c r="P89" s="11" t="n">
        <v>0</v>
      </c>
    </row>
    <row r="90">
      <c r="A90" s="4" t="inlineStr">
        <is>
          <t>WH01</t>
        </is>
      </c>
      <c r="B90" s="4" t="inlineStr">
        <is>
          <t>Gurugram DC</t>
        </is>
      </c>
      <c r="C90" s="4" t="inlineStr">
        <is>
          <t>North</t>
        </is>
      </c>
      <c r="D90" s="4" t="inlineStr">
        <is>
          <t>SKU086</t>
        </is>
      </c>
      <c r="E90" s="4" t="inlineStr">
        <is>
          <t>AA Batteries 10pk</t>
        </is>
      </c>
      <c r="F90" s="4" t="inlineStr">
        <is>
          <t>Electronics Accessories</t>
        </is>
      </c>
      <c r="G90" s="4" t="inlineStr">
        <is>
          <t>A</t>
        </is>
      </c>
      <c r="H90" s="11" t="n">
        <v>577</v>
      </c>
      <c r="I90" s="4" t="n">
        <v>38.25</v>
      </c>
      <c r="J90" s="13">
        <f>IF(I90&gt;0,H90/I90,"")</f>
        <v/>
      </c>
      <c r="K90" s="4">
        <f>IF(I90&lt;=0,"NO DEMAND",IF(H90=0,"STOCKOUT",IF(J90&lt;Config!$B$5,"CRITICAL",IF(J90&lt;Config!$B$6,"LOW",IF(J90&gt;Config!$B$7,"EXCESS","HEALTHY")))))</f>
        <v/>
      </c>
      <c r="L90" s="11" t="n">
        <v>1335</v>
      </c>
      <c r="M90" s="11" t="n">
        <v>1740</v>
      </c>
      <c r="N90" s="11">
        <f>H90*L90</f>
        <v/>
      </c>
      <c r="O90" s="11">
        <f>IF(I90&gt;0,I90*(M90-L90),0)</f>
        <v/>
      </c>
      <c r="P90" s="11" t="n">
        <v>0</v>
      </c>
    </row>
    <row r="91">
      <c r="A91" s="4" t="inlineStr">
        <is>
          <t>WH01</t>
        </is>
      </c>
      <c r="B91" s="4" t="inlineStr">
        <is>
          <t>Gurugram DC</t>
        </is>
      </c>
      <c r="C91" s="4" t="inlineStr">
        <is>
          <t>North</t>
        </is>
      </c>
      <c r="D91" s="4" t="inlineStr">
        <is>
          <t>SKU087</t>
        </is>
      </c>
      <c r="E91" s="4" t="inlineStr">
        <is>
          <t>SD Card 64GB</t>
        </is>
      </c>
      <c r="F91" s="4" t="inlineStr">
        <is>
          <t>Electronics Accessories</t>
        </is>
      </c>
      <c r="G91" s="4" t="inlineStr">
        <is>
          <t>A</t>
        </is>
      </c>
      <c r="H91" s="11" t="n">
        <v>1264</v>
      </c>
      <c r="I91" s="4" t="n">
        <v>274.75</v>
      </c>
      <c r="J91" s="13">
        <f>IF(I91&gt;0,H91/I91,"")</f>
        <v/>
      </c>
      <c r="K91" s="4">
        <f>IF(I91&lt;=0,"NO DEMAND",IF(H91=0,"STOCKOUT",IF(J91&lt;Config!$B$5,"CRITICAL",IF(J91&lt;Config!$B$6,"LOW",IF(J91&gt;Config!$B$7,"EXCESS","HEALTHY")))))</f>
        <v/>
      </c>
      <c r="L91" s="11" t="n">
        <v>1750</v>
      </c>
      <c r="M91" s="11" t="n">
        <v>2180</v>
      </c>
      <c r="N91" s="11">
        <f>H91*L91</f>
        <v/>
      </c>
      <c r="O91" s="11">
        <f>IF(I91&gt;0,I91*(M91-L91),0)</f>
        <v/>
      </c>
      <c r="P91" s="11" t="n">
        <v>2120</v>
      </c>
    </row>
    <row r="92">
      <c r="A92" s="4" t="inlineStr">
        <is>
          <t>WH01</t>
        </is>
      </c>
      <c r="B92" s="4" t="inlineStr">
        <is>
          <t>Gurugram DC</t>
        </is>
      </c>
      <c r="C92" s="4" t="inlineStr">
        <is>
          <t>North</t>
        </is>
      </c>
      <c r="D92" s="4" t="inlineStr">
        <is>
          <t>SKU088</t>
        </is>
      </c>
      <c r="E92" s="4" t="inlineStr">
        <is>
          <t>Wireless Mouse</t>
        </is>
      </c>
      <c r="F92" s="4" t="inlineStr">
        <is>
          <t>Electronics Accessories</t>
        </is>
      </c>
      <c r="G92" s="4" t="inlineStr">
        <is>
          <t>A</t>
        </is>
      </c>
      <c r="H92" s="11" t="n">
        <v>1695</v>
      </c>
      <c r="I92" s="4" t="n">
        <v>151.75</v>
      </c>
      <c r="J92" s="13">
        <f>IF(I92&gt;0,H92/I92,"")</f>
        <v/>
      </c>
      <c r="K92" s="4">
        <f>IF(I92&lt;=0,"NO DEMAND",IF(H92=0,"STOCKOUT",IF(J92&lt;Config!$B$5,"CRITICAL",IF(J92&lt;Config!$B$6,"LOW",IF(J92&gt;Config!$B$7,"EXCESS","HEALTHY")))))</f>
        <v/>
      </c>
      <c r="L92" s="11" t="n">
        <v>429</v>
      </c>
      <c r="M92" s="11" t="n">
        <v>534</v>
      </c>
      <c r="N92" s="11">
        <f>H92*L92</f>
        <v/>
      </c>
      <c r="O92" s="11">
        <f>IF(I92&gt;0,I92*(M92-L92),0)</f>
        <v/>
      </c>
      <c r="P92" s="11" t="n">
        <v>0</v>
      </c>
    </row>
    <row r="93">
      <c r="A93" s="4" t="inlineStr">
        <is>
          <t>WH01</t>
        </is>
      </c>
      <c r="B93" s="4" t="inlineStr">
        <is>
          <t>Gurugram DC</t>
        </is>
      </c>
      <c r="C93" s="4" t="inlineStr">
        <is>
          <t>North</t>
        </is>
      </c>
      <c r="D93" s="4" t="inlineStr">
        <is>
          <t>SKU089</t>
        </is>
      </c>
      <c r="E93" s="4" t="inlineStr">
        <is>
          <t>USB Keyboard</t>
        </is>
      </c>
      <c r="F93" s="4" t="inlineStr">
        <is>
          <t>Electronics Accessories</t>
        </is>
      </c>
      <c r="G93" s="4" t="inlineStr">
        <is>
          <t>A</t>
        </is>
      </c>
      <c r="H93" s="11" t="n">
        <v>346</v>
      </c>
      <c r="I93" s="4" t="n">
        <v>28.5</v>
      </c>
      <c r="J93" s="13">
        <f>IF(I93&gt;0,H93/I93,"")</f>
        <v/>
      </c>
      <c r="K93" s="4">
        <f>IF(I93&lt;=0,"NO DEMAND",IF(H93=0,"STOCKOUT",IF(J93&lt;Config!$B$5,"CRITICAL",IF(J93&lt;Config!$B$6,"LOW",IF(J93&gt;Config!$B$7,"EXCESS","HEALTHY")))))</f>
        <v/>
      </c>
      <c r="L93" s="11" t="n">
        <v>2249</v>
      </c>
      <c r="M93" s="11" t="n">
        <v>2812</v>
      </c>
      <c r="N93" s="11">
        <f>H93*L93</f>
        <v/>
      </c>
      <c r="O93" s="11">
        <f>IF(I93&gt;0,I93*(M93-L93),0)</f>
        <v/>
      </c>
      <c r="P93" s="11" t="n">
        <v>0</v>
      </c>
    </row>
    <row r="94">
      <c r="A94" s="4" t="inlineStr">
        <is>
          <t>WH01</t>
        </is>
      </c>
      <c r="B94" s="4" t="inlineStr">
        <is>
          <t>Gurugram DC</t>
        </is>
      </c>
      <c r="C94" s="4" t="inlineStr">
        <is>
          <t>North</t>
        </is>
      </c>
      <c r="D94" s="4" t="inlineStr">
        <is>
          <t>SKU090</t>
        </is>
      </c>
      <c r="E94" s="4" t="inlineStr">
        <is>
          <t>HDMI Cable 2m</t>
        </is>
      </c>
      <c r="F94" s="4" t="inlineStr">
        <is>
          <t>Electronics Accessories</t>
        </is>
      </c>
      <c r="G94" s="4" t="inlineStr">
        <is>
          <t>C</t>
        </is>
      </c>
      <c r="H94" s="11" t="n">
        <v>215</v>
      </c>
      <c r="I94" s="4" t="n">
        <v>49.25</v>
      </c>
      <c r="J94" s="13">
        <f>IF(I94&gt;0,H94/I94,"")</f>
        <v/>
      </c>
      <c r="K94" s="4">
        <f>IF(I94&lt;=0,"NO DEMAND",IF(H94=0,"STOCKOUT",IF(J94&lt;Config!$B$5,"CRITICAL",IF(J94&lt;Config!$B$6,"LOW",IF(J94&gt;Config!$B$7,"EXCESS","HEALTHY")))))</f>
        <v/>
      </c>
      <c r="L94" s="11" t="n">
        <v>292</v>
      </c>
      <c r="M94" s="11" t="n">
        <v>378</v>
      </c>
      <c r="N94" s="11">
        <f>H94*L94</f>
        <v/>
      </c>
      <c r="O94" s="11">
        <f>IF(I94&gt;0,I94*(M94-L94),0)</f>
        <v/>
      </c>
      <c r="P94" s="11" t="n">
        <v>310</v>
      </c>
    </row>
    <row r="95">
      <c r="A95" s="4" t="inlineStr">
        <is>
          <t>WH01</t>
        </is>
      </c>
      <c r="B95" s="4" t="inlineStr">
        <is>
          <t>Gurugram DC</t>
        </is>
      </c>
      <c r="C95" s="4" t="inlineStr">
        <is>
          <t>North</t>
        </is>
      </c>
      <c r="D95" s="4" t="inlineStr">
        <is>
          <t>SKU091</t>
        </is>
      </c>
      <c r="E95" s="4" t="inlineStr">
        <is>
          <t>Paracetamol 500mg 15s</t>
        </is>
      </c>
      <c r="F95" s="4" t="inlineStr">
        <is>
          <t>OTC Pharma &amp; Wellness</t>
        </is>
      </c>
      <c r="G95" s="4" t="inlineStr">
        <is>
          <t>C</t>
        </is>
      </c>
      <c r="H95" s="11" t="n">
        <v>1955</v>
      </c>
      <c r="I95" s="4" t="n">
        <v>325.25</v>
      </c>
      <c r="J95" s="13">
        <f>IF(I95&gt;0,H95/I95,"")</f>
        <v/>
      </c>
      <c r="K95" s="4">
        <f>IF(I95&lt;=0,"NO DEMAND",IF(H95=0,"STOCKOUT",IF(J95&lt;Config!$B$5,"CRITICAL",IF(J95&lt;Config!$B$6,"LOW",IF(J95&gt;Config!$B$7,"EXCESS","HEALTHY")))))</f>
        <v/>
      </c>
      <c r="L95" s="11" t="n">
        <v>113</v>
      </c>
      <c r="M95" s="11" t="n">
        <v>144</v>
      </c>
      <c r="N95" s="11">
        <f>H95*L95</f>
        <v/>
      </c>
      <c r="O95" s="11">
        <f>IF(I95&gt;0,I95*(M95-L95),0)</f>
        <v/>
      </c>
      <c r="P95" s="11" t="n">
        <v>0</v>
      </c>
    </row>
    <row r="96">
      <c r="A96" s="4" t="inlineStr">
        <is>
          <t>WH01</t>
        </is>
      </c>
      <c r="B96" s="4" t="inlineStr">
        <is>
          <t>Gurugram DC</t>
        </is>
      </c>
      <c r="C96" s="4" t="inlineStr">
        <is>
          <t>North</t>
        </is>
      </c>
      <c r="D96" s="4" t="inlineStr">
        <is>
          <t>SKU092</t>
        </is>
      </c>
      <c r="E96" s="4" t="inlineStr">
        <is>
          <t>ORS Sachets 10pk</t>
        </is>
      </c>
      <c r="F96" s="4" t="inlineStr">
        <is>
          <t>OTC Pharma &amp; Wellness</t>
        </is>
      </c>
      <c r="G96" s="4" t="inlineStr">
        <is>
          <t>C</t>
        </is>
      </c>
      <c r="H96" s="11" t="n">
        <v>2072</v>
      </c>
      <c r="I96" s="4" t="n">
        <v>285.75</v>
      </c>
      <c r="J96" s="13">
        <f>IF(I96&gt;0,H96/I96,"")</f>
        <v/>
      </c>
      <c r="K96" s="4">
        <f>IF(I96&lt;=0,"NO DEMAND",IF(H96=0,"STOCKOUT",IF(J96&lt;Config!$B$5,"CRITICAL",IF(J96&lt;Config!$B$6,"LOW",IF(J96&gt;Config!$B$7,"EXCESS","HEALTHY")))))</f>
        <v/>
      </c>
      <c r="L96" s="11" t="n">
        <v>55</v>
      </c>
      <c r="M96" s="11" t="n">
        <v>75</v>
      </c>
      <c r="N96" s="11">
        <f>H96*L96</f>
        <v/>
      </c>
      <c r="O96" s="11">
        <f>IF(I96&gt;0,I96*(M96-L96),0)</f>
        <v/>
      </c>
      <c r="P96" s="11" t="n">
        <v>2568</v>
      </c>
    </row>
    <row r="97">
      <c r="A97" s="4" t="inlineStr">
        <is>
          <t>WH01</t>
        </is>
      </c>
      <c r="B97" s="4" t="inlineStr">
        <is>
          <t>Gurugram DC</t>
        </is>
      </c>
      <c r="C97" s="4" t="inlineStr">
        <is>
          <t>North</t>
        </is>
      </c>
      <c r="D97" s="4" t="inlineStr">
        <is>
          <t>SKU093</t>
        </is>
      </c>
      <c r="E97" s="4" t="inlineStr">
        <is>
          <t>Antacid Syrup 200ml</t>
        </is>
      </c>
      <c r="F97" s="4" t="inlineStr">
        <is>
          <t>OTC Pharma &amp; Wellness</t>
        </is>
      </c>
      <c r="G97" s="4" t="inlineStr">
        <is>
          <t>A</t>
        </is>
      </c>
      <c r="H97" s="11" t="n">
        <v>4048</v>
      </c>
      <c r="I97" s="4" t="n">
        <v>776.75</v>
      </c>
      <c r="J97" s="13">
        <f>IF(I97&gt;0,H97/I97,"")</f>
        <v/>
      </c>
      <c r="K97" s="4">
        <f>IF(I97&lt;=0,"NO DEMAND",IF(H97=0,"STOCKOUT",IF(J97&lt;Config!$B$5,"CRITICAL",IF(J97&lt;Config!$B$6,"LOW",IF(J97&gt;Config!$B$7,"EXCESS","HEALTHY")))))</f>
        <v/>
      </c>
      <c r="L97" s="11" t="n">
        <v>277</v>
      </c>
      <c r="M97" s="11" t="n">
        <v>362</v>
      </c>
      <c r="N97" s="11">
        <f>H97*L97</f>
        <v/>
      </c>
      <c r="O97" s="11">
        <f>IF(I97&gt;0,I97*(M97-L97),0)</f>
        <v/>
      </c>
      <c r="P97" s="11" t="n">
        <v>5640</v>
      </c>
    </row>
    <row r="98">
      <c r="A98" s="4" t="inlineStr">
        <is>
          <t>WH01</t>
        </is>
      </c>
      <c r="B98" s="4" t="inlineStr">
        <is>
          <t>Gurugram DC</t>
        </is>
      </c>
      <c r="C98" s="4" t="inlineStr">
        <is>
          <t>North</t>
        </is>
      </c>
      <c r="D98" s="4" t="inlineStr">
        <is>
          <t>SKU094</t>
        </is>
      </c>
      <c r="E98" s="4" t="inlineStr">
        <is>
          <t>Cough Syrup 100ml</t>
        </is>
      </c>
      <c r="F98" s="4" t="inlineStr">
        <is>
          <t>OTC Pharma &amp; Wellness</t>
        </is>
      </c>
      <c r="G98" s="4" t="inlineStr">
        <is>
          <t>B</t>
        </is>
      </c>
      <c r="H98" s="11" t="n">
        <v>2214</v>
      </c>
      <c r="I98" s="4" t="n">
        <v>260.25</v>
      </c>
      <c r="J98" s="13">
        <f>IF(I98&gt;0,H98/I98,"")</f>
        <v/>
      </c>
      <c r="K98" s="4">
        <f>IF(I98&lt;=0,"NO DEMAND",IF(H98=0,"STOCKOUT",IF(J98&lt;Config!$B$5,"CRITICAL",IF(J98&lt;Config!$B$6,"LOW",IF(J98&gt;Config!$B$7,"EXCESS","HEALTHY")))))</f>
        <v/>
      </c>
      <c r="L98" s="11" t="n">
        <v>190</v>
      </c>
      <c r="M98" s="11" t="n">
        <v>254</v>
      </c>
      <c r="N98" s="11">
        <f>H98*L98</f>
        <v/>
      </c>
      <c r="O98" s="11">
        <f>IF(I98&gt;0,I98*(M98-L98),0)</f>
        <v/>
      </c>
      <c r="P98" s="11" t="n">
        <v>0</v>
      </c>
    </row>
    <row r="99">
      <c r="A99" s="4" t="inlineStr">
        <is>
          <t>WH01</t>
        </is>
      </c>
      <c r="B99" s="4" t="inlineStr">
        <is>
          <t>Gurugram DC</t>
        </is>
      </c>
      <c r="C99" s="4" t="inlineStr">
        <is>
          <t>North</t>
        </is>
      </c>
      <c r="D99" s="4" t="inlineStr">
        <is>
          <t>SKU095</t>
        </is>
      </c>
      <c r="E99" s="4" t="inlineStr">
        <is>
          <t>Multivitamin 30s</t>
        </is>
      </c>
      <c r="F99" s="4" t="inlineStr">
        <is>
          <t>OTC Pharma &amp; Wellness</t>
        </is>
      </c>
      <c r="G99" s="4" t="inlineStr">
        <is>
          <t>B</t>
        </is>
      </c>
      <c r="H99" s="11" t="n">
        <v>2361</v>
      </c>
      <c r="I99" s="4" t="n">
        <v>243</v>
      </c>
      <c r="J99" s="13">
        <f>IF(I99&gt;0,H99/I99,"")</f>
        <v/>
      </c>
      <c r="K99" s="4">
        <f>IF(I99&lt;=0,"NO DEMAND",IF(H99=0,"STOCKOUT",IF(J99&lt;Config!$B$5,"CRITICAL",IF(J99&lt;Config!$B$6,"LOW",IF(J99&gt;Config!$B$7,"EXCESS","HEALTHY")))))</f>
        <v/>
      </c>
      <c r="L99" s="11" t="n">
        <v>178</v>
      </c>
      <c r="M99" s="11" t="n">
        <v>237</v>
      </c>
      <c r="N99" s="11">
        <f>H99*L99</f>
        <v/>
      </c>
      <c r="O99" s="11">
        <f>IF(I99&gt;0,I99*(M99-L99),0)</f>
        <v/>
      </c>
      <c r="P99" s="11" t="n">
        <v>0</v>
      </c>
    </row>
    <row r="100">
      <c r="A100" s="4" t="inlineStr">
        <is>
          <t>WH01</t>
        </is>
      </c>
      <c r="B100" s="4" t="inlineStr">
        <is>
          <t>Gurugram DC</t>
        </is>
      </c>
      <c r="C100" s="4" t="inlineStr">
        <is>
          <t>North</t>
        </is>
      </c>
      <c r="D100" s="4" t="inlineStr">
        <is>
          <t>SKU096</t>
        </is>
      </c>
      <c r="E100" s="4" t="inlineStr">
        <is>
          <t>Antiseptic Liquid 250ml</t>
        </is>
      </c>
      <c r="F100" s="4" t="inlineStr">
        <is>
          <t>OTC Pharma &amp; Wellness</t>
        </is>
      </c>
      <c r="G100" s="4" t="inlineStr">
        <is>
          <t>C</t>
        </is>
      </c>
      <c r="H100" s="11" t="n">
        <v>1317</v>
      </c>
      <c r="I100" s="4" t="n">
        <v>181.25</v>
      </c>
      <c r="J100" s="13">
        <f>IF(I100&gt;0,H100/I100,"")</f>
        <v/>
      </c>
      <c r="K100" s="4">
        <f>IF(I100&lt;=0,"NO DEMAND",IF(H100=0,"STOCKOUT",IF(J100&lt;Config!$B$5,"CRITICAL",IF(J100&lt;Config!$B$6,"LOW",IF(J100&gt;Config!$B$7,"EXCESS","HEALTHY")))))</f>
        <v/>
      </c>
      <c r="L100" s="11" t="n">
        <v>88</v>
      </c>
      <c r="M100" s="11" t="n">
        <v>112</v>
      </c>
      <c r="N100" s="11">
        <f>H100*L100</f>
        <v/>
      </c>
      <c r="O100" s="11">
        <f>IF(I100&gt;0,I100*(M100-L100),0)</f>
        <v/>
      </c>
      <c r="P100" s="11" t="n">
        <v>1452</v>
      </c>
    </row>
    <row r="101">
      <c r="A101" s="4" t="inlineStr">
        <is>
          <t>WH01</t>
        </is>
      </c>
      <c r="B101" s="4" t="inlineStr">
        <is>
          <t>Gurugram DC</t>
        </is>
      </c>
      <c r="C101" s="4" t="inlineStr">
        <is>
          <t>North</t>
        </is>
      </c>
      <c r="D101" s="4" t="inlineStr">
        <is>
          <t>SKU097</t>
        </is>
      </c>
      <c r="E101" s="4" t="inlineStr">
        <is>
          <t>Pain Balm 50g</t>
        </is>
      </c>
      <c r="F101" s="4" t="inlineStr">
        <is>
          <t>OTC Pharma &amp; Wellness</t>
        </is>
      </c>
      <c r="G101" s="4" t="inlineStr">
        <is>
          <t>C</t>
        </is>
      </c>
      <c r="H101" s="11" t="n">
        <v>1721</v>
      </c>
      <c r="I101" s="4" t="n">
        <v>157.5</v>
      </c>
      <c r="J101" s="13">
        <f>IF(I101&gt;0,H101/I101,"")</f>
        <v/>
      </c>
      <c r="K101" s="4">
        <f>IF(I101&lt;=0,"NO DEMAND",IF(H101=0,"STOCKOUT",IF(J101&lt;Config!$B$5,"CRITICAL",IF(J101&lt;Config!$B$6,"LOW",IF(J101&gt;Config!$B$7,"EXCESS","HEALTHY")))))</f>
        <v/>
      </c>
      <c r="L101" s="11" t="n">
        <v>68</v>
      </c>
      <c r="M101" s="11" t="n">
        <v>91</v>
      </c>
      <c r="N101" s="11">
        <f>H101*L101</f>
        <v/>
      </c>
      <c r="O101" s="11">
        <f>IF(I101&gt;0,I101*(M101-L101),0)</f>
        <v/>
      </c>
      <c r="P101" s="11" t="n">
        <v>0</v>
      </c>
    </row>
    <row r="102">
      <c r="A102" s="4" t="inlineStr">
        <is>
          <t>WH01</t>
        </is>
      </c>
      <c r="B102" s="4" t="inlineStr">
        <is>
          <t>Gurugram DC</t>
        </is>
      </c>
      <c r="C102" s="4" t="inlineStr">
        <is>
          <t>North</t>
        </is>
      </c>
      <c r="D102" s="4" t="inlineStr">
        <is>
          <t>SKU098</t>
        </is>
      </c>
      <c r="E102" s="4" t="inlineStr">
        <is>
          <t>Bandage Pack</t>
        </is>
      </c>
      <c r="F102" s="4" t="inlineStr">
        <is>
          <t>OTC Pharma &amp; Wellness</t>
        </is>
      </c>
      <c r="G102" s="4" t="inlineStr">
        <is>
          <t>C</t>
        </is>
      </c>
      <c r="H102" s="11" t="n">
        <v>2593</v>
      </c>
      <c r="I102" s="4" t="n">
        <v>432.25</v>
      </c>
      <c r="J102" s="13">
        <f>IF(I102&gt;0,H102/I102,"")</f>
        <v/>
      </c>
      <c r="K102" s="4">
        <f>IF(I102&lt;=0,"NO DEMAND",IF(H102=0,"STOCKOUT",IF(J102&lt;Config!$B$5,"CRITICAL",IF(J102&lt;Config!$B$6,"LOW",IF(J102&gt;Config!$B$7,"EXCESS","HEALTHY")))))</f>
        <v/>
      </c>
      <c r="L102" s="11" t="n">
        <v>49</v>
      </c>
      <c r="M102" s="11" t="n">
        <v>66</v>
      </c>
      <c r="N102" s="11">
        <f>H102*L102</f>
        <v/>
      </c>
      <c r="O102" s="11">
        <f>IF(I102&gt;0,I102*(M102-L102),0)</f>
        <v/>
      </c>
      <c r="P102" s="11" t="n">
        <v>0</v>
      </c>
    </row>
    <row r="103">
      <c r="A103" s="4" t="inlineStr">
        <is>
          <t>WH01</t>
        </is>
      </c>
      <c r="B103" s="4" t="inlineStr">
        <is>
          <t>Gurugram DC</t>
        </is>
      </c>
      <c r="C103" s="4" t="inlineStr">
        <is>
          <t>North</t>
        </is>
      </c>
      <c r="D103" s="4" t="inlineStr">
        <is>
          <t>SKU099</t>
        </is>
      </c>
      <c r="E103" s="4" t="inlineStr">
        <is>
          <t>Digital Thermometer</t>
        </is>
      </c>
      <c r="F103" s="4" t="inlineStr">
        <is>
          <t>OTC Pharma &amp; Wellness</t>
        </is>
      </c>
      <c r="G103" s="4" t="inlineStr">
        <is>
          <t>B</t>
        </is>
      </c>
      <c r="H103" s="11" t="n">
        <v>4936</v>
      </c>
      <c r="I103" s="4" t="n">
        <v>567.25</v>
      </c>
      <c r="J103" s="13">
        <f>IF(I103&gt;0,H103/I103,"")</f>
        <v/>
      </c>
      <c r="K103" s="4">
        <f>IF(I103&lt;=0,"NO DEMAND",IF(H103=0,"STOCKOUT",IF(J103&lt;Config!$B$5,"CRITICAL",IF(J103&lt;Config!$B$6,"LOW",IF(J103&gt;Config!$B$7,"EXCESS","HEALTHY")))))</f>
        <v/>
      </c>
      <c r="L103" s="11" t="n">
        <v>88</v>
      </c>
      <c r="M103" s="11" t="n">
        <v>112</v>
      </c>
      <c r="N103" s="11">
        <f>H103*L103</f>
        <v/>
      </c>
      <c r="O103" s="11">
        <f>IF(I103&gt;0,I103*(M103-L103),0)</f>
        <v/>
      </c>
      <c r="P103" s="11" t="n">
        <v>0</v>
      </c>
    </row>
    <row r="104">
      <c r="A104" s="4" t="inlineStr">
        <is>
          <t>WH01</t>
        </is>
      </c>
      <c r="B104" s="4" t="inlineStr">
        <is>
          <t>Gurugram DC</t>
        </is>
      </c>
      <c r="C104" s="4" t="inlineStr">
        <is>
          <t>North</t>
        </is>
      </c>
      <c r="D104" s="4" t="inlineStr">
        <is>
          <t>SKU100</t>
        </is>
      </c>
      <c r="E104" s="4" t="inlineStr">
        <is>
          <t>Glucose Powder 500g</t>
        </is>
      </c>
      <c r="F104" s="4" t="inlineStr">
        <is>
          <t>OTC Pharma &amp; Wellness</t>
        </is>
      </c>
      <c r="G104" s="4" t="inlineStr">
        <is>
          <t>C</t>
        </is>
      </c>
      <c r="H104" s="11" t="n">
        <v>287</v>
      </c>
      <c r="I104" s="4" t="n">
        <v>46.25</v>
      </c>
      <c r="J104" s="13">
        <f>IF(I104&gt;0,H104/I104,"")</f>
        <v/>
      </c>
      <c r="K104" s="4">
        <f>IF(I104&lt;=0,"NO DEMAND",IF(H104=0,"STOCKOUT",IF(J104&lt;Config!$B$5,"CRITICAL",IF(J104&lt;Config!$B$6,"LOW",IF(J104&gt;Config!$B$7,"EXCESS","HEALTHY")))))</f>
        <v/>
      </c>
      <c r="L104" s="11" t="n">
        <v>32</v>
      </c>
      <c r="M104" s="11" t="n">
        <v>42</v>
      </c>
      <c r="N104" s="11">
        <f>H104*L104</f>
        <v/>
      </c>
      <c r="O104" s="11">
        <f>IF(I104&gt;0,I104*(M104-L104),0)</f>
        <v/>
      </c>
      <c r="P104" s="11" t="n">
        <v>0</v>
      </c>
    </row>
    <row r="105">
      <c r="A105" s="4" t="inlineStr">
        <is>
          <t>WH01</t>
        </is>
      </c>
      <c r="B105" s="4" t="inlineStr">
        <is>
          <t>Gurugram DC</t>
        </is>
      </c>
      <c r="C105" s="4" t="inlineStr">
        <is>
          <t>North</t>
        </is>
      </c>
      <c r="D105" s="4" t="inlineStr">
        <is>
          <t>SKU101</t>
        </is>
      </c>
      <c r="E105" s="4" t="inlineStr">
        <is>
          <t>Vitamin C 30s</t>
        </is>
      </c>
      <c r="F105" s="4" t="inlineStr">
        <is>
          <t>OTC Pharma &amp; Wellness</t>
        </is>
      </c>
      <c r="G105" s="4" t="inlineStr">
        <is>
          <t>B</t>
        </is>
      </c>
      <c r="H105" s="11" t="n">
        <v>2339</v>
      </c>
      <c r="I105" s="4" t="n">
        <v>249</v>
      </c>
      <c r="J105" s="13">
        <f>IF(I105&gt;0,H105/I105,"")</f>
        <v/>
      </c>
      <c r="K105" s="4">
        <f>IF(I105&lt;=0,"NO DEMAND",IF(H105=0,"STOCKOUT",IF(J105&lt;Config!$B$5,"CRITICAL",IF(J105&lt;Config!$B$6,"LOW",IF(J105&gt;Config!$B$7,"EXCESS","HEALTHY")))))</f>
        <v/>
      </c>
      <c r="L105" s="11" t="n">
        <v>176</v>
      </c>
      <c r="M105" s="11" t="n">
        <v>237</v>
      </c>
      <c r="N105" s="11">
        <f>H105*L105</f>
        <v/>
      </c>
      <c r="O105" s="11">
        <f>IF(I105&gt;0,I105*(M105-L105),0)</f>
        <v/>
      </c>
      <c r="P105" s="11" t="n">
        <v>0</v>
      </c>
    </row>
    <row r="106">
      <c r="A106" s="4" t="inlineStr">
        <is>
          <t>WH01</t>
        </is>
      </c>
      <c r="B106" s="4" t="inlineStr">
        <is>
          <t>Gurugram DC</t>
        </is>
      </c>
      <c r="C106" s="4" t="inlineStr">
        <is>
          <t>North</t>
        </is>
      </c>
      <c r="D106" s="4" t="inlineStr">
        <is>
          <t>SKU102</t>
        </is>
      </c>
      <c r="E106" s="4" t="inlineStr">
        <is>
          <t>Eye Drops 10ml</t>
        </is>
      </c>
      <c r="F106" s="4" t="inlineStr">
        <is>
          <t>OTC Pharma &amp; Wellness</t>
        </is>
      </c>
      <c r="G106" s="4" t="inlineStr">
        <is>
          <t>C</t>
        </is>
      </c>
      <c r="H106" s="11" t="n">
        <v>4159</v>
      </c>
      <c r="I106" s="4" t="n">
        <v>443.5</v>
      </c>
      <c r="J106" s="13">
        <f>IF(I106&gt;0,H106/I106,"")</f>
        <v/>
      </c>
      <c r="K106" s="4">
        <f>IF(I106&lt;=0,"NO DEMAND",IF(H106=0,"STOCKOUT",IF(J106&lt;Config!$B$5,"CRITICAL",IF(J106&lt;Config!$B$6,"LOW",IF(J106&gt;Config!$B$7,"EXCESS","HEALTHY")))))</f>
        <v/>
      </c>
      <c r="L106" s="11" t="n">
        <v>72</v>
      </c>
      <c r="M106" s="11" t="n">
        <v>92</v>
      </c>
      <c r="N106" s="11">
        <f>H106*L106</f>
        <v/>
      </c>
      <c r="O106" s="11">
        <f>IF(I106&gt;0,I106*(M106-L106),0)</f>
        <v/>
      </c>
      <c r="P106" s="11" t="n">
        <v>0</v>
      </c>
    </row>
    <row r="107">
      <c r="A107" s="4" t="inlineStr">
        <is>
          <t>WH01</t>
        </is>
      </c>
      <c r="B107" s="4" t="inlineStr">
        <is>
          <t>Gurugram DC</t>
        </is>
      </c>
      <c r="C107" s="4" t="inlineStr">
        <is>
          <t>North</t>
        </is>
      </c>
      <c r="D107" s="4" t="inlineStr">
        <is>
          <t>SKU103</t>
        </is>
      </c>
      <c r="E107" s="4" t="inlineStr">
        <is>
          <t>Zinc Tablets 20s</t>
        </is>
      </c>
      <c r="F107" s="4" t="inlineStr">
        <is>
          <t>OTC Pharma &amp; Wellness</t>
        </is>
      </c>
      <c r="G107" s="4" t="inlineStr">
        <is>
          <t>C</t>
        </is>
      </c>
      <c r="H107" s="11" t="n">
        <v>290</v>
      </c>
      <c r="I107" s="4" t="n">
        <v>40.5</v>
      </c>
      <c r="J107" s="13">
        <f>IF(I107&gt;0,H107/I107,"")</f>
        <v/>
      </c>
      <c r="K107" s="4">
        <f>IF(I107&lt;=0,"NO DEMAND",IF(H107=0,"STOCKOUT",IF(J107&lt;Config!$B$5,"CRITICAL",IF(J107&lt;Config!$B$6,"LOW",IF(J107&gt;Config!$B$7,"EXCESS","HEALTHY")))))</f>
        <v/>
      </c>
      <c r="L107" s="11" t="n">
        <v>169</v>
      </c>
      <c r="M107" s="11" t="n">
        <v>216</v>
      </c>
      <c r="N107" s="11">
        <f>H107*L107</f>
        <v/>
      </c>
      <c r="O107" s="11">
        <f>IF(I107&gt;0,I107*(M107-L107),0)</f>
        <v/>
      </c>
      <c r="P107" s="11" t="n">
        <v>0</v>
      </c>
    </row>
    <row r="108">
      <c r="A108" s="4" t="inlineStr">
        <is>
          <t>WH01</t>
        </is>
      </c>
      <c r="B108" s="4" t="inlineStr">
        <is>
          <t>Gurugram DC</t>
        </is>
      </c>
      <c r="C108" s="4" t="inlineStr">
        <is>
          <t>North</t>
        </is>
      </c>
      <c r="D108" s="4" t="inlineStr">
        <is>
          <t>SKU104</t>
        </is>
      </c>
      <c r="E108" s="4" t="inlineStr">
        <is>
          <t>Hand Sanitizer 500ml</t>
        </is>
      </c>
      <c r="F108" s="4" t="inlineStr">
        <is>
          <t>OTC Pharma &amp; Wellness</t>
        </is>
      </c>
      <c r="G108" s="4" t="inlineStr">
        <is>
          <t>C</t>
        </is>
      </c>
      <c r="H108" s="11" t="n">
        <v>1946</v>
      </c>
      <c r="I108" s="4" t="n">
        <v>355.25</v>
      </c>
      <c r="J108" s="13">
        <f>IF(I108&gt;0,H108/I108,"")</f>
        <v/>
      </c>
      <c r="K108" s="4">
        <f>IF(I108&lt;=0,"NO DEMAND",IF(H108=0,"STOCKOUT",IF(J108&lt;Config!$B$5,"CRITICAL",IF(J108&lt;Config!$B$6,"LOW",IF(J108&gt;Config!$B$7,"EXCESS","HEALTHY")))))</f>
        <v/>
      </c>
      <c r="L108" s="11" t="n">
        <v>37</v>
      </c>
      <c r="M108" s="11" t="n">
        <v>48</v>
      </c>
      <c r="N108" s="11">
        <f>H108*L108</f>
        <v/>
      </c>
      <c r="O108" s="11">
        <f>IF(I108&gt;0,I108*(M108-L108),0)</f>
        <v/>
      </c>
      <c r="P108" s="11" t="n">
        <v>0</v>
      </c>
    </row>
    <row r="109">
      <c r="A109" s="4" t="inlineStr">
        <is>
          <t>WH01</t>
        </is>
      </c>
      <c r="B109" s="4" t="inlineStr">
        <is>
          <t>Gurugram DC</t>
        </is>
      </c>
      <c r="C109" s="4" t="inlineStr">
        <is>
          <t>North</t>
        </is>
      </c>
      <c r="D109" s="4" t="inlineStr">
        <is>
          <t>SKU105</t>
        </is>
      </c>
      <c r="E109" s="4" t="inlineStr">
        <is>
          <t>Face Masks 50pk</t>
        </is>
      </c>
      <c r="F109" s="4" t="inlineStr">
        <is>
          <t>OTC Pharma &amp; Wellness</t>
        </is>
      </c>
      <c r="G109" s="4" t="inlineStr">
        <is>
          <t>C</t>
        </is>
      </c>
      <c r="H109" s="11" t="n">
        <v>2075</v>
      </c>
      <c r="I109" s="4" t="n">
        <v>398</v>
      </c>
      <c r="J109" s="13">
        <f>IF(I109&gt;0,H109/I109,"")</f>
        <v/>
      </c>
      <c r="K109" s="4">
        <f>IF(I109&lt;=0,"NO DEMAND",IF(H109=0,"STOCKOUT",IF(J109&lt;Config!$B$5,"CRITICAL",IF(J109&lt;Config!$B$6,"LOW",IF(J109&gt;Config!$B$7,"EXCESS","HEALTHY")))))</f>
        <v/>
      </c>
      <c r="L109" s="11" t="n">
        <v>92</v>
      </c>
      <c r="M109" s="11" t="n">
        <v>121</v>
      </c>
      <c r="N109" s="11">
        <f>H109*L109</f>
        <v/>
      </c>
      <c r="O109" s="11">
        <f>IF(I109&gt;0,I109*(M109-L109),0)</f>
        <v/>
      </c>
      <c r="P109" s="11" t="n">
        <v>2004</v>
      </c>
    </row>
    <row r="110">
      <c r="A110" s="4" t="inlineStr">
        <is>
          <t>WH01</t>
        </is>
      </c>
      <c r="B110" s="4" t="inlineStr">
        <is>
          <t>Gurugram DC</t>
        </is>
      </c>
      <c r="C110" s="4" t="inlineStr">
        <is>
          <t>North</t>
        </is>
      </c>
      <c r="D110" s="4" t="inlineStr">
        <is>
          <t>SKU106</t>
        </is>
      </c>
      <c r="E110" s="4" t="inlineStr">
        <is>
          <t>Corrugated Box 12x12</t>
        </is>
      </c>
      <c r="F110" s="4" t="inlineStr">
        <is>
          <t>Packaging &amp; Supplies</t>
        </is>
      </c>
      <c r="G110" s="4" t="inlineStr">
        <is>
          <t>B</t>
        </is>
      </c>
      <c r="H110" s="11" t="n">
        <v>1685</v>
      </c>
      <c r="I110" s="4" t="n">
        <v>214.25</v>
      </c>
      <c r="J110" s="13">
        <f>IF(I110&gt;0,H110/I110,"")</f>
        <v/>
      </c>
      <c r="K110" s="4">
        <f>IF(I110&lt;=0,"NO DEMAND",IF(H110=0,"STOCKOUT",IF(J110&lt;Config!$B$5,"CRITICAL",IF(J110&lt;Config!$B$6,"LOW",IF(J110&gt;Config!$B$7,"EXCESS","HEALTHY")))))</f>
        <v/>
      </c>
      <c r="L110" s="11" t="n">
        <v>400</v>
      </c>
      <c r="M110" s="11" t="n">
        <v>480</v>
      </c>
      <c r="N110" s="11">
        <f>H110*L110</f>
        <v/>
      </c>
      <c r="O110" s="11">
        <f>IF(I110&gt;0,I110*(M110-L110),0)</f>
        <v/>
      </c>
      <c r="P110" s="11" t="n">
        <v>0</v>
      </c>
    </row>
    <row r="111">
      <c r="A111" s="4" t="inlineStr">
        <is>
          <t>WH01</t>
        </is>
      </c>
      <c r="B111" s="4" t="inlineStr">
        <is>
          <t>Gurugram DC</t>
        </is>
      </c>
      <c r="C111" s="4" t="inlineStr">
        <is>
          <t>North</t>
        </is>
      </c>
      <c r="D111" s="4" t="inlineStr">
        <is>
          <t>SKU107</t>
        </is>
      </c>
      <c r="E111" s="4" t="inlineStr">
        <is>
          <t>Stretch Film 500mm</t>
        </is>
      </c>
      <c r="F111" s="4" t="inlineStr">
        <is>
          <t>Packaging &amp; Supplies</t>
        </is>
      </c>
      <c r="G111" s="4" t="inlineStr">
        <is>
          <t>A</t>
        </is>
      </c>
      <c r="H111" s="11" t="n">
        <v>2125</v>
      </c>
      <c r="I111" s="4" t="n">
        <v>235.75</v>
      </c>
      <c r="J111" s="13">
        <f>IF(I111&gt;0,H111/I111,"")</f>
        <v/>
      </c>
      <c r="K111" s="4">
        <f>IF(I111&lt;=0,"NO DEMAND",IF(H111=0,"STOCKOUT",IF(J111&lt;Config!$B$5,"CRITICAL",IF(J111&lt;Config!$B$6,"LOW",IF(J111&gt;Config!$B$7,"EXCESS","HEALTHY")))))</f>
        <v/>
      </c>
      <c r="L111" s="11" t="n">
        <v>324</v>
      </c>
      <c r="M111" s="11" t="n">
        <v>383</v>
      </c>
      <c r="N111" s="11">
        <f>H111*L111</f>
        <v/>
      </c>
      <c r="O111" s="11">
        <f>IF(I111&gt;0,I111*(M111-L111),0)</f>
        <v/>
      </c>
      <c r="P111" s="11" t="n">
        <v>0</v>
      </c>
    </row>
    <row r="112">
      <c r="A112" s="4" t="inlineStr">
        <is>
          <t>WH01</t>
        </is>
      </c>
      <c r="B112" s="4" t="inlineStr">
        <is>
          <t>Gurugram DC</t>
        </is>
      </c>
      <c r="C112" s="4" t="inlineStr">
        <is>
          <t>North</t>
        </is>
      </c>
      <c r="D112" s="4" t="inlineStr">
        <is>
          <t>SKU108</t>
        </is>
      </c>
      <c r="E112" s="4" t="inlineStr">
        <is>
          <t>BOPP Tape 48mm</t>
        </is>
      </c>
      <c r="F112" s="4" t="inlineStr">
        <is>
          <t>Packaging &amp; Supplies</t>
        </is>
      </c>
      <c r="G112" s="4" t="inlineStr">
        <is>
          <t>A</t>
        </is>
      </c>
      <c r="H112" s="11" t="n">
        <v>630</v>
      </c>
      <c r="I112" s="4" t="n">
        <v>247.75</v>
      </c>
      <c r="J112" s="13">
        <f>IF(I112&gt;0,H112/I112,"")</f>
        <v/>
      </c>
      <c r="K112" s="4">
        <f>IF(I112&lt;=0,"NO DEMAND",IF(H112=0,"STOCKOUT",IF(J112&lt;Config!$B$5,"CRITICAL",IF(J112&lt;Config!$B$6,"LOW",IF(J112&gt;Config!$B$7,"EXCESS","HEALTHY")))))</f>
        <v/>
      </c>
      <c r="L112" s="11" t="n">
        <v>699</v>
      </c>
      <c r="M112" s="11" t="n">
        <v>822</v>
      </c>
      <c r="N112" s="11">
        <f>H112*L112</f>
        <v/>
      </c>
      <c r="O112" s="11">
        <f>IF(I112&gt;0,I112*(M112-L112),0)</f>
        <v/>
      </c>
      <c r="P112" s="11" t="n">
        <v>1380</v>
      </c>
    </row>
    <row r="113">
      <c r="A113" s="4" t="inlineStr">
        <is>
          <t>WH01</t>
        </is>
      </c>
      <c r="B113" s="4" t="inlineStr">
        <is>
          <t>Gurugram DC</t>
        </is>
      </c>
      <c r="C113" s="4" t="inlineStr">
        <is>
          <t>North</t>
        </is>
      </c>
      <c r="D113" s="4" t="inlineStr">
        <is>
          <t>SKU109</t>
        </is>
      </c>
      <c r="E113" s="4" t="inlineStr">
        <is>
          <t>Bubble Wrap Roll</t>
        </is>
      </c>
      <c r="F113" s="4" t="inlineStr">
        <is>
          <t>Packaging &amp; Supplies</t>
        </is>
      </c>
      <c r="G113" s="4" t="inlineStr">
        <is>
          <t>C</t>
        </is>
      </c>
      <c r="H113" s="11" t="n">
        <v>2418</v>
      </c>
      <c r="I113" s="4" t="n">
        <v>560.25</v>
      </c>
      <c r="J113" s="13">
        <f>IF(I113&gt;0,H113/I113,"")</f>
        <v/>
      </c>
      <c r="K113" s="4">
        <f>IF(I113&lt;=0,"NO DEMAND",IF(H113=0,"STOCKOUT",IF(J113&lt;Config!$B$5,"CRITICAL",IF(J113&lt;Config!$B$6,"LOW",IF(J113&gt;Config!$B$7,"EXCESS","HEALTHY")))))</f>
        <v/>
      </c>
      <c r="L113" s="11" t="n">
        <v>68</v>
      </c>
      <c r="M113" s="11" t="n">
        <v>80</v>
      </c>
      <c r="N113" s="11">
        <f>H113*L113</f>
        <v/>
      </c>
      <c r="O113" s="11">
        <f>IF(I113&gt;0,I113*(M113-L113),0)</f>
        <v/>
      </c>
      <c r="P113" s="11" t="n">
        <v>3140</v>
      </c>
    </row>
    <row r="114">
      <c r="A114" s="4" t="inlineStr">
        <is>
          <t>WH01</t>
        </is>
      </c>
      <c r="B114" s="4" t="inlineStr">
        <is>
          <t>Gurugram DC</t>
        </is>
      </c>
      <c r="C114" s="4" t="inlineStr">
        <is>
          <t>North</t>
        </is>
      </c>
      <c r="D114" s="4" t="inlineStr">
        <is>
          <t>SKU110</t>
        </is>
      </c>
      <c r="E114" s="4" t="inlineStr">
        <is>
          <t>Pallet Strapping Roll</t>
        </is>
      </c>
      <c r="F114" s="4" t="inlineStr">
        <is>
          <t>Packaging &amp; Supplies</t>
        </is>
      </c>
      <c r="G114" s="4" t="inlineStr">
        <is>
          <t>C</t>
        </is>
      </c>
      <c r="H114" s="11" t="n">
        <v>4386</v>
      </c>
      <c r="I114" s="4" t="n">
        <v>484.25</v>
      </c>
      <c r="J114" s="13">
        <f>IF(I114&gt;0,H114/I114,"")</f>
        <v/>
      </c>
      <c r="K114" s="4">
        <f>IF(I114&lt;=0,"NO DEMAND",IF(H114=0,"STOCKOUT",IF(J114&lt;Config!$B$5,"CRITICAL",IF(J114&lt;Config!$B$6,"LOW",IF(J114&gt;Config!$B$7,"EXCESS","HEALTHY")))))</f>
        <v/>
      </c>
      <c r="L114" s="11" t="n">
        <v>45</v>
      </c>
      <c r="M114" s="11" t="n">
        <v>53</v>
      </c>
      <c r="N114" s="11">
        <f>H114*L114</f>
        <v/>
      </c>
      <c r="O114" s="11">
        <f>IF(I114&gt;0,I114*(M114-L114),0)</f>
        <v/>
      </c>
      <c r="P114" s="11" t="n">
        <v>0</v>
      </c>
    </row>
    <row r="115">
      <c r="A115" s="4" t="inlineStr">
        <is>
          <t>WH01</t>
        </is>
      </c>
      <c r="B115" s="4" t="inlineStr">
        <is>
          <t>Gurugram DC</t>
        </is>
      </c>
      <c r="C115" s="4" t="inlineStr">
        <is>
          <t>North</t>
        </is>
      </c>
      <c r="D115" s="4" t="inlineStr">
        <is>
          <t>SKU111</t>
        </is>
      </c>
      <c r="E115" s="4" t="inlineStr">
        <is>
          <t>Shipping Labels 1000</t>
        </is>
      </c>
      <c r="F115" s="4" t="inlineStr">
        <is>
          <t>Packaging &amp; Supplies</t>
        </is>
      </c>
      <c r="G115" s="4" t="inlineStr">
        <is>
          <t>A</t>
        </is>
      </c>
      <c r="H115" s="11" t="n">
        <v>889</v>
      </c>
      <c r="I115" s="4" t="n">
        <v>186.25</v>
      </c>
      <c r="J115" s="13">
        <f>IF(I115&gt;0,H115/I115,"")</f>
        <v/>
      </c>
      <c r="K115" s="4">
        <f>IF(I115&lt;=0,"NO DEMAND",IF(H115=0,"STOCKOUT",IF(J115&lt;Config!$B$5,"CRITICAL",IF(J115&lt;Config!$B$6,"LOW",IF(J115&gt;Config!$B$7,"EXCESS","HEALTHY")))))</f>
        <v/>
      </c>
      <c r="L115" s="11" t="n">
        <v>617</v>
      </c>
      <c r="M115" s="11" t="n">
        <v>741</v>
      </c>
      <c r="N115" s="11">
        <f>H115*L115</f>
        <v/>
      </c>
      <c r="O115" s="11">
        <f>IF(I115&gt;0,I115*(M115-L115),0)</f>
        <v/>
      </c>
      <c r="P115" s="11" t="n">
        <v>1100</v>
      </c>
    </row>
    <row r="116">
      <c r="A116" s="4" t="inlineStr">
        <is>
          <t>WH01</t>
        </is>
      </c>
      <c r="B116" s="4" t="inlineStr">
        <is>
          <t>Gurugram DC</t>
        </is>
      </c>
      <c r="C116" s="4" t="inlineStr">
        <is>
          <t>North</t>
        </is>
      </c>
      <c r="D116" s="4" t="inlineStr">
        <is>
          <t>SKU112</t>
        </is>
      </c>
      <c r="E116" s="4" t="inlineStr">
        <is>
          <t>Poly Mailer 100pk</t>
        </is>
      </c>
      <c r="F116" s="4" t="inlineStr">
        <is>
          <t>Packaging &amp; Supplies</t>
        </is>
      </c>
      <c r="G116" s="4" t="inlineStr">
        <is>
          <t>C</t>
        </is>
      </c>
      <c r="H116" s="11" t="n">
        <v>1151</v>
      </c>
      <c r="I116" s="4" t="n">
        <v>157.5</v>
      </c>
      <c r="J116" s="13">
        <f>IF(I116&gt;0,H116/I116,"")</f>
        <v/>
      </c>
      <c r="K116" s="4">
        <f>IF(I116&lt;=0,"NO DEMAND",IF(H116=0,"STOCKOUT",IF(J116&lt;Config!$B$5,"CRITICAL",IF(J116&lt;Config!$B$6,"LOW",IF(J116&gt;Config!$B$7,"EXCESS","HEALTHY")))))</f>
        <v/>
      </c>
      <c r="L116" s="11" t="n">
        <v>93</v>
      </c>
      <c r="M116" s="11" t="n">
        <v>113</v>
      </c>
      <c r="N116" s="11">
        <f>H116*L116</f>
        <v/>
      </c>
      <c r="O116" s="11">
        <f>IF(I116&gt;0,I116*(M116-L116),0)</f>
        <v/>
      </c>
      <c r="P116" s="11" t="n">
        <v>0</v>
      </c>
    </row>
    <row r="117">
      <c r="A117" s="4" t="inlineStr">
        <is>
          <t>WH01</t>
        </is>
      </c>
      <c r="B117" s="4" t="inlineStr">
        <is>
          <t>Gurugram DC</t>
        </is>
      </c>
      <c r="C117" s="4" t="inlineStr">
        <is>
          <t>North</t>
        </is>
      </c>
      <c r="D117" s="4" t="inlineStr">
        <is>
          <t>SKU113</t>
        </is>
      </c>
      <c r="E117" s="4" t="inlineStr">
        <is>
          <t>Void Fill Paper</t>
        </is>
      </c>
      <c r="F117" s="4" t="inlineStr">
        <is>
          <t>Packaging &amp; Supplies</t>
        </is>
      </c>
      <c r="G117" s="4" t="inlineStr">
        <is>
          <t>C</t>
        </is>
      </c>
      <c r="H117" s="11" t="n">
        <v>218</v>
      </c>
      <c r="I117" s="4" t="n">
        <v>37</v>
      </c>
      <c r="J117" s="13">
        <f>IF(I117&gt;0,H117/I117,"")</f>
        <v/>
      </c>
      <c r="K117" s="4">
        <f>IF(I117&lt;=0,"NO DEMAND",IF(H117=0,"STOCKOUT",IF(J117&lt;Config!$B$5,"CRITICAL",IF(J117&lt;Config!$B$6,"LOW",IF(J117&gt;Config!$B$7,"EXCESS","HEALTHY")))))</f>
        <v/>
      </c>
      <c r="L117" s="11" t="n">
        <v>89</v>
      </c>
      <c r="M117" s="11" t="n">
        <v>108</v>
      </c>
      <c r="N117" s="11">
        <f>H117*L117</f>
        <v/>
      </c>
      <c r="O117" s="11">
        <f>IF(I117&gt;0,I117*(M117-L117),0)</f>
        <v/>
      </c>
      <c r="P117" s="11" t="n">
        <v>300</v>
      </c>
    </row>
    <row r="118">
      <c r="A118" s="4" t="inlineStr">
        <is>
          <t>WH01</t>
        </is>
      </c>
      <c r="B118" s="4" t="inlineStr">
        <is>
          <t>Gurugram DC</t>
        </is>
      </c>
      <c r="C118" s="4" t="inlineStr">
        <is>
          <t>North</t>
        </is>
      </c>
      <c r="D118" s="4" t="inlineStr">
        <is>
          <t>SKU114</t>
        </is>
      </c>
      <c r="E118" s="4" t="inlineStr">
        <is>
          <t>Cable Ties 100pk</t>
        </is>
      </c>
      <c r="F118" s="4" t="inlineStr">
        <is>
          <t>Packaging &amp; Supplies</t>
        </is>
      </c>
      <c r="G118" s="4" t="inlineStr">
        <is>
          <t>C</t>
        </is>
      </c>
      <c r="H118" s="11" t="n">
        <v>1266</v>
      </c>
      <c r="I118" s="4" t="n">
        <v>469.25</v>
      </c>
      <c r="J118" s="13">
        <f>IF(I118&gt;0,H118/I118,"")</f>
        <v/>
      </c>
      <c r="K118" s="4">
        <f>IF(I118&lt;=0,"NO DEMAND",IF(H118=0,"STOCKOUT",IF(J118&lt;Config!$B$5,"CRITICAL",IF(J118&lt;Config!$B$6,"LOW",IF(J118&gt;Config!$B$7,"EXCESS","HEALTHY")))))</f>
        <v/>
      </c>
      <c r="L118" s="11" t="n">
        <v>66</v>
      </c>
      <c r="M118" s="11" t="n">
        <v>80</v>
      </c>
      <c r="N118" s="11">
        <f>H118*L118</f>
        <v/>
      </c>
      <c r="O118" s="11">
        <f>IF(I118&gt;0,I118*(M118-L118),0)</f>
        <v/>
      </c>
      <c r="P118" s="11" t="n">
        <v>2760</v>
      </c>
    </row>
    <row r="119">
      <c r="A119" s="4" t="inlineStr">
        <is>
          <t>WH01</t>
        </is>
      </c>
      <c r="B119" s="4" t="inlineStr">
        <is>
          <t>Gurugram DC</t>
        </is>
      </c>
      <c r="C119" s="4" t="inlineStr">
        <is>
          <t>North</t>
        </is>
      </c>
      <c r="D119" s="4" t="inlineStr">
        <is>
          <t>SKU115</t>
        </is>
      </c>
      <c r="E119" s="4" t="inlineStr">
        <is>
          <t>Edge Protectors 50pk</t>
        </is>
      </c>
      <c r="F119" s="4" t="inlineStr">
        <is>
          <t>Packaging &amp; Supplies</t>
        </is>
      </c>
      <c r="G119" s="4" t="inlineStr">
        <is>
          <t>C</t>
        </is>
      </c>
      <c r="H119" s="11" t="n">
        <v>321</v>
      </c>
      <c r="I119" s="4" t="n">
        <v>44.5</v>
      </c>
      <c r="J119" s="13">
        <f>IF(I119&gt;0,H119/I119,"")</f>
        <v/>
      </c>
      <c r="K119" s="4">
        <f>IF(I119&lt;=0,"NO DEMAND",IF(H119=0,"STOCKOUT",IF(J119&lt;Config!$B$5,"CRITICAL",IF(J119&lt;Config!$B$6,"LOW",IF(J119&gt;Config!$B$7,"EXCESS","HEALTHY")))))</f>
        <v/>
      </c>
      <c r="L119" s="11" t="n">
        <v>52</v>
      </c>
      <c r="M119" s="11" t="n">
        <v>63</v>
      </c>
      <c r="N119" s="11">
        <f>H119*L119</f>
        <v/>
      </c>
      <c r="O119" s="11">
        <f>IF(I119&gt;0,I119*(M119-L119),0)</f>
        <v/>
      </c>
      <c r="P119" s="11" t="n">
        <v>0</v>
      </c>
    </row>
    <row r="120">
      <c r="A120" s="4" t="inlineStr">
        <is>
          <t>WH01</t>
        </is>
      </c>
      <c r="B120" s="4" t="inlineStr">
        <is>
          <t>Gurugram DC</t>
        </is>
      </c>
      <c r="C120" s="4" t="inlineStr">
        <is>
          <t>North</t>
        </is>
      </c>
      <c r="D120" s="4" t="inlineStr">
        <is>
          <t>SKU116</t>
        </is>
      </c>
      <c r="E120" s="4" t="inlineStr">
        <is>
          <t>Pallet Wrap Hand</t>
        </is>
      </c>
      <c r="F120" s="4" t="inlineStr">
        <is>
          <t>Packaging &amp; Supplies</t>
        </is>
      </c>
      <c r="G120" s="4" t="inlineStr">
        <is>
          <t>C</t>
        </is>
      </c>
      <c r="H120" s="11" t="n">
        <v>582</v>
      </c>
      <c r="I120" s="4" t="n">
        <v>151.75</v>
      </c>
      <c r="J120" s="13">
        <f>IF(I120&gt;0,H120/I120,"")</f>
        <v/>
      </c>
      <c r="K120" s="4">
        <f>IF(I120&lt;=0,"NO DEMAND",IF(H120=0,"STOCKOUT",IF(J120&lt;Config!$B$5,"CRITICAL",IF(J120&lt;Config!$B$6,"LOW",IF(J120&gt;Config!$B$7,"EXCESS","HEALTHY")))))</f>
        <v/>
      </c>
      <c r="L120" s="11" t="n">
        <v>39</v>
      </c>
      <c r="M120" s="11" t="n">
        <v>47</v>
      </c>
      <c r="N120" s="11">
        <f>H120*L120</f>
        <v/>
      </c>
      <c r="O120" s="11">
        <f>IF(I120&gt;0,I120*(M120-L120),0)</f>
        <v/>
      </c>
      <c r="P120" s="11" t="n">
        <v>740</v>
      </c>
    </row>
    <row r="121">
      <c r="A121" s="4" t="inlineStr">
        <is>
          <t>WH01</t>
        </is>
      </c>
      <c r="B121" s="4" t="inlineStr">
        <is>
          <t>Gurugram DC</t>
        </is>
      </c>
      <c r="C121" s="4" t="inlineStr">
        <is>
          <t>North</t>
        </is>
      </c>
      <c r="D121" s="4" t="inlineStr">
        <is>
          <t>SKU117</t>
        </is>
      </c>
      <c r="E121" s="4" t="inlineStr">
        <is>
          <t>Courier Bags 100pk</t>
        </is>
      </c>
      <c r="F121" s="4" t="inlineStr">
        <is>
          <t>Packaging &amp; Supplies</t>
        </is>
      </c>
      <c r="G121" s="4" t="inlineStr">
        <is>
          <t>C</t>
        </is>
      </c>
      <c r="H121" s="11" t="n">
        <v>3936</v>
      </c>
      <c r="I121" s="4" t="n">
        <v>461.5</v>
      </c>
      <c r="J121" s="13">
        <f>IF(I121&gt;0,H121/I121,"")</f>
        <v/>
      </c>
      <c r="K121" s="4">
        <f>IF(I121&lt;=0,"NO DEMAND",IF(H121=0,"STOCKOUT",IF(J121&lt;Config!$B$5,"CRITICAL",IF(J121&lt;Config!$B$6,"LOW",IF(J121&gt;Config!$B$7,"EXCESS","HEALTHY")))))</f>
        <v/>
      </c>
      <c r="L121" s="11" t="n">
        <v>21</v>
      </c>
      <c r="M121" s="11" t="n">
        <v>25</v>
      </c>
      <c r="N121" s="11">
        <f>H121*L121</f>
        <v/>
      </c>
      <c r="O121" s="11">
        <f>IF(I121&gt;0,I121*(M121-L121),0)</f>
        <v/>
      </c>
      <c r="P121" s="11" t="n">
        <v>0</v>
      </c>
    </row>
    <row r="122">
      <c r="A122" s="4" t="inlineStr">
        <is>
          <t>WH01</t>
        </is>
      </c>
      <c r="B122" s="4" t="inlineStr">
        <is>
          <t>Gurugram DC</t>
        </is>
      </c>
      <c r="C122" s="4" t="inlineStr">
        <is>
          <t>North</t>
        </is>
      </c>
      <c r="D122" s="4" t="inlineStr">
        <is>
          <t>SKU118</t>
        </is>
      </c>
      <c r="E122" s="4" t="inlineStr">
        <is>
          <t>Thermal Paper Roll 20pk</t>
        </is>
      </c>
      <c r="F122" s="4" t="inlineStr">
        <is>
          <t>Packaging &amp; Supplies</t>
        </is>
      </c>
      <c r="G122" s="4" t="inlineStr">
        <is>
          <t>B</t>
        </is>
      </c>
      <c r="H122" s="11" t="n">
        <v>3995</v>
      </c>
      <c r="I122" s="4" t="n">
        <v>492</v>
      </c>
      <c r="J122" s="13">
        <f>IF(I122&gt;0,H122/I122,"")</f>
        <v/>
      </c>
      <c r="K122" s="4">
        <f>IF(I122&lt;=0,"NO DEMAND",IF(H122=0,"STOCKOUT",IF(J122&lt;Config!$B$5,"CRITICAL",IF(J122&lt;Config!$B$6,"LOW",IF(J122&gt;Config!$B$7,"EXCESS","HEALTHY")))))</f>
        <v/>
      </c>
      <c r="L122" s="11" t="n">
        <v>181</v>
      </c>
      <c r="M122" s="11" t="n">
        <v>218</v>
      </c>
      <c r="N122" s="11">
        <f>H122*L122</f>
        <v/>
      </c>
      <c r="O122" s="11">
        <f>IF(I122&gt;0,I122*(M122-L122),0)</f>
        <v/>
      </c>
      <c r="P122" s="11" t="n">
        <v>0</v>
      </c>
    </row>
    <row r="123">
      <c r="A123" s="4" t="inlineStr">
        <is>
          <t>WH01</t>
        </is>
      </c>
      <c r="B123" s="4" t="inlineStr">
        <is>
          <t>Gurugram DC</t>
        </is>
      </c>
      <c r="C123" s="4" t="inlineStr">
        <is>
          <t>North</t>
        </is>
      </c>
      <c r="D123" s="4" t="inlineStr">
        <is>
          <t>SKU119</t>
        </is>
      </c>
      <c r="E123" s="4" t="inlineStr">
        <is>
          <t>Safety Gloves 12pk</t>
        </is>
      </c>
      <c r="F123" s="4" t="inlineStr">
        <is>
          <t>Packaging &amp; Supplies</t>
        </is>
      </c>
      <c r="G123" s="4" t="inlineStr">
        <is>
          <t>A</t>
        </is>
      </c>
      <c r="H123" s="11" t="n">
        <v>2109</v>
      </c>
      <c r="I123" s="4" t="n">
        <v>373.75</v>
      </c>
      <c r="J123" s="13">
        <f>IF(I123&gt;0,H123/I123,"")</f>
        <v/>
      </c>
      <c r="K123" s="4">
        <f>IF(I123&lt;=0,"NO DEMAND",IF(H123=0,"STOCKOUT",IF(J123&lt;Config!$B$5,"CRITICAL",IF(J123&lt;Config!$B$6,"LOW",IF(J123&gt;Config!$B$7,"EXCESS","HEALTHY")))))</f>
        <v/>
      </c>
      <c r="L123" s="11" t="n">
        <v>420</v>
      </c>
      <c r="M123" s="11" t="n">
        <v>511</v>
      </c>
      <c r="N123" s="11">
        <f>H123*L123</f>
        <v/>
      </c>
      <c r="O123" s="11">
        <f>IF(I123&gt;0,I123*(M123-L123),0)</f>
        <v/>
      </c>
      <c r="P123" s="11" t="n">
        <v>0</v>
      </c>
    </row>
    <row r="124">
      <c r="A124" s="4" t="inlineStr">
        <is>
          <t>WH01</t>
        </is>
      </c>
      <c r="B124" s="4" t="inlineStr">
        <is>
          <t>Gurugram DC</t>
        </is>
      </c>
      <c r="C124" s="4" t="inlineStr">
        <is>
          <t>North</t>
        </is>
      </c>
      <c r="D124" s="4" t="inlineStr">
        <is>
          <t>SKU120</t>
        </is>
      </c>
      <c r="E124" s="4" t="inlineStr">
        <is>
          <t>Cutter Blades 10pk</t>
        </is>
      </c>
      <c r="F124" s="4" t="inlineStr">
        <is>
          <t>Packaging &amp; Supplies</t>
        </is>
      </c>
      <c r="G124" s="4" t="inlineStr">
        <is>
          <t>C</t>
        </is>
      </c>
      <c r="H124" s="11" t="n">
        <v>3966</v>
      </c>
      <c r="I124" s="4" t="n">
        <v>426.25</v>
      </c>
      <c r="J124" s="13">
        <f>IF(I124&gt;0,H124/I124,"")</f>
        <v/>
      </c>
      <c r="K124" s="4">
        <f>IF(I124&lt;=0,"NO DEMAND",IF(H124=0,"STOCKOUT",IF(J124&lt;Config!$B$5,"CRITICAL",IF(J124&lt;Config!$B$6,"LOW",IF(J124&gt;Config!$B$7,"EXCESS","HEALTHY")))))</f>
        <v/>
      </c>
      <c r="L124" s="11" t="n">
        <v>30</v>
      </c>
      <c r="M124" s="11" t="n">
        <v>35</v>
      </c>
      <c r="N124" s="11">
        <f>H124*L124</f>
        <v/>
      </c>
      <c r="O124" s="11">
        <f>IF(I124&gt;0,I124*(M124-L124),0)</f>
        <v/>
      </c>
      <c r="P124" s="11" t="n">
        <v>0</v>
      </c>
    </row>
    <row r="125">
      <c r="A125" s="4" t="inlineStr">
        <is>
          <t>WH02</t>
        </is>
      </c>
      <c r="B125" s="4" t="inlineStr">
        <is>
          <t>Jaipur DC</t>
        </is>
      </c>
      <c r="C125" s="4" t="inlineStr">
        <is>
          <t>North</t>
        </is>
      </c>
      <c r="D125" s="4" t="inlineStr">
        <is>
          <t>SKU001</t>
        </is>
      </c>
      <c r="E125" s="4" t="inlineStr">
        <is>
          <t>Atta 5kg</t>
        </is>
      </c>
      <c r="F125" s="4" t="inlineStr">
        <is>
          <t>Packaged Staples</t>
        </is>
      </c>
      <c r="G125" s="4" t="inlineStr">
        <is>
          <t>A</t>
        </is>
      </c>
      <c r="H125" s="11" t="n">
        <v>2917</v>
      </c>
      <c r="I125" s="4" t="n">
        <v>706</v>
      </c>
      <c r="J125" s="13">
        <f>IF(I125&gt;0,H125/I125,"")</f>
        <v/>
      </c>
      <c r="K125" s="4">
        <f>IF(I125&lt;=0,"NO DEMAND",IF(H125=0,"STOCKOUT",IF(J125&lt;Config!$B$5,"CRITICAL",IF(J125&lt;Config!$B$6,"LOW",IF(J125&gt;Config!$B$7,"EXCESS","HEALTHY")))))</f>
        <v/>
      </c>
      <c r="L125" s="11" t="n">
        <v>152</v>
      </c>
      <c r="M125" s="11" t="n">
        <v>168</v>
      </c>
      <c r="N125" s="11">
        <f>H125*L125</f>
        <v/>
      </c>
      <c r="O125" s="11">
        <f>IF(I125&gt;0,I125*(M125-L125),0)</f>
        <v/>
      </c>
      <c r="P125" s="11" t="n">
        <v>0</v>
      </c>
    </row>
    <row r="126">
      <c r="A126" s="4" t="inlineStr">
        <is>
          <t>WH02</t>
        </is>
      </c>
      <c r="B126" s="4" t="inlineStr">
        <is>
          <t>Jaipur DC</t>
        </is>
      </c>
      <c r="C126" s="4" t="inlineStr">
        <is>
          <t>North</t>
        </is>
      </c>
      <c r="D126" s="4" t="inlineStr">
        <is>
          <t>SKU002</t>
        </is>
      </c>
      <c r="E126" s="4" t="inlineStr">
        <is>
          <t>Basmati Rice 5kg</t>
        </is>
      </c>
      <c r="F126" s="4" t="inlineStr">
        <is>
          <t>Packaged Staples</t>
        </is>
      </c>
      <c r="G126" s="4" t="inlineStr">
        <is>
          <t>B</t>
        </is>
      </c>
      <c r="H126" s="11" t="n">
        <v>78</v>
      </c>
      <c r="I126" s="4" t="n">
        <v>507.75</v>
      </c>
      <c r="J126" s="13">
        <f>IF(I126&gt;0,H126/I126,"")</f>
        <v/>
      </c>
      <c r="K126" s="4">
        <f>IF(I126&lt;=0,"NO DEMAND",IF(H126=0,"STOCKOUT",IF(J126&lt;Config!$B$5,"CRITICAL",IF(J126&lt;Config!$B$6,"LOW",IF(J126&gt;Config!$B$7,"EXCESS","HEALTHY")))))</f>
        <v/>
      </c>
      <c r="L126" s="11" t="n">
        <v>59</v>
      </c>
      <c r="M126" s="11" t="n">
        <v>66</v>
      </c>
      <c r="N126" s="11">
        <f>H126*L126</f>
        <v/>
      </c>
      <c r="O126" s="11">
        <f>IF(I126&gt;0,I126*(M126-L126),0)</f>
        <v/>
      </c>
      <c r="P126" s="11" t="n">
        <v>1908</v>
      </c>
    </row>
    <row r="127">
      <c r="A127" s="4" t="inlineStr">
        <is>
          <t>WH02</t>
        </is>
      </c>
      <c r="B127" s="4" t="inlineStr">
        <is>
          <t>Jaipur DC</t>
        </is>
      </c>
      <c r="C127" s="4" t="inlineStr">
        <is>
          <t>North</t>
        </is>
      </c>
      <c r="D127" s="4" t="inlineStr">
        <is>
          <t>SKU003</t>
        </is>
      </c>
      <c r="E127" s="4" t="inlineStr">
        <is>
          <t>Toor Dal 1kg</t>
        </is>
      </c>
      <c r="F127" s="4" t="inlineStr">
        <is>
          <t>Packaged Staples</t>
        </is>
      </c>
      <c r="G127" s="4" t="inlineStr">
        <is>
          <t>A</t>
        </is>
      </c>
      <c r="H127" s="11" t="n">
        <v>2744</v>
      </c>
      <c r="I127" s="4" t="n">
        <v>733.5</v>
      </c>
      <c r="J127" s="13">
        <f>IF(I127&gt;0,H127/I127,"")</f>
        <v/>
      </c>
      <c r="K127" s="4">
        <f>IF(I127&lt;=0,"NO DEMAND",IF(H127=0,"STOCKOUT",IF(J127&lt;Config!$B$5,"CRITICAL",IF(J127&lt;Config!$B$6,"LOW",IF(J127&gt;Config!$B$7,"EXCESS","HEALTHY")))))</f>
        <v/>
      </c>
      <c r="L127" s="11" t="n">
        <v>61</v>
      </c>
      <c r="M127" s="11" t="n">
        <v>69</v>
      </c>
      <c r="N127" s="11">
        <f>H127*L127</f>
        <v/>
      </c>
      <c r="O127" s="11">
        <f>IF(I127&gt;0,I127*(M127-L127),0)</f>
        <v/>
      </c>
      <c r="P127" s="11" t="n">
        <v>0</v>
      </c>
    </row>
    <row r="128">
      <c r="A128" s="4" t="inlineStr">
        <is>
          <t>WH02</t>
        </is>
      </c>
      <c r="B128" s="4" t="inlineStr">
        <is>
          <t>Jaipur DC</t>
        </is>
      </c>
      <c r="C128" s="4" t="inlineStr">
        <is>
          <t>North</t>
        </is>
      </c>
      <c r="D128" s="4" t="inlineStr">
        <is>
          <t>SKU004</t>
        </is>
      </c>
      <c r="E128" s="4" t="inlineStr">
        <is>
          <t>Moong Dal 1kg</t>
        </is>
      </c>
      <c r="F128" s="4" t="inlineStr">
        <is>
          <t>Packaged Staples</t>
        </is>
      </c>
      <c r="G128" s="4" t="inlineStr">
        <is>
          <t>B</t>
        </is>
      </c>
      <c r="H128" s="11" t="n">
        <v>612</v>
      </c>
      <c r="I128" s="4" t="n">
        <v>174</v>
      </c>
      <c r="J128" s="13">
        <f>IF(I128&gt;0,H128/I128,"")</f>
        <v/>
      </c>
      <c r="K128" s="4">
        <f>IF(I128&lt;=0,"NO DEMAND",IF(H128=0,"STOCKOUT",IF(J128&lt;Config!$B$5,"CRITICAL",IF(J128&lt;Config!$B$6,"LOW",IF(J128&gt;Config!$B$7,"EXCESS","HEALTHY")))))</f>
        <v/>
      </c>
      <c r="L128" s="11" t="n">
        <v>80</v>
      </c>
      <c r="M128" s="11" t="n">
        <v>91</v>
      </c>
      <c r="N128" s="11">
        <f>H128*L128</f>
        <v/>
      </c>
      <c r="O128" s="11">
        <f>IF(I128&gt;0,I128*(M128-L128),0)</f>
        <v/>
      </c>
      <c r="P128" s="11" t="n">
        <v>0</v>
      </c>
    </row>
    <row r="129">
      <c r="A129" s="4" t="inlineStr">
        <is>
          <t>WH02</t>
        </is>
      </c>
      <c r="B129" s="4" t="inlineStr">
        <is>
          <t>Jaipur DC</t>
        </is>
      </c>
      <c r="C129" s="4" t="inlineStr">
        <is>
          <t>North</t>
        </is>
      </c>
      <c r="D129" s="4" t="inlineStr">
        <is>
          <t>SKU005</t>
        </is>
      </c>
      <c r="E129" s="4" t="inlineStr">
        <is>
          <t>Sunflower Oil 1L</t>
        </is>
      </c>
      <c r="F129" s="4" t="inlineStr">
        <is>
          <t>Packaged Staples</t>
        </is>
      </c>
      <c r="G129" s="4" t="inlineStr">
        <is>
          <t>A</t>
        </is>
      </c>
      <c r="H129" s="11" t="n">
        <v>1740</v>
      </c>
      <c r="I129" s="4" t="n">
        <v>587.5</v>
      </c>
      <c r="J129" s="13">
        <f>IF(I129&gt;0,H129/I129,"")</f>
        <v/>
      </c>
      <c r="K129" s="4">
        <f>IF(I129&lt;=0,"NO DEMAND",IF(H129=0,"STOCKOUT",IF(J129&lt;Config!$B$5,"CRITICAL",IF(J129&lt;Config!$B$6,"LOW",IF(J129&gt;Config!$B$7,"EXCESS","HEALTHY")))))</f>
        <v/>
      </c>
      <c r="L129" s="11" t="n">
        <v>245</v>
      </c>
      <c r="M129" s="11" t="n">
        <v>273</v>
      </c>
      <c r="N129" s="11">
        <f>H129*L129</f>
        <v/>
      </c>
      <c r="O129" s="11">
        <f>IF(I129&gt;0,I129*(M129-L129),0)</f>
        <v/>
      </c>
      <c r="P129" s="11" t="n">
        <v>0</v>
      </c>
    </row>
    <row r="130">
      <c r="A130" s="4" t="inlineStr">
        <is>
          <t>WH02</t>
        </is>
      </c>
      <c r="B130" s="4" t="inlineStr">
        <is>
          <t>Jaipur DC</t>
        </is>
      </c>
      <c r="C130" s="4" t="inlineStr">
        <is>
          <t>North</t>
        </is>
      </c>
      <c r="D130" s="4" t="inlineStr">
        <is>
          <t>SKU006</t>
        </is>
      </c>
      <c r="E130" s="4" t="inlineStr">
        <is>
          <t>Mustard Oil 1L</t>
        </is>
      </c>
      <c r="F130" s="4" t="inlineStr">
        <is>
          <t>Packaged Staples</t>
        </is>
      </c>
      <c r="G130" s="4" t="inlineStr">
        <is>
          <t>B</t>
        </is>
      </c>
      <c r="H130" s="11" t="n">
        <v>400</v>
      </c>
      <c r="I130" s="4" t="n">
        <v>139</v>
      </c>
      <c r="J130" s="13">
        <f>IF(I130&gt;0,H130/I130,"")</f>
        <v/>
      </c>
      <c r="K130" s="4">
        <f>IF(I130&lt;=0,"NO DEMAND",IF(H130=0,"STOCKOUT",IF(J130&lt;Config!$B$5,"CRITICAL",IF(J130&lt;Config!$B$6,"LOW",IF(J130&gt;Config!$B$7,"EXCESS","HEALTHY")))))</f>
        <v/>
      </c>
      <c r="L130" s="11" t="n">
        <v>68</v>
      </c>
      <c r="M130" s="11" t="n">
        <v>77</v>
      </c>
      <c r="N130" s="11">
        <f>H130*L130</f>
        <v/>
      </c>
      <c r="O130" s="11">
        <f>IF(I130&gt;0,I130*(M130-L130),0)</f>
        <v/>
      </c>
      <c r="P130" s="11" t="n">
        <v>0</v>
      </c>
    </row>
    <row r="131">
      <c r="A131" s="4" t="inlineStr">
        <is>
          <t>WH02</t>
        </is>
      </c>
      <c r="B131" s="4" t="inlineStr">
        <is>
          <t>Jaipur DC</t>
        </is>
      </c>
      <c r="C131" s="4" t="inlineStr">
        <is>
          <t>North</t>
        </is>
      </c>
      <c r="D131" s="4" t="inlineStr">
        <is>
          <t>SKU007</t>
        </is>
      </c>
      <c r="E131" s="4" t="inlineStr">
        <is>
          <t>Sugar 1kg</t>
        </is>
      </c>
      <c r="F131" s="4" t="inlineStr">
        <is>
          <t>Packaged Staples</t>
        </is>
      </c>
      <c r="G131" s="4" t="inlineStr">
        <is>
          <t>A</t>
        </is>
      </c>
      <c r="H131" s="11" t="n">
        <v>2439</v>
      </c>
      <c r="I131" s="4" t="n">
        <v>802.25</v>
      </c>
      <c r="J131" s="13">
        <f>IF(I131&gt;0,H131/I131,"")</f>
        <v/>
      </c>
      <c r="K131" s="4">
        <f>IF(I131&lt;=0,"NO DEMAND",IF(H131=0,"STOCKOUT",IF(J131&lt;Config!$B$5,"CRITICAL",IF(J131&lt;Config!$B$6,"LOW",IF(J131&gt;Config!$B$7,"EXCESS","HEALTHY")))))</f>
        <v/>
      </c>
      <c r="L131" s="11" t="n">
        <v>129</v>
      </c>
      <c r="M131" s="11" t="n">
        <v>143</v>
      </c>
      <c r="N131" s="11">
        <f>H131*L131</f>
        <v/>
      </c>
      <c r="O131" s="11">
        <f>IF(I131&gt;0,I131*(M131-L131),0)</f>
        <v/>
      </c>
      <c r="P131" s="11" t="n">
        <v>0</v>
      </c>
    </row>
    <row r="132">
      <c r="A132" s="4" t="inlineStr">
        <is>
          <t>WH02</t>
        </is>
      </c>
      <c r="B132" s="4" t="inlineStr">
        <is>
          <t>Jaipur DC</t>
        </is>
      </c>
      <c r="C132" s="4" t="inlineStr">
        <is>
          <t>North</t>
        </is>
      </c>
      <c r="D132" s="4" t="inlineStr">
        <is>
          <t>SKU008</t>
        </is>
      </c>
      <c r="E132" s="4" t="inlineStr">
        <is>
          <t>Iodized Salt 1kg</t>
        </is>
      </c>
      <c r="F132" s="4" t="inlineStr">
        <is>
          <t>Packaged Staples</t>
        </is>
      </c>
      <c r="G132" s="4" t="inlineStr">
        <is>
          <t>A</t>
        </is>
      </c>
      <c r="H132" s="11" t="n">
        <v>382</v>
      </c>
      <c r="I132" s="4" t="n">
        <v>473</v>
      </c>
      <c r="J132" s="13">
        <f>IF(I132&gt;0,H132/I132,"")</f>
        <v/>
      </c>
      <c r="K132" s="4">
        <f>IF(I132&lt;=0,"NO DEMAND",IF(H132=0,"STOCKOUT",IF(J132&lt;Config!$B$5,"CRITICAL",IF(J132&lt;Config!$B$6,"LOW",IF(J132&gt;Config!$B$7,"EXCESS","HEALTHY")))))</f>
        <v/>
      </c>
      <c r="L132" s="11" t="n">
        <v>140</v>
      </c>
      <c r="M132" s="11" t="n">
        <v>156</v>
      </c>
      <c r="N132" s="11">
        <f>H132*L132</f>
        <v/>
      </c>
      <c r="O132" s="11">
        <f>IF(I132&gt;0,I132*(M132-L132),0)</f>
        <v/>
      </c>
      <c r="P132" s="11" t="n">
        <v>1728</v>
      </c>
    </row>
    <row r="133">
      <c r="A133" s="4" t="inlineStr">
        <is>
          <t>WH02</t>
        </is>
      </c>
      <c r="B133" s="4" t="inlineStr">
        <is>
          <t>Jaipur DC</t>
        </is>
      </c>
      <c r="C133" s="4" t="inlineStr">
        <is>
          <t>North</t>
        </is>
      </c>
      <c r="D133" s="4" t="inlineStr">
        <is>
          <t>SKU009</t>
        </is>
      </c>
      <c r="E133" s="4" t="inlineStr">
        <is>
          <t>Tea Leaves 500g</t>
        </is>
      </c>
      <c r="F133" s="4" t="inlineStr">
        <is>
          <t>Packaged Staples</t>
        </is>
      </c>
      <c r="G133" s="4" t="inlineStr">
        <is>
          <t>A</t>
        </is>
      </c>
      <c r="H133" s="11" t="n">
        <v>1691</v>
      </c>
      <c r="I133" s="4" t="n">
        <v>638.5</v>
      </c>
      <c r="J133" s="13">
        <f>IF(I133&gt;0,H133/I133,"")</f>
        <v/>
      </c>
      <c r="K133" s="4">
        <f>IF(I133&lt;=0,"NO DEMAND",IF(H133=0,"STOCKOUT",IF(J133&lt;Config!$B$5,"CRITICAL",IF(J133&lt;Config!$B$6,"LOW",IF(J133&gt;Config!$B$7,"EXCESS","HEALTHY")))))</f>
        <v/>
      </c>
      <c r="L133" s="11" t="n">
        <v>103</v>
      </c>
      <c r="M133" s="11" t="n">
        <v>116</v>
      </c>
      <c r="N133" s="11">
        <f>H133*L133</f>
        <v/>
      </c>
      <c r="O133" s="11">
        <f>IF(I133&gt;0,I133*(M133-L133),0)</f>
        <v/>
      </c>
      <c r="P133" s="11" t="n">
        <v>0</v>
      </c>
    </row>
    <row r="134">
      <c r="A134" s="4" t="inlineStr">
        <is>
          <t>WH02</t>
        </is>
      </c>
      <c r="B134" s="4" t="inlineStr">
        <is>
          <t>Jaipur DC</t>
        </is>
      </c>
      <c r="C134" s="4" t="inlineStr">
        <is>
          <t>North</t>
        </is>
      </c>
      <c r="D134" s="4" t="inlineStr">
        <is>
          <t>SKU010</t>
        </is>
      </c>
      <c r="E134" s="4" t="inlineStr">
        <is>
          <t>Poha 500g</t>
        </is>
      </c>
      <c r="F134" s="4" t="inlineStr">
        <is>
          <t>Packaged Staples</t>
        </is>
      </c>
      <c r="G134" s="4" t="inlineStr">
        <is>
          <t>B</t>
        </is>
      </c>
      <c r="H134" s="11" t="n">
        <v>750</v>
      </c>
      <c r="I134" s="4" t="n">
        <v>772.25</v>
      </c>
      <c r="J134" s="13">
        <f>IF(I134&gt;0,H134/I134,"")</f>
        <v/>
      </c>
      <c r="K134" s="4">
        <f>IF(I134&lt;=0,"NO DEMAND",IF(H134=0,"STOCKOUT",IF(J134&lt;Config!$B$5,"CRITICAL",IF(J134&lt;Config!$B$6,"LOW",IF(J134&gt;Config!$B$7,"EXCESS","HEALTHY")))))</f>
        <v/>
      </c>
      <c r="L134" s="11" t="n">
        <v>40</v>
      </c>
      <c r="M134" s="11" t="n">
        <v>45</v>
      </c>
      <c r="N134" s="11">
        <f>H134*L134</f>
        <v/>
      </c>
      <c r="O134" s="11">
        <f>IF(I134&gt;0,I134*(M134-L134),0)</f>
        <v/>
      </c>
      <c r="P134" s="11" t="n">
        <v>2712</v>
      </c>
    </row>
    <row r="135">
      <c r="A135" s="4" t="inlineStr">
        <is>
          <t>WH02</t>
        </is>
      </c>
      <c r="B135" s="4" t="inlineStr">
        <is>
          <t>Jaipur DC</t>
        </is>
      </c>
      <c r="C135" s="4" t="inlineStr">
        <is>
          <t>North</t>
        </is>
      </c>
      <c r="D135" s="4" t="inlineStr">
        <is>
          <t>SKU011</t>
        </is>
      </c>
      <c r="E135" s="4" t="inlineStr">
        <is>
          <t>Besan 1kg</t>
        </is>
      </c>
      <c r="F135" s="4" t="inlineStr">
        <is>
          <t>Packaged Staples</t>
        </is>
      </c>
      <c r="G135" s="4" t="inlineStr">
        <is>
          <t>A</t>
        </is>
      </c>
      <c r="H135" s="11" t="n">
        <v>635</v>
      </c>
      <c r="I135" s="4" t="n">
        <v>554.25</v>
      </c>
      <c r="J135" s="13">
        <f>IF(I135&gt;0,H135/I135,"")</f>
        <v/>
      </c>
      <c r="K135" s="4">
        <f>IF(I135&lt;=0,"NO DEMAND",IF(H135=0,"STOCKOUT",IF(J135&lt;Config!$B$5,"CRITICAL",IF(J135&lt;Config!$B$6,"LOW",IF(J135&gt;Config!$B$7,"EXCESS","HEALTHY")))))</f>
        <v/>
      </c>
      <c r="L135" s="11" t="n">
        <v>110</v>
      </c>
      <c r="M135" s="11" t="n">
        <v>122</v>
      </c>
      <c r="N135" s="11">
        <f>H135*L135</f>
        <v/>
      </c>
      <c r="O135" s="11">
        <f>IF(I135&gt;0,I135*(M135-L135),0)</f>
        <v/>
      </c>
      <c r="P135" s="11" t="n">
        <v>2532</v>
      </c>
    </row>
    <row r="136">
      <c r="A136" s="4" t="inlineStr">
        <is>
          <t>WH02</t>
        </is>
      </c>
      <c r="B136" s="4" t="inlineStr">
        <is>
          <t>Jaipur DC</t>
        </is>
      </c>
      <c r="C136" s="4" t="inlineStr">
        <is>
          <t>North</t>
        </is>
      </c>
      <c r="D136" s="4" t="inlineStr">
        <is>
          <t>SKU012</t>
        </is>
      </c>
      <c r="E136" s="4" t="inlineStr">
        <is>
          <t>Rajma 1kg</t>
        </is>
      </c>
      <c r="F136" s="4" t="inlineStr">
        <is>
          <t>Packaged Staples</t>
        </is>
      </c>
      <c r="G136" s="4" t="inlineStr">
        <is>
          <t>B</t>
        </is>
      </c>
      <c r="H136" s="11" t="n">
        <v>3455</v>
      </c>
      <c r="I136" s="4" t="n">
        <v>997.75</v>
      </c>
      <c r="J136" s="13">
        <f>IF(I136&gt;0,H136/I136,"")</f>
        <v/>
      </c>
      <c r="K136" s="4">
        <f>IF(I136&lt;=0,"NO DEMAND",IF(H136=0,"STOCKOUT",IF(J136&lt;Config!$B$5,"CRITICAL",IF(J136&lt;Config!$B$6,"LOW",IF(J136&gt;Config!$B$7,"EXCESS","HEALTHY")))))</f>
        <v/>
      </c>
      <c r="L136" s="11" t="n">
        <v>45</v>
      </c>
      <c r="M136" s="11" t="n">
        <v>50</v>
      </c>
      <c r="N136" s="11">
        <f>H136*L136</f>
        <v/>
      </c>
      <c r="O136" s="11">
        <f>IF(I136&gt;0,I136*(M136-L136),0)</f>
        <v/>
      </c>
      <c r="P136" s="11" t="n">
        <v>0</v>
      </c>
    </row>
    <row r="137">
      <c r="A137" s="4" t="inlineStr">
        <is>
          <t>WH02</t>
        </is>
      </c>
      <c r="B137" s="4" t="inlineStr">
        <is>
          <t>Jaipur DC</t>
        </is>
      </c>
      <c r="C137" s="4" t="inlineStr">
        <is>
          <t>North</t>
        </is>
      </c>
      <c r="D137" s="4" t="inlineStr">
        <is>
          <t>SKU013</t>
        </is>
      </c>
      <c r="E137" s="4" t="inlineStr">
        <is>
          <t>Jaggery 1kg</t>
        </is>
      </c>
      <c r="F137" s="4" t="inlineStr">
        <is>
          <t>Packaged Staples</t>
        </is>
      </c>
      <c r="G137" s="4" t="inlineStr">
        <is>
          <t>A</t>
        </is>
      </c>
      <c r="H137" s="11" t="n">
        <v>1299</v>
      </c>
      <c r="I137" s="4" t="n">
        <v>189</v>
      </c>
      <c r="J137" s="13">
        <f>IF(I137&gt;0,H137/I137,"")</f>
        <v/>
      </c>
      <c r="K137" s="4">
        <f>IF(I137&lt;=0,"NO DEMAND",IF(H137=0,"STOCKOUT",IF(J137&lt;Config!$B$5,"CRITICAL",IF(J137&lt;Config!$B$6,"LOW",IF(J137&gt;Config!$B$7,"EXCESS","HEALTHY")))))</f>
        <v/>
      </c>
      <c r="L137" s="11" t="n">
        <v>125</v>
      </c>
      <c r="M137" s="11" t="n">
        <v>140</v>
      </c>
      <c r="N137" s="11">
        <f>H137*L137</f>
        <v/>
      </c>
      <c r="O137" s="11">
        <f>IF(I137&gt;0,I137*(M137-L137),0)</f>
        <v/>
      </c>
      <c r="P137" s="11" t="n">
        <v>0</v>
      </c>
    </row>
    <row r="138">
      <c r="A138" s="4" t="inlineStr">
        <is>
          <t>WH02</t>
        </is>
      </c>
      <c r="B138" s="4" t="inlineStr">
        <is>
          <t>Jaipur DC</t>
        </is>
      </c>
      <c r="C138" s="4" t="inlineStr">
        <is>
          <t>North</t>
        </is>
      </c>
      <c r="D138" s="4" t="inlineStr">
        <is>
          <t>SKU014</t>
        </is>
      </c>
      <c r="E138" s="4" t="inlineStr">
        <is>
          <t>Ghee 500ml</t>
        </is>
      </c>
      <c r="F138" s="4" t="inlineStr">
        <is>
          <t>Packaged Staples</t>
        </is>
      </c>
      <c r="G138" s="4" t="inlineStr">
        <is>
          <t>A</t>
        </is>
      </c>
      <c r="H138" s="11" t="n">
        <v>0</v>
      </c>
      <c r="I138" s="4" t="n">
        <v>562.75</v>
      </c>
      <c r="J138" s="13">
        <f>IF(I138&gt;0,H138/I138,"")</f>
        <v/>
      </c>
      <c r="K138" s="4">
        <f>IF(I138&lt;=0,"NO DEMAND",IF(H138=0,"STOCKOUT",IF(J138&lt;Config!$B$5,"CRITICAL",IF(J138&lt;Config!$B$6,"LOW",IF(J138&gt;Config!$B$7,"EXCESS","HEALTHY")))))</f>
        <v/>
      </c>
      <c r="L138" s="11" t="n">
        <v>240</v>
      </c>
      <c r="M138" s="11" t="n">
        <v>270</v>
      </c>
      <c r="N138" s="11">
        <f>H138*L138</f>
        <v/>
      </c>
      <c r="O138" s="11">
        <f>IF(I138&gt;0,I138*(M138-L138),0)</f>
        <v/>
      </c>
      <c r="P138" s="11" t="n">
        <v>1512</v>
      </c>
    </row>
    <row r="139">
      <c r="A139" s="4" t="inlineStr">
        <is>
          <t>WH02</t>
        </is>
      </c>
      <c r="B139" s="4" t="inlineStr">
        <is>
          <t>Jaipur DC</t>
        </is>
      </c>
      <c r="C139" s="4" t="inlineStr">
        <is>
          <t>North</t>
        </is>
      </c>
      <c r="D139" s="4" t="inlineStr">
        <is>
          <t>SKU015</t>
        </is>
      </c>
      <c r="E139" s="4" t="inlineStr">
        <is>
          <t>Suji 1kg</t>
        </is>
      </c>
      <c r="F139" s="4" t="inlineStr">
        <is>
          <t>Packaged Staples</t>
        </is>
      </c>
      <c r="G139" s="4" t="inlineStr">
        <is>
          <t>C</t>
        </is>
      </c>
      <c r="H139" s="11" t="n">
        <v>602</v>
      </c>
      <c r="I139" s="4" t="n">
        <v>480.25</v>
      </c>
      <c r="J139" s="13">
        <f>IF(I139&gt;0,H139/I139,"")</f>
        <v/>
      </c>
      <c r="K139" s="4">
        <f>IF(I139&lt;=0,"NO DEMAND",IF(H139=0,"STOCKOUT",IF(J139&lt;Config!$B$5,"CRITICAL",IF(J139&lt;Config!$B$6,"LOW",IF(J139&gt;Config!$B$7,"EXCESS","HEALTHY")))))</f>
        <v/>
      </c>
      <c r="L139" s="11" t="n">
        <v>42</v>
      </c>
      <c r="M139" s="11" t="n">
        <v>47</v>
      </c>
      <c r="N139" s="11">
        <f>H139*L139</f>
        <v/>
      </c>
      <c r="O139" s="11">
        <f>IF(I139&gt;0,I139*(M139-L139),0)</f>
        <v/>
      </c>
      <c r="P139" s="11" t="n">
        <v>1692</v>
      </c>
    </row>
    <row r="140">
      <c r="A140" s="4" t="inlineStr">
        <is>
          <t>WH02</t>
        </is>
      </c>
      <c r="B140" s="4" t="inlineStr">
        <is>
          <t>Jaipur DC</t>
        </is>
      </c>
      <c r="C140" s="4" t="inlineStr">
        <is>
          <t>North</t>
        </is>
      </c>
      <c r="D140" s="4" t="inlineStr">
        <is>
          <t>SKU016</t>
        </is>
      </c>
      <c r="E140" s="4" t="inlineStr">
        <is>
          <t>Cola 750ml</t>
        </is>
      </c>
      <c r="F140" s="4" t="inlineStr">
        <is>
          <t>Beverages</t>
        </is>
      </c>
      <c r="G140" s="4" t="inlineStr">
        <is>
          <t>C</t>
        </is>
      </c>
      <c r="H140" s="11" t="n">
        <v>849</v>
      </c>
      <c r="I140" s="4" t="n">
        <v>175.75</v>
      </c>
      <c r="J140" s="13">
        <f>IF(I140&gt;0,H140/I140,"")</f>
        <v/>
      </c>
      <c r="K140" s="4">
        <f>IF(I140&lt;=0,"NO DEMAND",IF(H140=0,"STOCKOUT",IF(J140&lt;Config!$B$5,"CRITICAL",IF(J140&lt;Config!$B$6,"LOW",IF(J140&gt;Config!$B$7,"EXCESS","HEALTHY")))))</f>
        <v/>
      </c>
      <c r="L140" s="11" t="n">
        <v>41</v>
      </c>
      <c r="M140" s="11" t="n">
        <v>47</v>
      </c>
      <c r="N140" s="11">
        <f>H140*L140</f>
        <v/>
      </c>
      <c r="O140" s="11">
        <f>IF(I140&gt;0,I140*(M140-L140),0)</f>
        <v/>
      </c>
      <c r="P140" s="11" t="n">
        <v>0</v>
      </c>
    </row>
    <row r="141">
      <c r="A141" s="4" t="inlineStr">
        <is>
          <t>WH02</t>
        </is>
      </c>
      <c r="B141" s="4" t="inlineStr">
        <is>
          <t>Jaipur DC</t>
        </is>
      </c>
      <c r="C141" s="4" t="inlineStr">
        <is>
          <t>North</t>
        </is>
      </c>
      <c r="D141" s="4" t="inlineStr">
        <is>
          <t>SKU017</t>
        </is>
      </c>
      <c r="E141" s="4" t="inlineStr">
        <is>
          <t>Lemon Soda 600ml</t>
        </is>
      </c>
      <c r="F141" s="4" t="inlineStr">
        <is>
          <t>Beverages</t>
        </is>
      </c>
      <c r="G141" s="4" t="inlineStr">
        <is>
          <t>B</t>
        </is>
      </c>
      <c r="H141" s="11" t="n">
        <v>1397</v>
      </c>
      <c r="I141" s="4" t="n">
        <v>644.5</v>
      </c>
      <c r="J141" s="13">
        <f>IF(I141&gt;0,H141/I141,"")</f>
        <v/>
      </c>
      <c r="K141" s="4">
        <f>IF(I141&lt;=0,"NO DEMAND",IF(H141=0,"STOCKOUT",IF(J141&lt;Config!$B$5,"CRITICAL",IF(J141&lt;Config!$B$6,"LOW",IF(J141&gt;Config!$B$7,"EXCESS","HEALTHY")))))</f>
        <v/>
      </c>
      <c r="L141" s="11" t="n">
        <v>42</v>
      </c>
      <c r="M141" s="11" t="n">
        <v>50</v>
      </c>
      <c r="N141" s="11">
        <f>H141*L141</f>
        <v/>
      </c>
      <c r="O141" s="11">
        <f>IF(I141&gt;0,I141*(M141-L141),0)</f>
        <v/>
      </c>
      <c r="P141" s="11" t="n">
        <v>0</v>
      </c>
    </row>
    <row r="142">
      <c r="A142" s="4" t="inlineStr">
        <is>
          <t>WH02</t>
        </is>
      </c>
      <c r="B142" s="4" t="inlineStr">
        <is>
          <t>Jaipur DC</t>
        </is>
      </c>
      <c r="C142" s="4" t="inlineStr">
        <is>
          <t>North</t>
        </is>
      </c>
      <c r="D142" s="4" t="inlineStr">
        <is>
          <t>SKU018</t>
        </is>
      </c>
      <c r="E142" s="4" t="inlineStr">
        <is>
          <t>Mango Drink 1L</t>
        </is>
      </c>
      <c r="F142" s="4" t="inlineStr">
        <is>
          <t>Beverages</t>
        </is>
      </c>
      <c r="G142" s="4" t="inlineStr">
        <is>
          <t>A</t>
        </is>
      </c>
      <c r="H142" s="11" t="n">
        <v>3611</v>
      </c>
      <c r="I142" s="4" t="n">
        <v>132.25</v>
      </c>
      <c r="J142" s="13">
        <f>IF(I142&gt;0,H142/I142,"")</f>
        <v/>
      </c>
      <c r="K142" s="4">
        <f>IF(I142&lt;=0,"NO DEMAND",IF(H142=0,"STOCKOUT",IF(J142&lt;Config!$B$5,"CRITICAL",IF(J142&lt;Config!$B$6,"LOW",IF(J142&gt;Config!$B$7,"EXCESS","HEALTHY")))))</f>
        <v/>
      </c>
      <c r="L142" s="11" t="n">
        <v>101</v>
      </c>
      <c r="M142" s="11" t="n">
        <v>117</v>
      </c>
      <c r="N142" s="11">
        <f>H142*L142</f>
        <v/>
      </c>
      <c r="O142" s="11">
        <f>IF(I142&gt;0,I142*(M142-L142),0)</f>
        <v/>
      </c>
      <c r="P142" s="11" t="n">
        <v>0</v>
      </c>
    </row>
    <row r="143">
      <c r="A143" s="4" t="inlineStr">
        <is>
          <t>WH02</t>
        </is>
      </c>
      <c r="B143" s="4" t="inlineStr">
        <is>
          <t>Jaipur DC</t>
        </is>
      </c>
      <c r="C143" s="4" t="inlineStr">
        <is>
          <t>North</t>
        </is>
      </c>
      <c r="D143" s="4" t="inlineStr">
        <is>
          <t>SKU019</t>
        </is>
      </c>
      <c r="E143" s="4" t="inlineStr">
        <is>
          <t>Packaged Water 1L</t>
        </is>
      </c>
      <c r="F143" s="4" t="inlineStr">
        <is>
          <t>Beverages</t>
        </is>
      </c>
      <c r="G143" s="4" t="inlineStr">
        <is>
          <t>A</t>
        </is>
      </c>
      <c r="H143" s="11" t="n">
        <v>0</v>
      </c>
      <c r="I143" s="4" t="n">
        <v>736.75</v>
      </c>
      <c r="J143" s="13">
        <f>IF(I143&gt;0,H143/I143,"")</f>
        <v/>
      </c>
      <c r="K143" s="4">
        <f>IF(I143&lt;=0,"NO DEMAND",IF(H143=0,"STOCKOUT",IF(J143&lt;Config!$B$5,"CRITICAL",IF(J143&lt;Config!$B$6,"LOW",IF(J143&gt;Config!$B$7,"EXCESS","HEALTHY")))))</f>
        <v/>
      </c>
      <c r="L143" s="11" t="n">
        <v>57</v>
      </c>
      <c r="M143" s="11" t="n">
        <v>68</v>
      </c>
      <c r="N143" s="11">
        <f>H143*L143</f>
        <v/>
      </c>
      <c r="O143" s="11">
        <f>IF(I143&gt;0,I143*(M143-L143),0)</f>
        <v/>
      </c>
      <c r="P143" s="11" t="n">
        <v>2520</v>
      </c>
    </row>
    <row r="144">
      <c r="A144" s="4" t="inlineStr">
        <is>
          <t>WH02</t>
        </is>
      </c>
      <c r="B144" s="4" t="inlineStr">
        <is>
          <t>Jaipur DC</t>
        </is>
      </c>
      <c r="C144" s="4" t="inlineStr">
        <is>
          <t>North</t>
        </is>
      </c>
      <c r="D144" s="4" t="inlineStr">
        <is>
          <t>SKU020</t>
        </is>
      </c>
      <c r="E144" s="4" t="inlineStr">
        <is>
          <t>Energy Drink 250ml</t>
        </is>
      </c>
      <c r="F144" s="4" t="inlineStr">
        <is>
          <t>Beverages</t>
        </is>
      </c>
      <c r="G144" s="4" t="inlineStr">
        <is>
          <t>B</t>
        </is>
      </c>
      <c r="H144" s="11" t="n">
        <v>3592</v>
      </c>
      <c r="I144" s="4" t="n">
        <v>704.25</v>
      </c>
      <c r="J144" s="13">
        <f>IF(I144&gt;0,H144/I144,"")</f>
        <v/>
      </c>
      <c r="K144" s="4">
        <f>IF(I144&lt;=0,"NO DEMAND",IF(H144=0,"STOCKOUT",IF(J144&lt;Config!$B$5,"CRITICAL",IF(J144&lt;Config!$B$6,"LOW",IF(J144&gt;Config!$B$7,"EXCESS","HEALTHY")))))</f>
        <v/>
      </c>
      <c r="L144" s="11" t="n">
        <v>24</v>
      </c>
      <c r="M144" s="11" t="n">
        <v>28</v>
      </c>
      <c r="N144" s="11">
        <f>H144*L144</f>
        <v/>
      </c>
      <c r="O144" s="11">
        <f>IF(I144&gt;0,I144*(M144-L144),0)</f>
        <v/>
      </c>
      <c r="P144" s="11" t="n">
        <v>0</v>
      </c>
    </row>
    <row r="145">
      <c r="A145" s="4" t="inlineStr">
        <is>
          <t>WH02</t>
        </is>
      </c>
      <c r="B145" s="4" t="inlineStr">
        <is>
          <t>Jaipur DC</t>
        </is>
      </c>
      <c r="C145" s="4" t="inlineStr">
        <is>
          <t>North</t>
        </is>
      </c>
      <c r="D145" s="4" t="inlineStr">
        <is>
          <t>SKU021</t>
        </is>
      </c>
      <c r="E145" s="4" t="inlineStr">
        <is>
          <t>Fruit Juice 1L</t>
        </is>
      </c>
      <c r="F145" s="4" t="inlineStr">
        <is>
          <t>Beverages</t>
        </is>
      </c>
      <c r="G145" s="4" t="inlineStr">
        <is>
          <t>A</t>
        </is>
      </c>
      <c r="H145" s="11" t="n">
        <v>591</v>
      </c>
      <c r="I145" s="4" t="n">
        <v>605.75</v>
      </c>
      <c r="J145" s="13">
        <f>IF(I145&gt;0,H145/I145,"")</f>
        <v/>
      </c>
      <c r="K145" s="4">
        <f>IF(I145&lt;=0,"NO DEMAND",IF(H145=0,"STOCKOUT",IF(J145&lt;Config!$B$5,"CRITICAL",IF(J145&lt;Config!$B$6,"LOW",IF(J145&gt;Config!$B$7,"EXCESS","HEALTHY")))))</f>
        <v/>
      </c>
      <c r="L145" s="11" t="n">
        <v>54</v>
      </c>
      <c r="M145" s="11" t="n">
        <v>63</v>
      </c>
      <c r="N145" s="11">
        <f>H145*L145</f>
        <v/>
      </c>
      <c r="O145" s="11">
        <f>IF(I145&gt;0,I145*(M145-L145),0)</f>
        <v/>
      </c>
      <c r="P145" s="11" t="n">
        <v>3048</v>
      </c>
    </row>
    <row r="146">
      <c r="A146" s="4" t="inlineStr">
        <is>
          <t>WH02</t>
        </is>
      </c>
      <c r="B146" s="4" t="inlineStr">
        <is>
          <t>Jaipur DC</t>
        </is>
      </c>
      <c r="C146" s="4" t="inlineStr">
        <is>
          <t>North</t>
        </is>
      </c>
      <c r="D146" s="4" t="inlineStr">
        <is>
          <t>SKU022</t>
        </is>
      </c>
      <c r="E146" s="4" t="inlineStr">
        <is>
          <t>Iced Tea 500ml</t>
        </is>
      </c>
      <c r="F146" s="4" t="inlineStr">
        <is>
          <t>Beverages</t>
        </is>
      </c>
      <c r="G146" s="4" t="inlineStr">
        <is>
          <t>A</t>
        </is>
      </c>
      <c r="H146" s="11" t="n">
        <v>2912</v>
      </c>
      <c r="I146" s="4" t="n">
        <v>166.25</v>
      </c>
      <c r="J146" s="13">
        <f>IF(I146&gt;0,H146/I146,"")</f>
        <v/>
      </c>
      <c r="K146" s="4">
        <f>IF(I146&lt;=0,"NO DEMAND",IF(H146=0,"STOCKOUT",IF(J146&lt;Config!$B$5,"CRITICAL",IF(J146&lt;Config!$B$6,"LOW",IF(J146&gt;Config!$B$7,"EXCESS","HEALTHY")))))</f>
        <v/>
      </c>
      <c r="L146" s="11" t="n">
        <v>53</v>
      </c>
      <c r="M146" s="11" t="n">
        <v>64</v>
      </c>
      <c r="N146" s="11">
        <f>H146*L146</f>
        <v/>
      </c>
      <c r="O146" s="11">
        <f>IF(I146&gt;0,I146*(M146-L146),0)</f>
        <v/>
      </c>
      <c r="P146" s="11" t="n">
        <v>0</v>
      </c>
    </row>
    <row r="147">
      <c r="A147" s="4" t="inlineStr">
        <is>
          <t>WH02</t>
        </is>
      </c>
      <c r="B147" s="4" t="inlineStr">
        <is>
          <t>Jaipur DC</t>
        </is>
      </c>
      <c r="C147" s="4" t="inlineStr">
        <is>
          <t>North</t>
        </is>
      </c>
      <c r="D147" s="4" t="inlineStr">
        <is>
          <t>SKU023</t>
        </is>
      </c>
      <c r="E147" s="4" t="inlineStr">
        <is>
          <t>Coconut Water 200ml</t>
        </is>
      </c>
      <c r="F147" s="4" t="inlineStr">
        <is>
          <t>Beverages</t>
        </is>
      </c>
      <c r="G147" s="4" t="inlineStr">
        <is>
          <t>A</t>
        </is>
      </c>
      <c r="H147" s="11" t="n">
        <v>2311</v>
      </c>
      <c r="I147" s="4" t="n">
        <v>1040</v>
      </c>
      <c r="J147" s="13">
        <f>IF(I147&gt;0,H147/I147,"")</f>
        <v/>
      </c>
      <c r="K147" s="4">
        <f>IF(I147&lt;=0,"NO DEMAND",IF(H147=0,"STOCKOUT",IF(J147&lt;Config!$B$5,"CRITICAL",IF(J147&lt;Config!$B$6,"LOW",IF(J147&gt;Config!$B$7,"EXCESS","HEALTHY")))))</f>
        <v/>
      </c>
      <c r="L147" s="11" t="n">
        <v>59</v>
      </c>
      <c r="M147" s="11" t="n">
        <v>69</v>
      </c>
      <c r="N147" s="11">
        <f>H147*L147</f>
        <v/>
      </c>
      <c r="O147" s="11">
        <f>IF(I147&gt;0,I147*(M147-L147),0)</f>
        <v/>
      </c>
      <c r="P147" s="11" t="n">
        <v>0</v>
      </c>
    </row>
    <row r="148">
      <c r="A148" s="4" t="inlineStr">
        <is>
          <t>WH02</t>
        </is>
      </c>
      <c r="B148" s="4" t="inlineStr">
        <is>
          <t>Jaipur DC</t>
        </is>
      </c>
      <c r="C148" s="4" t="inlineStr">
        <is>
          <t>North</t>
        </is>
      </c>
      <c r="D148" s="4" t="inlineStr">
        <is>
          <t>SKU024</t>
        </is>
      </c>
      <c r="E148" s="4" t="inlineStr">
        <is>
          <t>Instant Coffee 100g</t>
        </is>
      </c>
      <c r="F148" s="4" t="inlineStr">
        <is>
          <t>Beverages</t>
        </is>
      </c>
      <c r="G148" s="4" t="inlineStr">
        <is>
          <t>C</t>
        </is>
      </c>
      <c r="H148" s="11" t="n">
        <v>1296</v>
      </c>
      <c r="I148" s="4" t="n">
        <v>304</v>
      </c>
      <c r="J148" s="13">
        <f>IF(I148&gt;0,H148/I148,"")</f>
        <v/>
      </c>
      <c r="K148" s="4">
        <f>IF(I148&lt;=0,"NO DEMAND",IF(H148=0,"STOCKOUT",IF(J148&lt;Config!$B$5,"CRITICAL",IF(J148&lt;Config!$B$6,"LOW",IF(J148&gt;Config!$B$7,"EXCESS","HEALTHY")))))</f>
        <v/>
      </c>
      <c r="L148" s="11" t="n">
        <v>27</v>
      </c>
      <c r="M148" s="11" t="n">
        <v>31</v>
      </c>
      <c r="N148" s="11">
        <f>H148*L148</f>
        <v/>
      </c>
      <c r="O148" s="11">
        <f>IF(I148&gt;0,I148*(M148-L148),0)</f>
        <v/>
      </c>
      <c r="P148" s="11" t="n">
        <v>0</v>
      </c>
    </row>
    <row r="149">
      <c r="A149" s="4" t="inlineStr">
        <is>
          <t>WH02</t>
        </is>
      </c>
      <c r="B149" s="4" t="inlineStr">
        <is>
          <t>Jaipur DC</t>
        </is>
      </c>
      <c r="C149" s="4" t="inlineStr">
        <is>
          <t>North</t>
        </is>
      </c>
      <c r="D149" s="4" t="inlineStr">
        <is>
          <t>SKU025</t>
        </is>
      </c>
      <c r="E149" s="4" t="inlineStr">
        <is>
          <t>Tea Bags 100pk</t>
        </is>
      </c>
      <c r="F149" s="4" t="inlineStr">
        <is>
          <t>Beverages</t>
        </is>
      </c>
      <c r="G149" s="4" t="inlineStr">
        <is>
          <t>C</t>
        </is>
      </c>
      <c r="H149" s="11" t="n">
        <v>0</v>
      </c>
      <c r="I149" s="4" t="n">
        <v>841.5</v>
      </c>
      <c r="J149" s="13">
        <f>IF(I149&gt;0,H149/I149,"")</f>
        <v/>
      </c>
      <c r="K149" s="4">
        <f>IF(I149&lt;=0,"NO DEMAND",IF(H149=0,"STOCKOUT",IF(J149&lt;Config!$B$5,"CRITICAL",IF(J149&lt;Config!$B$6,"LOW",IF(J149&gt;Config!$B$7,"EXCESS","HEALTHY")))))</f>
        <v/>
      </c>
      <c r="L149" s="11" t="n">
        <v>24</v>
      </c>
      <c r="M149" s="11" t="n">
        <v>28</v>
      </c>
      <c r="N149" s="11">
        <f>H149*L149</f>
        <v/>
      </c>
      <c r="O149" s="11">
        <f>IF(I149&gt;0,I149*(M149-L149),0)</f>
        <v/>
      </c>
      <c r="P149" s="11" t="n">
        <v>3384</v>
      </c>
    </row>
    <row r="150">
      <c r="A150" s="4" t="inlineStr">
        <is>
          <t>WH02</t>
        </is>
      </c>
      <c r="B150" s="4" t="inlineStr">
        <is>
          <t>Jaipur DC</t>
        </is>
      </c>
      <c r="C150" s="4" t="inlineStr">
        <is>
          <t>North</t>
        </is>
      </c>
      <c r="D150" s="4" t="inlineStr">
        <is>
          <t>SKU026</t>
        </is>
      </c>
      <c r="E150" s="4" t="inlineStr">
        <is>
          <t>Buttermilk 200ml</t>
        </is>
      </c>
      <c r="F150" s="4" t="inlineStr">
        <is>
          <t>Beverages</t>
        </is>
      </c>
      <c r="G150" s="4" t="inlineStr">
        <is>
          <t>B</t>
        </is>
      </c>
      <c r="H150" s="11" t="n">
        <v>1898</v>
      </c>
      <c r="I150" s="4" t="n">
        <v>345.25</v>
      </c>
      <c r="J150" s="13">
        <f>IF(I150&gt;0,H150/I150,"")</f>
        <v/>
      </c>
      <c r="K150" s="4">
        <f>IF(I150&lt;=0,"NO DEMAND",IF(H150=0,"STOCKOUT",IF(J150&lt;Config!$B$5,"CRITICAL",IF(J150&lt;Config!$B$6,"LOW",IF(J150&gt;Config!$B$7,"EXCESS","HEALTHY")))))</f>
        <v/>
      </c>
      <c r="L150" s="11" t="n">
        <v>31</v>
      </c>
      <c r="M150" s="11" t="n">
        <v>36</v>
      </c>
      <c r="N150" s="11">
        <f>H150*L150</f>
        <v/>
      </c>
      <c r="O150" s="11">
        <f>IF(I150&gt;0,I150*(M150-L150),0)</f>
        <v/>
      </c>
      <c r="P150" s="11" t="n">
        <v>0</v>
      </c>
    </row>
    <row r="151">
      <c r="A151" s="4" t="inlineStr">
        <is>
          <t>WH02</t>
        </is>
      </c>
      <c r="B151" s="4" t="inlineStr">
        <is>
          <t>Jaipur DC</t>
        </is>
      </c>
      <c r="C151" s="4" t="inlineStr">
        <is>
          <t>North</t>
        </is>
      </c>
      <c r="D151" s="4" t="inlineStr">
        <is>
          <t>SKU027</t>
        </is>
      </c>
      <c r="E151" s="4" t="inlineStr">
        <is>
          <t>Lassi 200ml</t>
        </is>
      </c>
      <c r="F151" s="4" t="inlineStr">
        <is>
          <t>Beverages</t>
        </is>
      </c>
      <c r="G151" s="4" t="inlineStr">
        <is>
          <t>A</t>
        </is>
      </c>
      <c r="H151" s="11" t="n">
        <v>2070</v>
      </c>
      <c r="I151" s="4" t="n">
        <v>831.25</v>
      </c>
      <c r="J151" s="13">
        <f>IF(I151&gt;0,H151/I151,"")</f>
        <v/>
      </c>
      <c r="K151" s="4">
        <f>IF(I151&lt;=0,"NO DEMAND",IF(H151=0,"STOCKOUT",IF(J151&lt;Config!$B$5,"CRITICAL",IF(J151&lt;Config!$B$6,"LOW",IF(J151&gt;Config!$B$7,"EXCESS","HEALTHY")))))</f>
        <v/>
      </c>
      <c r="L151" s="11" t="n">
        <v>60</v>
      </c>
      <c r="M151" s="11" t="n">
        <v>72</v>
      </c>
      <c r="N151" s="11">
        <f>H151*L151</f>
        <v/>
      </c>
      <c r="O151" s="11">
        <f>IF(I151&gt;0,I151*(M151-L151),0)</f>
        <v/>
      </c>
      <c r="P151" s="11" t="n">
        <v>0</v>
      </c>
    </row>
    <row r="152">
      <c r="A152" s="4" t="inlineStr">
        <is>
          <t>WH02</t>
        </is>
      </c>
      <c r="B152" s="4" t="inlineStr">
        <is>
          <t>Jaipur DC</t>
        </is>
      </c>
      <c r="C152" s="4" t="inlineStr">
        <is>
          <t>North</t>
        </is>
      </c>
      <c r="D152" s="4" t="inlineStr">
        <is>
          <t>SKU028</t>
        </is>
      </c>
      <c r="E152" s="4" t="inlineStr">
        <is>
          <t>Sports Drink 500ml</t>
        </is>
      </c>
      <c r="F152" s="4" t="inlineStr">
        <is>
          <t>Beverages</t>
        </is>
      </c>
      <c r="G152" s="4" t="inlineStr">
        <is>
          <t>A</t>
        </is>
      </c>
      <c r="H152" s="11" t="n">
        <v>2447</v>
      </c>
      <c r="I152" s="4" t="n">
        <v>565.25</v>
      </c>
      <c r="J152" s="13">
        <f>IF(I152&gt;0,H152/I152,"")</f>
        <v/>
      </c>
      <c r="K152" s="4">
        <f>IF(I152&lt;=0,"NO DEMAND",IF(H152=0,"STOCKOUT",IF(J152&lt;Config!$B$5,"CRITICAL",IF(J152&lt;Config!$B$6,"LOW",IF(J152&gt;Config!$B$7,"EXCESS","HEALTHY")))))</f>
        <v/>
      </c>
      <c r="L152" s="11" t="n">
        <v>110</v>
      </c>
      <c r="M152" s="11" t="n">
        <v>131</v>
      </c>
      <c r="N152" s="11">
        <f>H152*L152</f>
        <v/>
      </c>
      <c r="O152" s="11">
        <f>IF(I152&gt;0,I152*(M152-L152),0)</f>
        <v/>
      </c>
      <c r="P152" s="11" t="n">
        <v>0</v>
      </c>
    </row>
    <row r="153">
      <c r="A153" s="4" t="inlineStr">
        <is>
          <t>WH02</t>
        </is>
      </c>
      <c r="B153" s="4" t="inlineStr">
        <is>
          <t>Jaipur DC</t>
        </is>
      </c>
      <c r="C153" s="4" t="inlineStr">
        <is>
          <t>North</t>
        </is>
      </c>
      <c r="D153" s="4" t="inlineStr">
        <is>
          <t>SKU029</t>
        </is>
      </c>
      <c r="E153" s="4" t="inlineStr">
        <is>
          <t>Tonic Water 300ml</t>
        </is>
      </c>
      <c r="F153" s="4" t="inlineStr">
        <is>
          <t>Beverages</t>
        </is>
      </c>
      <c r="G153" s="4" t="inlineStr">
        <is>
          <t>B</t>
        </is>
      </c>
      <c r="H153" s="11" t="n">
        <v>3512</v>
      </c>
      <c r="I153" s="4" t="n">
        <v>549.5</v>
      </c>
      <c r="J153" s="13">
        <f>IF(I153&gt;0,H153/I153,"")</f>
        <v/>
      </c>
      <c r="K153" s="4">
        <f>IF(I153&lt;=0,"NO DEMAND",IF(H153=0,"STOCKOUT",IF(J153&lt;Config!$B$5,"CRITICAL",IF(J153&lt;Config!$B$6,"LOW",IF(J153&gt;Config!$B$7,"EXCESS","HEALTHY")))))</f>
        <v/>
      </c>
      <c r="L153" s="11" t="n">
        <v>23</v>
      </c>
      <c r="M153" s="11" t="n">
        <v>27</v>
      </c>
      <c r="N153" s="11">
        <f>H153*L153</f>
        <v/>
      </c>
      <c r="O153" s="11">
        <f>IF(I153&gt;0,I153*(M153-L153),0)</f>
        <v/>
      </c>
      <c r="P153" s="11" t="n">
        <v>0</v>
      </c>
    </row>
    <row r="154">
      <c r="A154" s="4" t="inlineStr">
        <is>
          <t>WH02</t>
        </is>
      </c>
      <c r="B154" s="4" t="inlineStr">
        <is>
          <t>Jaipur DC</t>
        </is>
      </c>
      <c r="C154" s="4" t="inlineStr">
        <is>
          <t>North</t>
        </is>
      </c>
      <c r="D154" s="4" t="inlineStr">
        <is>
          <t>SKU030</t>
        </is>
      </c>
      <c r="E154" s="4" t="inlineStr">
        <is>
          <t>Malt Drink 500g</t>
        </is>
      </c>
      <c r="F154" s="4" t="inlineStr">
        <is>
          <t>Beverages</t>
        </is>
      </c>
      <c r="G154" s="4" t="inlineStr">
        <is>
          <t>C</t>
        </is>
      </c>
      <c r="H154" s="11" t="n">
        <v>1579</v>
      </c>
      <c r="I154" s="4" t="n">
        <v>158.75</v>
      </c>
      <c r="J154" s="13">
        <f>IF(I154&gt;0,H154/I154,"")</f>
        <v/>
      </c>
      <c r="K154" s="4">
        <f>IF(I154&lt;=0,"NO DEMAND",IF(H154=0,"STOCKOUT",IF(J154&lt;Config!$B$5,"CRITICAL",IF(J154&lt;Config!$B$6,"LOW",IF(J154&gt;Config!$B$7,"EXCESS","HEALTHY")))))</f>
        <v/>
      </c>
      <c r="L154" s="11" t="n">
        <v>31</v>
      </c>
      <c r="M154" s="11" t="n">
        <v>37</v>
      </c>
      <c r="N154" s="11">
        <f>H154*L154</f>
        <v/>
      </c>
      <c r="O154" s="11">
        <f>IF(I154&gt;0,I154*(M154-L154),0)</f>
        <v/>
      </c>
      <c r="P154" s="11" t="n">
        <v>0</v>
      </c>
    </row>
    <row r="155">
      <c r="A155" s="4" t="inlineStr">
        <is>
          <t>WH02</t>
        </is>
      </c>
      <c r="B155" s="4" t="inlineStr">
        <is>
          <t>Jaipur DC</t>
        </is>
      </c>
      <c r="C155" s="4" t="inlineStr">
        <is>
          <t>North</t>
        </is>
      </c>
      <c r="D155" s="4" t="inlineStr">
        <is>
          <t>SKU031</t>
        </is>
      </c>
      <c r="E155" s="4" t="inlineStr">
        <is>
          <t>Potato Chips 90g</t>
        </is>
      </c>
      <c r="F155" s="4" t="inlineStr">
        <is>
          <t>Snacks &amp; Confectionery</t>
        </is>
      </c>
      <c r="G155" s="4" t="inlineStr">
        <is>
          <t>C</t>
        </is>
      </c>
      <c r="H155" s="11" t="n">
        <v>2678</v>
      </c>
      <c r="I155" s="4" t="n">
        <v>463.25</v>
      </c>
      <c r="J155" s="13">
        <f>IF(I155&gt;0,H155/I155,"")</f>
        <v/>
      </c>
      <c r="K155" s="4">
        <f>IF(I155&lt;=0,"NO DEMAND",IF(H155=0,"STOCKOUT",IF(J155&lt;Config!$B$5,"CRITICAL",IF(J155&lt;Config!$B$6,"LOW",IF(J155&gt;Config!$B$7,"EXCESS","HEALTHY")))))</f>
        <v/>
      </c>
      <c r="L155" s="11" t="n">
        <v>13</v>
      </c>
      <c r="M155" s="11" t="n">
        <v>16</v>
      </c>
      <c r="N155" s="11">
        <f>H155*L155</f>
        <v/>
      </c>
      <c r="O155" s="11">
        <f>IF(I155&gt;0,I155*(M155-L155),0)</f>
        <v/>
      </c>
      <c r="P155" s="11" t="n">
        <v>0</v>
      </c>
    </row>
    <row r="156">
      <c r="A156" s="4" t="inlineStr">
        <is>
          <t>WH02</t>
        </is>
      </c>
      <c r="B156" s="4" t="inlineStr">
        <is>
          <t>Jaipur DC</t>
        </is>
      </c>
      <c r="C156" s="4" t="inlineStr">
        <is>
          <t>North</t>
        </is>
      </c>
      <c r="D156" s="4" t="inlineStr">
        <is>
          <t>SKU032</t>
        </is>
      </c>
      <c r="E156" s="4" t="inlineStr">
        <is>
          <t>Namkeen Mix 400g</t>
        </is>
      </c>
      <c r="F156" s="4" t="inlineStr">
        <is>
          <t>Snacks &amp; Confectionery</t>
        </is>
      </c>
      <c r="G156" s="4" t="inlineStr">
        <is>
          <t>C</t>
        </is>
      </c>
      <c r="H156" s="11" t="n">
        <v>225</v>
      </c>
      <c r="I156" s="4" t="n">
        <v>229.25</v>
      </c>
      <c r="J156" s="13">
        <f>IF(I156&gt;0,H156/I156,"")</f>
        <v/>
      </c>
      <c r="K156" s="4">
        <f>IF(I156&lt;=0,"NO DEMAND",IF(H156=0,"STOCKOUT",IF(J156&lt;Config!$B$5,"CRITICAL",IF(J156&lt;Config!$B$6,"LOW",IF(J156&gt;Config!$B$7,"EXCESS","HEALTHY")))))</f>
        <v/>
      </c>
      <c r="L156" s="11" t="n">
        <v>14</v>
      </c>
      <c r="M156" s="11" t="n">
        <v>17</v>
      </c>
      <c r="N156" s="11">
        <f>H156*L156</f>
        <v/>
      </c>
      <c r="O156" s="11">
        <f>IF(I156&gt;0,I156*(M156-L156),0)</f>
        <v/>
      </c>
      <c r="P156" s="11" t="n">
        <v>1116</v>
      </c>
    </row>
    <row r="157">
      <c r="A157" s="4" t="inlineStr">
        <is>
          <t>WH02</t>
        </is>
      </c>
      <c r="B157" s="4" t="inlineStr">
        <is>
          <t>Jaipur DC</t>
        </is>
      </c>
      <c r="C157" s="4" t="inlineStr">
        <is>
          <t>North</t>
        </is>
      </c>
      <c r="D157" s="4" t="inlineStr">
        <is>
          <t>SKU033</t>
        </is>
      </c>
      <c r="E157" s="4" t="inlineStr">
        <is>
          <t>Glucose Biscuits 300g</t>
        </is>
      </c>
      <c r="F157" s="4" t="inlineStr">
        <is>
          <t>Snacks &amp; Confectionery</t>
        </is>
      </c>
      <c r="G157" s="4" t="inlineStr">
        <is>
          <t>A</t>
        </is>
      </c>
      <c r="H157" s="11" t="n">
        <v>1420</v>
      </c>
      <c r="I157" s="4" t="n">
        <v>109.25</v>
      </c>
      <c r="J157" s="13">
        <f>IF(I157&gt;0,H157/I157,"")</f>
        <v/>
      </c>
      <c r="K157" s="4">
        <f>IF(I157&lt;=0,"NO DEMAND",IF(H157=0,"STOCKOUT",IF(J157&lt;Config!$B$5,"CRITICAL",IF(J157&lt;Config!$B$6,"LOW",IF(J157&gt;Config!$B$7,"EXCESS","HEALTHY")))))</f>
        <v/>
      </c>
      <c r="L157" s="11" t="n">
        <v>119</v>
      </c>
      <c r="M157" s="11" t="n">
        <v>144</v>
      </c>
      <c r="N157" s="11">
        <f>H157*L157</f>
        <v/>
      </c>
      <c r="O157" s="11">
        <f>IF(I157&gt;0,I157*(M157-L157),0)</f>
        <v/>
      </c>
      <c r="P157" s="11" t="n">
        <v>0</v>
      </c>
    </row>
    <row r="158">
      <c r="A158" s="4" t="inlineStr">
        <is>
          <t>WH02</t>
        </is>
      </c>
      <c r="B158" s="4" t="inlineStr">
        <is>
          <t>Jaipur DC</t>
        </is>
      </c>
      <c r="C158" s="4" t="inlineStr">
        <is>
          <t>North</t>
        </is>
      </c>
      <c r="D158" s="4" t="inlineStr">
        <is>
          <t>SKU034</t>
        </is>
      </c>
      <c r="E158" s="4" t="inlineStr">
        <is>
          <t>Cream Biscuits 120g</t>
        </is>
      </c>
      <c r="F158" s="4" t="inlineStr">
        <is>
          <t>Snacks &amp; Confectionery</t>
        </is>
      </c>
      <c r="G158" s="4" t="inlineStr">
        <is>
          <t>B</t>
        </is>
      </c>
      <c r="H158" s="11" t="n">
        <v>1149</v>
      </c>
      <c r="I158" s="4" t="n">
        <v>118.25</v>
      </c>
      <c r="J158" s="13">
        <f>IF(I158&gt;0,H158/I158,"")</f>
        <v/>
      </c>
      <c r="K158" s="4">
        <f>IF(I158&lt;=0,"NO DEMAND",IF(H158=0,"STOCKOUT",IF(J158&lt;Config!$B$5,"CRITICAL",IF(J158&lt;Config!$B$6,"LOW",IF(J158&gt;Config!$B$7,"EXCESS","HEALTHY")))))</f>
        <v/>
      </c>
      <c r="L158" s="11" t="n">
        <v>61</v>
      </c>
      <c r="M158" s="11" t="n">
        <v>73</v>
      </c>
      <c r="N158" s="11">
        <f>H158*L158</f>
        <v/>
      </c>
      <c r="O158" s="11">
        <f>IF(I158&gt;0,I158*(M158-L158),0)</f>
        <v/>
      </c>
      <c r="P158" s="11" t="n">
        <v>0</v>
      </c>
    </row>
    <row r="159">
      <c r="A159" s="4" t="inlineStr">
        <is>
          <t>WH02</t>
        </is>
      </c>
      <c r="B159" s="4" t="inlineStr">
        <is>
          <t>Jaipur DC</t>
        </is>
      </c>
      <c r="C159" s="4" t="inlineStr">
        <is>
          <t>North</t>
        </is>
      </c>
      <c r="D159" s="4" t="inlineStr">
        <is>
          <t>SKU035</t>
        </is>
      </c>
      <c r="E159" s="4" t="inlineStr">
        <is>
          <t>Chocolate Bar 40g</t>
        </is>
      </c>
      <c r="F159" s="4" t="inlineStr">
        <is>
          <t>Snacks &amp; Confectionery</t>
        </is>
      </c>
      <c r="G159" s="4" t="inlineStr">
        <is>
          <t>C</t>
        </is>
      </c>
      <c r="H159" s="11" t="n">
        <v>346</v>
      </c>
      <c r="I159" s="4" t="n">
        <v>262</v>
      </c>
      <c r="J159" s="13">
        <f>IF(I159&gt;0,H159/I159,"")</f>
        <v/>
      </c>
      <c r="K159" s="4">
        <f>IF(I159&lt;=0,"NO DEMAND",IF(H159=0,"STOCKOUT",IF(J159&lt;Config!$B$5,"CRITICAL",IF(J159&lt;Config!$B$6,"LOW",IF(J159&gt;Config!$B$7,"EXCESS","HEALTHY")))))</f>
        <v/>
      </c>
      <c r="L159" s="11" t="n">
        <v>16</v>
      </c>
      <c r="M159" s="11" t="n">
        <v>20</v>
      </c>
      <c r="N159" s="11">
        <f>H159*L159</f>
        <v/>
      </c>
      <c r="O159" s="11">
        <f>IF(I159&gt;0,I159*(M159-L159),0)</f>
        <v/>
      </c>
      <c r="P159" s="11" t="n">
        <v>0</v>
      </c>
    </row>
    <row r="160">
      <c r="A160" s="4" t="inlineStr">
        <is>
          <t>WH02</t>
        </is>
      </c>
      <c r="B160" s="4" t="inlineStr">
        <is>
          <t>Jaipur DC</t>
        </is>
      </c>
      <c r="C160" s="4" t="inlineStr">
        <is>
          <t>North</t>
        </is>
      </c>
      <c r="D160" s="4" t="inlineStr">
        <is>
          <t>SKU036</t>
        </is>
      </c>
      <c r="E160" s="4" t="inlineStr">
        <is>
          <t>Instant Noodles 70g</t>
        </is>
      </c>
      <c r="F160" s="4" t="inlineStr">
        <is>
          <t>Snacks &amp; Confectionery</t>
        </is>
      </c>
      <c r="G160" s="4" t="inlineStr">
        <is>
          <t>C</t>
        </is>
      </c>
      <c r="H160" s="11" t="n">
        <v>1647</v>
      </c>
      <c r="I160" s="4" t="n">
        <v>325</v>
      </c>
      <c r="J160" s="13">
        <f>IF(I160&gt;0,H160/I160,"")</f>
        <v/>
      </c>
      <c r="K160" s="4">
        <f>IF(I160&lt;=0,"NO DEMAND",IF(H160=0,"STOCKOUT",IF(J160&lt;Config!$B$5,"CRITICAL",IF(J160&lt;Config!$B$6,"LOW",IF(J160&gt;Config!$B$7,"EXCESS","HEALTHY")))))</f>
        <v/>
      </c>
      <c r="L160" s="11" t="n">
        <v>19</v>
      </c>
      <c r="M160" s="11" t="n">
        <v>24</v>
      </c>
      <c r="N160" s="11">
        <f>H160*L160</f>
        <v/>
      </c>
      <c r="O160" s="11">
        <f>IF(I160&gt;0,I160*(M160-L160),0)</f>
        <v/>
      </c>
      <c r="P160" s="11" t="n">
        <v>0</v>
      </c>
    </row>
    <row r="161">
      <c r="A161" s="4" t="inlineStr">
        <is>
          <t>WH02</t>
        </is>
      </c>
      <c r="B161" s="4" t="inlineStr">
        <is>
          <t>Jaipur DC</t>
        </is>
      </c>
      <c r="C161" s="4" t="inlineStr">
        <is>
          <t>North</t>
        </is>
      </c>
      <c r="D161" s="4" t="inlineStr">
        <is>
          <t>SKU037</t>
        </is>
      </c>
      <c r="E161" s="4" t="inlineStr">
        <is>
          <t>Popcorn 60g</t>
        </is>
      </c>
      <c r="F161" s="4" t="inlineStr">
        <is>
          <t>Snacks &amp; Confectionery</t>
        </is>
      </c>
      <c r="G161" s="4" t="inlineStr">
        <is>
          <t>A</t>
        </is>
      </c>
      <c r="H161" s="11" t="n">
        <v>608</v>
      </c>
      <c r="I161" s="4" t="n">
        <v>46.5</v>
      </c>
      <c r="J161" s="13">
        <f>IF(I161&gt;0,H161/I161,"")</f>
        <v/>
      </c>
      <c r="K161" s="4">
        <f>IF(I161&lt;=0,"NO DEMAND",IF(H161=0,"STOCKOUT",IF(J161&lt;Config!$B$5,"CRITICAL",IF(J161&lt;Config!$B$6,"LOW",IF(J161&gt;Config!$B$7,"EXCESS","HEALTHY")))))</f>
        <v/>
      </c>
      <c r="L161" s="11" t="n">
        <v>137</v>
      </c>
      <c r="M161" s="11" t="n">
        <v>163</v>
      </c>
      <c r="N161" s="11">
        <f>H161*L161</f>
        <v/>
      </c>
      <c r="O161" s="11">
        <f>IF(I161&gt;0,I161*(M161-L161),0)</f>
        <v/>
      </c>
      <c r="P161" s="11" t="n">
        <v>0</v>
      </c>
    </row>
    <row r="162">
      <c r="A162" s="4" t="inlineStr">
        <is>
          <t>WH02</t>
        </is>
      </c>
      <c r="B162" s="4" t="inlineStr">
        <is>
          <t>Jaipur DC</t>
        </is>
      </c>
      <c r="C162" s="4" t="inlineStr">
        <is>
          <t>North</t>
        </is>
      </c>
      <c r="D162" s="4" t="inlineStr">
        <is>
          <t>SKU038</t>
        </is>
      </c>
      <c r="E162" s="4" t="inlineStr">
        <is>
          <t>Peanut Chikki 200g</t>
        </is>
      </c>
      <c r="F162" s="4" t="inlineStr">
        <is>
          <t>Snacks &amp; Confectionery</t>
        </is>
      </c>
      <c r="G162" s="4" t="inlineStr">
        <is>
          <t>C</t>
        </is>
      </c>
      <c r="H162" s="11" t="n">
        <v>1306</v>
      </c>
      <c r="I162" s="4" t="n">
        <v>467.75</v>
      </c>
      <c r="J162" s="13">
        <f>IF(I162&gt;0,H162/I162,"")</f>
        <v/>
      </c>
      <c r="K162" s="4">
        <f>IF(I162&lt;=0,"NO DEMAND",IF(H162=0,"STOCKOUT",IF(J162&lt;Config!$B$5,"CRITICAL",IF(J162&lt;Config!$B$6,"LOW",IF(J162&gt;Config!$B$7,"EXCESS","HEALTHY")))))</f>
        <v/>
      </c>
      <c r="L162" s="11" t="n">
        <v>18</v>
      </c>
      <c r="M162" s="11" t="n">
        <v>22</v>
      </c>
      <c r="N162" s="11">
        <f>H162*L162</f>
        <v/>
      </c>
      <c r="O162" s="11">
        <f>IF(I162&gt;0,I162*(M162-L162),0)</f>
        <v/>
      </c>
      <c r="P162" s="11" t="n">
        <v>0</v>
      </c>
    </row>
    <row r="163">
      <c r="A163" s="4" t="inlineStr">
        <is>
          <t>WH02</t>
        </is>
      </c>
      <c r="B163" s="4" t="inlineStr">
        <is>
          <t>Jaipur DC</t>
        </is>
      </c>
      <c r="C163" s="4" t="inlineStr">
        <is>
          <t>North</t>
        </is>
      </c>
      <c r="D163" s="4" t="inlineStr">
        <is>
          <t>SKU039</t>
        </is>
      </c>
      <c r="E163" s="4" t="inlineStr">
        <is>
          <t>Cookies 200g</t>
        </is>
      </c>
      <c r="F163" s="4" t="inlineStr">
        <is>
          <t>Snacks &amp; Confectionery</t>
        </is>
      </c>
      <c r="G163" s="4" t="inlineStr">
        <is>
          <t>A</t>
        </is>
      </c>
      <c r="H163" s="11" t="n">
        <v>3261</v>
      </c>
      <c r="I163" s="4" t="n">
        <v>990.75</v>
      </c>
      <c r="J163" s="13">
        <f>IF(I163&gt;0,H163/I163,"")</f>
        <v/>
      </c>
      <c r="K163" s="4">
        <f>IF(I163&lt;=0,"NO DEMAND",IF(H163=0,"STOCKOUT",IF(J163&lt;Config!$B$5,"CRITICAL",IF(J163&lt;Config!$B$6,"LOW",IF(J163&gt;Config!$B$7,"EXCESS","HEALTHY")))))</f>
        <v/>
      </c>
      <c r="L163" s="11" t="n">
        <v>126</v>
      </c>
      <c r="M163" s="11" t="n">
        <v>150</v>
      </c>
      <c r="N163" s="11">
        <f>H163*L163</f>
        <v/>
      </c>
      <c r="O163" s="11">
        <f>IF(I163&gt;0,I163*(M163-L163),0)</f>
        <v/>
      </c>
      <c r="P163" s="11" t="n">
        <v>0</v>
      </c>
    </row>
    <row r="164">
      <c r="A164" s="4" t="inlineStr">
        <is>
          <t>WH02</t>
        </is>
      </c>
      <c r="B164" s="4" t="inlineStr">
        <is>
          <t>Jaipur DC</t>
        </is>
      </c>
      <c r="C164" s="4" t="inlineStr">
        <is>
          <t>North</t>
        </is>
      </c>
      <c r="D164" s="4" t="inlineStr">
        <is>
          <t>SKU040</t>
        </is>
      </c>
      <c r="E164" s="4" t="inlineStr">
        <is>
          <t>Wafers 75g</t>
        </is>
      </c>
      <c r="F164" s="4" t="inlineStr">
        <is>
          <t>Snacks &amp; Confectionery</t>
        </is>
      </c>
      <c r="G164" s="4" t="inlineStr">
        <is>
          <t>A</t>
        </is>
      </c>
      <c r="H164" s="11" t="n">
        <v>2897</v>
      </c>
      <c r="I164" s="4" t="n">
        <v>612.75</v>
      </c>
      <c r="J164" s="13">
        <f>IF(I164&gt;0,H164/I164,"")</f>
        <v/>
      </c>
      <c r="K164" s="4">
        <f>IF(I164&lt;=0,"NO DEMAND",IF(H164=0,"STOCKOUT",IF(J164&lt;Config!$B$5,"CRITICAL",IF(J164&lt;Config!$B$6,"LOW",IF(J164&gt;Config!$B$7,"EXCESS","HEALTHY")))))</f>
        <v/>
      </c>
      <c r="L164" s="11" t="n">
        <v>90</v>
      </c>
      <c r="M164" s="11" t="n">
        <v>109</v>
      </c>
      <c r="N164" s="11">
        <f>H164*L164</f>
        <v/>
      </c>
      <c r="O164" s="11">
        <f>IF(I164&gt;0,I164*(M164-L164),0)</f>
        <v/>
      </c>
      <c r="P164" s="11" t="n">
        <v>0</v>
      </c>
    </row>
    <row r="165">
      <c r="A165" s="4" t="inlineStr">
        <is>
          <t>WH02</t>
        </is>
      </c>
      <c r="B165" s="4" t="inlineStr">
        <is>
          <t>Jaipur DC</t>
        </is>
      </c>
      <c r="C165" s="4" t="inlineStr">
        <is>
          <t>North</t>
        </is>
      </c>
      <c r="D165" s="4" t="inlineStr">
        <is>
          <t>SKU041</t>
        </is>
      </c>
      <c r="E165" s="4" t="inlineStr">
        <is>
          <t>Mathri 250g</t>
        </is>
      </c>
      <c r="F165" s="4" t="inlineStr">
        <is>
          <t>Snacks &amp; Confectionery</t>
        </is>
      </c>
      <c r="G165" s="4" t="inlineStr">
        <is>
          <t>A</t>
        </is>
      </c>
      <c r="H165" s="11" t="n">
        <v>1357</v>
      </c>
      <c r="I165" s="4" t="n">
        <v>319.25</v>
      </c>
      <c r="J165" s="13">
        <f>IF(I165&gt;0,H165/I165,"")</f>
        <v/>
      </c>
      <c r="K165" s="4">
        <f>IF(I165&lt;=0,"NO DEMAND",IF(H165=0,"STOCKOUT",IF(J165&lt;Config!$B$5,"CRITICAL",IF(J165&lt;Config!$B$6,"LOW",IF(J165&gt;Config!$B$7,"EXCESS","HEALTHY")))))</f>
        <v/>
      </c>
      <c r="L165" s="11" t="n">
        <v>100</v>
      </c>
      <c r="M165" s="11" t="n">
        <v>125</v>
      </c>
      <c r="N165" s="11">
        <f>H165*L165</f>
        <v/>
      </c>
      <c r="O165" s="11">
        <f>IF(I165&gt;0,I165*(M165-L165),0)</f>
        <v/>
      </c>
      <c r="P165" s="11" t="n">
        <v>0</v>
      </c>
    </row>
    <row r="166">
      <c r="A166" s="4" t="inlineStr">
        <is>
          <t>WH02</t>
        </is>
      </c>
      <c r="B166" s="4" t="inlineStr">
        <is>
          <t>Jaipur DC</t>
        </is>
      </c>
      <c r="C166" s="4" t="inlineStr">
        <is>
          <t>North</t>
        </is>
      </c>
      <c r="D166" s="4" t="inlineStr">
        <is>
          <t>SKU042</t>
        </is>
      </c>
      <c r="E166" s="4" t="inlineStr">
        <is>
          <t>Dry Fruit Mix 250g</t>
        </is>
      </c>
      <c r="F166" s="4" t="inlineStr">
        <is>
          <t>Snacks &amp; Confectionery</t>
        </is>
      </c>
      <c r="G166" s="4" t="inlineStr">
        <is>
          <t>A</t>
        </is>
      </c>
      <c r="H166" s="11" t="n">
        <v>1804</v>
      </c>
      <c r="I166" s="4" t="n">
        <v>493.5</v>
      </c>
      <c r="J166" s="13">
        <f>IF(I166&gt;0,H166/I166,"")</f>
        <v/>
      </c>
      <c r="K166" s="4">
        <f>IF(I166&lt;=0,"NO DEMAND",IF(H166=0,"STOCKOUT",IF(J166&lt;Config!$B$5,"CRITICAL",IF(J166&lt;Config!$B$6,"LOW",IF(J166&gt;Config!$B$7,"EXCESS","HEALTHY")))))</f>
        <v/>
      </c>
      <c r="L166" s="11" t="n">
        <v>74</v>
      </c>
      <c r="M166" s="11" t="n">
        <v>88</v>
      </c>
      <c r="N166" s="11">
        <f>H166*L166</f>
        <v/>
      </c>
      <c r="O166" s="11">
        <f>IF(I166&gt;0,I166*(M166-L166),0)</f>
        <v/>
      </c>
      <c r="P166" s="11" t="n">
        <v>0</v>
      </c>
    </row>
    <row r="167">
      <c r="A167" s="4" t="inlineStr">
        <is>
          <t>WH02</t>
        </is>
      </c>
      <c r="B167" s="4" t="inlineStr">
        <is>
          <t>Jaipur DC</t>
        </is>
      </c>
      <c r="C167" s="4" t="inlineStr">
        <is>
          <t>North</t>
        </is>
      </c>
      <c r="D167" s="4" t="inlineStr">
        <is>
          <t>SKU043</t>
        </is>
      </c>
      <c r="E167" s="4" t="inlineStr">
        <is>
          <t>Soan Papdi 500g</t>
        </is>
      </c>
      <c r="F167" s="4" t="inlineStr">
        <is>
          <t>Snacks &amp; Confectionery</t>
        </is>
      </c>
      <c r="G167" s="4" t="inlineStr">
        <is>
          <t>C</t>
        </is>
      </c>
      <c r="H167" s="11" t="n">
        <v>1896</v>
      </c>
      <c r="I167" s="4" t="n">
        <v>422.75</v>
      </c>
      <c r="J167" s="13">
        <f>IF(I167&gt;0,H167/I167,"")</f>
        <v/>
      </c>
      <c r="K167" s="4">
        <f>IF(I167&lt;=0,"NO DEMAND",IF(H167=0,"STOCKOUT",IF(J167&lt;Config!$B$5,"CRITICAL",IF(J167&lt;Config!$B$6,"LOW",IF(J167&gt;Config!$B$7,"EXCESS","HEALTHY")))))</f>
        <v/>
      </c>
      <c r="L167" s="11" t="n">
        <v>15</v>
      </c>
      <c r="M167" s="11" t="n">
        <v>18</v>
      </c>
      <c r="N167" s="11">
        <f>H167*L167</f>
        <v/>
      </c>
      <c r="O167" s="11">
        <f>IF(I167&gt;0,I167*(M167-L167),0)</f>
        <v/>
      </c>
      <c r="P167" s="11" t="n">
        <v>0</v>
      </c>
    </row>
    <row r="168">
      <c r="A168" s="4" t="inlineStr">
        <is>
          <t>WH02</t>
        </is>
      </c>
      <c r="B168" s="4" t="inlineStr">
        <is>
          <t>Jaipur DC</t>
        </is>
      </c>
      <c r="C168" s="4" t="inlineStr">
        <is>
          <t>North</t>
        </is>
      </c>
      <c r="D168" s="4" t="inlineStr">
        <is>
          <t>SKU044</t>
        </is>
      </c>
      <c r="E168" s="4" t="inlineStr">
        <is>
          <t>Rusk 300g</t>
        </is>
      </c>
      <c r="F168" s="4" t="inlineStr">
        <is>
          <t>Snacks &amp; Confectionery</t>
        </is>
      </c>
      <c r="G168" s="4" t="inlineStr">
        <is>
          <t>A</t>
        </is>
      </c>
      <c r="H168" s="11" t="n">
        <v>1821</v>
      </c>
      <c r="I168" s="4" t="n">
        <v>649.5</v>
      </c>
      <c r="J168" s="13">
        <f>IF(I168&gt;0,H168/I168,"")</f>
        <v/>
      </c>
      <c r="K168" s="4">
        <f>IF(I168&lt;=0,"NO DEMAND",IF(H168=0,"STOCKOUT",IF(J168&lt;Config!$B$5,"CRITICAL",IF(J168&lt;Config!$B$6,"LOW",IF(J168&gt;Config!$B$7,"EXCESS","HEALTHY")))))</f>
        <v/>
      </c>
      <c r="L168" s="11" t="n">
        <v>57</v>
      </c>
      <c r="M168" s="11" t="n">
        <v>70</v>
      </c>
      <c r="N168" s="11">
        <f>H168*L168</f>
        <v/>
      </c>
      <c r="O168" s="11">
        <f>IF(I168&gt;0,I168*(M168-L168),0)</f>
        <v/>
      </c>
      <c r="P168" s="11" t="n">
        <v>0</v>
      </c>
    </row>
    <row r="169">
      <c r="A169" s="4" t="inlineStr">
        <is>
          <t>WH02</t>
        </is>
      </c>
      <c r="B169" s="4" t="inlineStr">
        <is>
          <t>Jaipur DC</t>
        </is>
      </c>
      <c r="C169" s="4" t="inlineStr">
        <is>
          <t>North</t>
        </is>
      </c>
      <c r="D169" s="4" t="inlineStr">
        <is>
          <t>SKU045</t>
        </is>
      </c>
      <c r="E169" s="4" t="inlineStr">
        <is>
          <t>Candy Pack 150g</t>
        </is>
      </c>
      <c r="F169" s="4" t="inlineStr">
        <is>
          <t>Snacks &amp; Confectionery</t>
        </is>
      </c>
      <c r="G169" s="4" t="inlineStr">
        <is>
          <t>C</t>
        </is>
      </c>
      <c r="H169" s="11" t="n">
        <v>766</v>
      </c>
      <c r="I169" s="4" t="n">
        <v>564.25</v>
      </c>
      <c r="J169" s="13">
        <f>IF(I169&gt;0,H169/I169,"")</f>
        <v/>
      </c>
      <c r="K169" s="4">
        <f>IF(I169&lt;=0,"NO DEMAND",IF(H169=0,"STOCKOUT",IF(J169&lt;Config!$B$5,"CRITICAL",IF(J169&lt;Config!$B$6,"LOW",IF(J169&gt;Config!$B$7,"EXCESS","HEALTHY")))))</f>
        <v/>
      </c>
      <c r="L169" s="11" t="n">
        <v>22</v>
      </c>
      <c r="M169" s="11" t="n">
        <v>27</v>
      </c>
      <c r="N169" s="11">
        <f>H169*L169</f>
        <v/>
      </c>
      <c r="O169" s="11">
        <f>IF(I169&gt;0,I169*(M169-L169),0)</f>
        <v/>
      </c>
      <c r="P169" s="11" t="n">
        <v>2532</v>
      </c>
    </row>
    <row r="170">
      <c r="A170" s="4" t="inlineStr">
        <is>
          <t>WH02</t>
        </is>
      </c>
      <c r="B170" s="4" t="inlineStr">
        <is>
          <t>Jaipur DC</t>
        </is>
      </c>
      <c r="C170" s="4" t="inlineStr">
        <is>
          <t>North</t>
        </is>
      </c>
      <c r="D170" s="4" t="inlineStr">
        <is>
          <t>SKU046</t>
        </is>
      </c>
      <c r="E170" s="4" t="inlineStr">
        <is>
          <t>Shampoo 340ml</t>
        </is>
      </c>
      <c r="F170" s="4" t="inlineStr">
        <is>
          <t>Personal Care</t>
        </is>
      </c>
      <c r="G170" s="4" t="inlineStr">
        <is>
          <t>C</t>
        </is>
      </c>
      <c r="H170" s="11" t="n">
        <v>0</v>
      </c>
      <c r="I170" s="4" t="n">
        <v>425.5</v>
      </c>
      <c r="J170" s="13">
        <f>IF(I170&gt;0,H170/I170,"")</f>
        <v/>
      </c>
      <c r="K170" s="4">
        <f>IF(I170&lt;=0,"NO DEMAND",IF(H170=0,"STOCKOUT",IF(J170&lt;Config!$B$5,"CRITICAL",IF(J170&lt;Config!$B$6,"LOW",IF(J170&gt;Config!$B$7,"EXCESS","HEALTHY")))))</f>
        <v/>
      </c>
      <c r="L170" s="11" t="n">
        <v>51</v>
      </c>
      <c r="M170" s="11" t="n">
        <v>67</v>
      </c>
      <c r="N170" s="11">
        <f>H170*L170</f>
        <v/>
      </c>
      <c r="O170" s="11">
        <f>IF(I170&gt;0,I170*(M170-L170),0)</f>
        <v/>
      </c>
      <c r="P170" s="11" t="n">
        <v>1476</v>
      </c>
    </row>
    <row r="171">
      <c r="A171" s="4" t="inlineStr">
        <is>
          <t>WH02</t>
        </is>
      </c>
      <c r="B171" s="4" t="inlineStr">
        <is>
          <t>Jaipur DC</t>
        </is>
      </c>
      <c r="C171" s="4" t="inlineStr">
        <is>
          <t>North</t>
        </is>
      </c>
      <c r="D171" s="4" t="inlineStr">
        <is>
          <t>SKU047</t>
        </is>
      </c>
      <c r="E171" s="4" t="inlineStr">
        <is>
          <t>Soap 4-pack</t>
        </is>
      </c>
      <c r="F171" s="4" t="inlineStr">
        <is>
          <t>Personal Care</t>
        </is>
      </c>
      <c r="G171" s="4" t="inlineStr">
        <is>
          <t>C</t>
        </is>
      </c>
      <c r="H171" s="11" t="n">
        <v>677</v>
      </c>
      <c r="I171" s="4" t="n">
        <v>287.5</v>
      </c>
      <c r="J171" s="13">
        <f>IF(I171&gt;0,H171/I171,"")</f>
        <v/>
      </c>
      <c r="K171" s="4">
        <f>IF(I171&lt;=0,"NO DEMAND",IF(H171=0,"STOCKOUT",IF(J171&lt;Config!$B$5,"CRITICAL",IF(J171&lt;Config!$B$6,"LOW",IF(J171&gt;Config!$B$7,"EXCESS","HEALTHY")))))</f>
        <v/>
      </c>
      <c r="L171" s="11" t="n">
        <v>37</v>
      </c>
      <c r="M171" s="11" t="n">
        <v>47</v>
      </c>
      <c r="N171" s="11">
        <f>H171*L171</f>
        <v/>
      </c>
      <c r="O171" s="11">
        <f>IF(I171&gt;0,I171*(M171-L171),0)</f>
        <v/>
      </c>
      <c r="P171" s="11" t="n">
        <v>1392</v>
      </c>
    </row>
    <row r="172">
      <c r="A172" s="4" t="inlineStr">
        <is>
          <t>WH02</t>
        </is>
      </c>
      <c r="B172" s="4" t="inlineStr">
        <is>
          <t>Jaipur DC</t>
        </is>
      </c>
      <c r="C172" s="4" t="inlineStr">
        <is>
          <t>North</t>
        </is>
      </c>
      <c r="D172" s="4" t="inlineStr">
        <is>
          <t>SKU048</t>
        </is>
      </c>
      <c r="E172" s="4" t="inlineStr">
        <is>
          <t>Toothpaste 150g</t>
        </is>
      </c>
      <c r="F172" s="4" t="inlineStr">
        <is>
          <t>Personal Care</t>
        </is>
      </c>
      <c r="G172" s="4" t="inlineStr">
        <is>
          <t>C</t>
        </is>
      </c>
      <c r="H172" s="11" t="n">
        <v>46</v>
      </c>
      <c r="I172" s="4" t="n">
        <v>338.25</v>
      </c>
      <c r="J172" s="13">
        <f>IF(I172&gt;0,H172/I172,"")</f>
        <v/>
      </c>
      <c r="K172" s="4">
        <f>IF(I172&lt;=0,"NO DEMAND",IF(H172=0,"STOCKOUT",IF(J172&lt;Config!$B$5,"CRITICAL",IF(J172&lt;Config!$B$6,"LOW",IF(J172&gt;Config!$B$7,"EXCESS","HEALTHY")))))</f>
        <v/>
      </c>
      <c r="L172" s="11" t="n">
        <v>51</v>
      </c>
      <c r="M172" s="11" t="n">
        <v>67</v>
      </c>
      <c r="N172" s="11">
        <f>H172*L172</f>
        <v/>
      </c>
      <c r="O172" s="11">
        <f>IF(I172&gt;0,I172*(M172-L172),0)</f>
        <v/>
      </c>
      <c r="P172" s="11" t="n">
        <v>1200</v>
      </c>
    </row>
    <row r="173">
      <c r="A173" s="4" t="inlineStr">
        <is>
          <t>WH02</t>
        </is>
      </c>
      <c r="B173" s="4" t="inlineStr">
        <is>
          <t>Jaipur DC</t>
        </is>
      </c>
      <c r="C173" s="4" t="inlineStr">
        <is>
          <t>North</t>
        </is>
      </c>
      <c r="D173" s="4" t="inlineStr">
        <is>
          <t>SKU049</t>
        </is>
      </c>
      <c r="E173" s="4" t="inlineStr">
        <is>
          <t>Face Wash 100ml</t>
        </is>
      </c>
      <c r="F173" s="4" t="inlineStr">
        <is>
          <t>Personal Care</t>
        </is>
      </c>
      <c r="G173" s="4" t="inlineStr">
        <is>
          <t>C</t>
        </is>
      </c>
      <c r="H173" s="11" t="n">
        <v>469</v>
      </c>
      <c r="I173" s="4" t="n">
        <v>205</v>
      </c>
      <c r="J173" s="13">
        <f>IF(I173&gt;0,H173/I173,"")</f>
        <v/>
      </c>
      <c r="K173" s="4">
        <f>IF(I173&lt;=0,"NO DEMAND",IF(H173=0,"STOCKOUT",IF(J173&lt;Config!$B$5,"CRITICAL",IF(J173&lt;Config!$B$6,"LOW",IF(J173&gt;Config!$B$7,"EXCESS","HEALTHY")))))</f>
        <v/>
      </c>
      <c r="L173" s="11" t="n">
        <v>32</v>
      </c>
      <c r="M173" s="11" t="n">
        <v>41</v>
      </c>
      <c r="N173" s="11">
        <f>H173*L173</f>
        <v/>
      </c>
      <c r="O173" s="11">
        <f>IF(I173&gt;0,I173*(M173-L173),0)</f>
        <v/>
      </c>
      <c r="P173" s="11" t="n">
        <v>0</v>
      </c>
    </row>
    <row r="174">
      <c r="A174" s="4" t="inlineStr">
        <is>
          <t>WH02</t>
        </is>
      </c>
      <c r="B174" s="4" t="inlineStr">
        <is>
          <t>Jaipur DC</t>
        </is>
      </c>
      <c r="C174" s="4" t="inlineStr">
        <is>
          <t>North</t>
        </is>
      </c>
      <c r="D174" s="4" t="inlineStr">
        <is>
          <t>SKU050</t>
        </is>
      </c>
      <c r="E174" s="4" t="inlineStr">
        <is>
          <t>Body Lotion 400ml</t>
        </is>
      </c>
      <c r="F174" s="4" t="inlineStr">
        <is>
          <t>Personal Care</t>
        </is>
      </c>
      <c r="G174" s="4" t="inlineStr">
        <is>
          <t>B</t>
        </is>
      </c>
      <c r="H174" s="11" t="n">
        <v>139</v>
      </c>
      <c r="I174" s="4" t="n">
        <v>219</v>
      </c>
      <c r="J174" s="13">
        <f>IF(I174&gt;0,H174/I174,"")</f>
        <v/>
      </c>
      <c r="K174" s="4">
        <f>IF(I174&lt;=0,"NO DEMAND",IF(H174=0,"STOCKOUT",IF(J174&lt;Config!$B$5,"CRITICAL",IF(J174&lt;Config!$B$6,"LOW",IF(J174&gt;Config!$B$7,"EXCESS","HEALTHY")))))</f>
        <v/>
      </c>
      <c r="L174" s="11" t="n">
        <v>138</v>
      </c>
      <c r="M174" s="11" t="n">
        <v>175</v>
      </c>
      <c r="N174" s="11">
        <f>H174*L174</f>
        <v/>
      </c>
      <c r="O174" s="11">
        <f>IF(I174&gt;0,I174*(M174-L174),0)</f>
        <v/>
      </c>
      <c r="P174" s="11" t="n">
        <v>936</v>
      </c>
    </row>
    <row r="175">
      <c r="A175" s="4" t="inlineStr">
        <is>
          <t>WH02</t>
        </is>
      </c>
      <c r="B175" s="4" t="inlineStr">
        <is>
          <t>Jaipur DC</t>
        </is>
      </c>
      <c r="C175" s="4" t="inlineStr">
        <is>
          <t>North</t>
        </is>
      </c>
      <c r="D175" s="4" t="inlineStr">
        <is>
          <t>SKU051</t>
        </is>
      </c>
      <c r="E175" s="4" t="inlineStr">
        <is>
          <t>Hair Oil 200ml</t>
        </is>
      </c>
      <c r="F175" s="4" t="inlineStr">
        <is>
          <t>Personal Care</t>
        </is>
      </c>
      <c r="G175" s="4" t="inlineStr">
        <is>
          <t>B</t>
        </is>
      </c>
      <c r="H175" s="11" t="n">
        <v>678</v>
      </c>
      <c r="I175" s="4" t="n">
        <v>144.5</v>
      </c>
      <c r="J175" s="13">
        <f>IF(I175&gt;0,H175/I175,"")</f>
        <v/>
      </c>
      <c r="K175" s="4">
        <f>IF(I175&lt;=0,"NO DEMAND",IF(H175=0,"STOCKOUT",IF(J175&lt;Config!$B$5,"CRITICAL",IF(J175&lt;Config!$B$6,"LOW",IF(J175&gt;Config!$B$7,"EXCESS","HEALTHY")))))</f>
        <v/>
      </c>
      <c r="L175" s="11" t="n">
        <v>156</v>
      </c>
      <c r="M175" s="11" t="n">
        <v>203</v>
      </c>
      <c r="N175" s="11">
        <f>H175*L175</f>
        <v/>
      </c>
      <c r="O175" s="11">
        <f>IF(I175&gt;0,I175*(M175-L175),0)</f>
        <v/>
      </c>
      <c r="P175" s="11" t="n">
        <v>0</v>
      </c>
    </row>
    <row r="176">
      <c r="A176" s="4" t="inlineStr">
        <is>
          <t>WH02</t>
        </is>
      </c>
      <c r="B176" s="4" t="inlineStr">
        <is>
          <t>Jaipur DC</t>
        </is>
      </c>
      <c r="C176" s="4" t="inlineStr">
        <is>
          <t>North</t>
        </is>
      </c>
      <c r="D176" s="4" t="inlineStr">
        <is>
          <t>SKU052</t>
        </is>
      </c>
      <c r="E176" s="4" t="inlineStr">
        <is>
          <t>Deodorant 150ml</t>
        </is>
      </c>
      <c r="F176" s="4" t="inlineStr">
        <is>
          <t>Personal Care</t>
        </is>
      </c>
      <c r="G176" s="4" t="inlineStr">
        <is>
          <t>B</t>
        </is>
      </c>
      <c r="H176" s="11" t="n">
        <v>814</v>
      </c>
      <c r="I176" s="4" t="n">
        <v>317</v>
      </c>
      <c r="J176" s="13">
        <f>IF(I176&gt;0,H176/I176,"")</f>
        <v/>
      </c>
      <c r="K176" s="4">
        <f>IF(I176&lt;=0,"NO DEMAND",IF(H176=0,"STOCKOUT",IF(J176&lt;Config!$B$5,"CRITICAL",IF(J176&lt;Config!$B$6,"LOW",IF(J176&gt;Config!$B$7,"EXCESS","HEALTHY")))))</f>
        <v/>
      </c>
      <c r="L176" s="11" t="n">
        <v>133</v>
      </c>
      <c r="M176" s="11" t="n">
        <v>179</v>
      </c>
      <c r="N176" s="11">
        <f>H176*L176</f>
        <v/>
      </c>
      <c r="O176" s="11">
        <f>IF(I176&gt;0,I176*(M176-L176),0)</f>
        <v/>
      </c>
      <c r="P176" s="11" t="n">
        <v>0</v>
      </c>
    </row>
    <row r="177">
      <c r="A177" s="4" t="inlineStr">
        <is>
          <t>WH02</t>
        </is>
      </c>
      <c r="B177" s="4" t="inlineStr">
        <is>
          <t>Jaipur DC</t>
        </is>
      </c>
      <c r="C177" s="4" t="inlineStr">
        <is>
          <t>North</t>
        </is>
      </c>
      <c r="D177" s="4" t="inlineStr">
        <is>
          <t>SKU053</t>
        </is>
      </c>
      <c r="E177" s="4" t="inlineStr">
        <is>
          <t>Sanitary Pads 20pk</t>
        </is>
      </c>
      <c r="F177" s="4" t="inlineStr">
        <is>
          <t>Personal Care</t>
        </is>
      </c>
      <c r="G177" s="4" t="inlineStr">
        <is>
          <t>C</t>
        </is>
      </c>
      <c r="H177" s="11" t="n">
        <v>265</v>
      </c>
      <c r="I177" s="4" t="n">
        <v>253</v>
      </c>
      <c r="J177" s="13">
        <f>IF(I177&gt;0,H177/I177,"")</f>
        <v/>
      </c>
      <c r="K177" s="4">
        <f>IF(I177&lt;=0,"NO DEMAND",IF(H177=0,"STOCKOUT",IF(J177&lt;Config!$B$5,"CRITICAL",IF(J177&lt;Config!$B$6,"LOW",IF(J177&gt;Config!$B$7,"EXCESS","HEALTHY")))))</f>
        <v/>
      </c>
      <c r="L177" s="11" t="n">
        <v>31</v>
      </c>
      <c r="M177" s="11" t="n">
        <v>39</v>
      </c>
      <c r="N177" s="11">
        <f>H177*L177</f>
        <v/>
      </c>
      <c r="O177" s="11">
        <f>IF(I177&gt;0,I177*(M177-L177),0)</f>
        <v/>
      </c>
      <c r="P177" s="11" t="n">
        <v>1368</v>
      </c>
    </row>
    <row r="178">
      <c r="A178" s="4" t="inlineStr">
        <is>
          <t>WH02</t>
        </is>
      </c>
      <c r="B178" s="4" t="inlineStr">
        <is>
          <t>Jaipur DC</t>
        </is>
      </c>
      <c r="C178" s="4" t="inlineStr">
        <is>
          <t>North</t>
        </is>
      </c>
      <c r="D178" s="4" t="inlineStr">
        <is>
          <t>SKU054</t>
        </is>
      </c>
      <c r="E178" s="4" t="inlineStr">
        <is>
          <t>Razor 5pk</t>
        </is>
      </c>
      <c r="F178" s="4" t="inlineStr">
        <is>
          <t>Personal Care</t>
        </is>
      </c>
      <c r="G178" s="4" t="inlineStr">
        <is>
          <t>B</t>
        </is>
      </c>
      <c r="H178" s="11" t="n">
        <v>929</v>
      </c>
      <c r="I178" s="4" t="n">
        <v>201.5</v>
      </c>
      <c r="J178" s="13">
        <f>IF(I178&gt;0,H178/I178,"")</f>
        <v/>
      </c>
      <c r="K178" s="4">
        <f>IF(I178&lt;=0,"NO DEMAND",IF(H178=0,"STOCKOUT",IF(J178&lt;Config!$B$5,"CRITICAL",IF(J178&lt;Config!$B$6,"LOW",IF(J178&gt;Config!$B$7,"EXCESS","HEALTHY")))))</f>
        <v/>
      </c>
      <c r="L178" s="11" t="n">
        <v>106</v>
      </c>
      <c r="M178" s="11" t="n">
        <v>137</v>
      </c>
      <c r="N178" s="11">
        <f>H178*L178</f>
        <v/>
      </c>
      <c r="O178" s="11">
        <f>IF(I178&gt;0,I178*(M178-L178),0)</f>
        <v/>
      </c>
      <c r="P178" s="11" t="n">
        <v>0</v>
      </c>
    </row>
    <row r="179">
      <c r="A179" s="4" t="inlineStr">
        <is>
          <t>WH02</t>
        </is>
      </c>
      <c r="B179" s="4" t="inlineStr">
        <is>
          <t>Jaipur DC</t>
        </is>
      </c>
      <c r="C179" s="4" t="inlineStr">
        <is>
          <t>North</t>
        </is>
      </c>
      <c r="D179" s="4" t="inlineStr">
        <is>
          <t>SKU055</t>
        </is>
      </c>
      <c r="E179" s="4" t="inlineStr">
        <is>
          <t>Talc 300g</t>
        </is>
      </c>
      <c r="F179" s="4" t="inlineStr">
        <is>
          <t>Personal Care</t>
        </is>
      </c>
      <c r="G179" s="4" t="inlineStr">
        <is>
          <t>B</t>
        </is>
      </c>
      <c r="H179" s="11" t="n">
        <v>1207</v>
      </c>
      <c r="I179" s="4" t="n">
        <v>461</v>
      </c>
      <c r="J179" s="13">
        <f>IF(I179&gt;0,H179/I179,"")</f>
        <v/>
      </c>
      <c r="K179" s="4">
        <f>IF(I179&lt;=0,"NO DEMAND",IF(H179=0,"STOCKOUT",IF(J179&lt;Config!$B$5,"CRITICAL",IF(J179&lt;Config!$B$6,"LOW",IF(J179&gt;Config!$B$7,"EXCESS","HEALTHY")))))</f>
        <v/>
      </c>
      <c r="L179" s="11" t="n">
        <v>77</v>
      </c>
      <c r="M179" s="11" t="n">
        <v>100</v>
      </c>
      <c r="N179" s="11">
        <f>H179*L179</f>
        <v/>
      </c>
      <c r="O179" s="11">
        <f>IF(I179&gt;0,I179*(M179-L179),0)</f>
        <v/>
      </c>
      <c r="P179" s="11" t="n">
        <v>0</v>
      </c>
    </row>
    <row r="180">
      <c r="A180" s="4" t="inlineStr">
        <is>
          <t>WH02</t>
        </is>
      </c>
      <c r="B180" s="4" t="inlineStr">
        <is>
          <t>Jaipur DC</t>
        </is>
      </c>
      <c r="C180" s="4" t="inlineStr">
        <is>
          <t>North</t>
        </is>
      </c>
      <c r="D180" s="4" t="inlineStr">
        <is>
          <t>SKU056</t>
        </is>
      </c>
      <c r="E180" s="4" t="inlineStr">
        <is>
          <t>Sunscreen 50g</t>
        </is>
      </c>
      <c r="F180" s="4" t="inlineStr">
        <is>
          <t>Personal Care</t>
        </is>
      </c>
      <c r="G180" s="4" t="inlineStr">
        <is>
          <t>A</t>
        </is>
      </c>
      <c r="H180" s="11" t="n">
        <v>638</v>
      </c>
      <c r="I180" s="4" t="n">
        <v>180</v>
      </c>
      <c r="J180" s="13">
        <f>IF(I180&gt;0,H180/I180,"")</f>
        <v/>
      </c>
      <c r="K180" s="4">
        <f>IF(I180&lt;=0,"NO DEMAND",IF(H180=0,"STOCKOUT",IF(J180&lt;Config!$B$5,"CRITICAL",IF(J180&lt;Config!$B$6,"LOW",IF(J180&gt;Config!$B$7,"EXCESS","HEALTHY")))))</f>
        <v/>
      </c>
      <c r="L180" s="11" t="n">
        <v>393</v>
      </c>
      <c r="M180" s="11" t="n">
        <v>510</v>
      </c>
      <c r="N180" s="11">
        <f>H180*L180</f>
        <v/>
      </c>
      <c r="O180" s="11">
        <f>IF(I180&gt;0,I180*(M180-L180),0)</f>
        <v/>
      </c>
      <c r="P180" s="11" t="n">
        <v>0</v>
      </c>
    </row>
    <row r="181">
      <c r="A181" s="4" t="inlineStr">
        <is>
          <t>WH02</t>
        </is>
      </c>
      <c r="B181" s="4" t="inlineStr">
        <is>
          <t>Jaipur DC</t>
        </is>
      </c>
      <c r="C181" s="4" t="inlineStr">
        <is>
          <t>North</t>
        </is>
      </c>
      <c r="D181" s="4" t="inlineStr">
        <is>
          <t>SKU057</t>
        </is>
      </c>
      <c r="E181" s="4" t="inlineStr">
        <is>
          <t>Hand Wash 250ml</t>
        </is>
      </c>
      <c r="F181" s="4" t="inlineStr">
        <is>
          <t>Personal Care</t>
        </is>
      </c>
      <c r="G181" s="4" t="inlineStr">
        <is>
          <t>C</t>
        </is>
      </c>
      <c r="H181" s="11" t="n">
        <v>321</v>
      </c>
      <c r="I181" s="4" t="n">
        <v>145.5</v>
      </c>
      <c r="J181" s="13">
        <f>IF(I181&gt;0,H181/I181,"")</f>
        <v/>
      </c>
      <c r="K181" s="4">
        <f>IF(I181&lt;=0,"NO DEMAND",IF(H181=0,"STOCKOUT",IF(J181&lt;Config!$B$5,"CRITICAL",IF(J181&lt;Config!$B$6,"LOW",IF(J181&gt;Config!$B$7,"EXCESS","HEALTHY")))))</f>
        <v/>
      </c>
      <c r="L181" s="11" t="n">
        <v>108</v>
      </c>
      <c r="M181" s="11" t="n">
        <v>136</v>
      </c>
      <c r="N181" s="11">
        <f>H181*L181</f>
        <v/>
      </c>
      <c r="O181" s="11">
        <f>IF(I181&gt;0,I181*(M181-L181),0)</f>
        <v/>
      </c>
      <c r="P181" s="11" t="n">
        <v>0</v>
      </c>
    </row>
    <row r="182">
      <c r="A182" s="4" t="inlineStr">
        <is>
          <t>WH02</t>
        </is>
      </c>
      <c r="B182" s="4" t="inlineStr">
        <is>
          <t>Jaipur DC</t>
        </is>
      </c>
      <c r="C182" s="4" t="inlineStr">
        <is>
          <t>North</t>
        </is>
      </c>
      <c r="D182" s="4" t="inlineStr">
        <is>
          <t>SKU058</t>
        </is>
      </c>
      <c r="E182" s="4" t="inlineStr">
        <is>
          <t>Kajal Pack</t>
        </is>
      </c>
      <c r="F182" s="4" t="inlineStr">
        <is>
          <t>Personal Care</t>
        </is>
      </c>
      <c r="G182" s="4" t="inlineStr">
        <is>
          <t>A</t>
        </is>
      </c>
      <c r="H182" s="11" t="n">
        <v>412</v>
      </c>
      <c r="I182" s="4" t="n">
        <v>176</v>
      </c>
      <c r="J182" s="13">
        <f>IF(I182&gt;0,H182/I182,"")</f>
        <v/>
      </c>
      <c r="K182" s="4">
        <f>IF(I182&lt;=0,"NO DEMAND",IF(H182=0,"STOCKOUT",IF(J182&lt;Config!$B$5,"CRITICAL",IF(J182&lt;Config!$B$6,"LOW",IF(J182&gt;Config!$B$7,"EXCESS","HEALTHY")))))</f>
        <v/>
      </c>
      <c r="L182" s="11" t="n">
        <v>392</v>
      </c>
      <c r="M182" s="11" t="n">
        <v>498</v>
      </c>
      <c r="N182" s="11">
        <f>H182*L182</f>
        <v/>
      </c>
      <c r="O182" s="11">
        <f>IF(I182&gt;0,I182*(M182-L182),0)</f>
        <v/>
      </c>
      <c r="P182" s="11" t="n">
        <v>0</v>
      </c>
    </row>
    <row r="183">
      <c r="A183" s="4" t="inlineStr">
        <is>
          <t>WH02</t>
        </is>
      </c>
      <c r="B183" s="4" t="inlineStr">
        <is>
          <t>Jaipur DC</t>
        </is>
      </c>
      <c r="C183" s="4" t="inlineStr">
        <is>
          <t>North</t>
        </is>
      </c>
      <c r="D183" s="4" t="inlineStr">
        <is>
          <t>SKU059</t>
        </is>
      </c>
      <c r="E183" s="4" t="inlineStr">
        <is>
          <t>Lip Balm</t>
        </is>
      </c>
      <c r="F183" s="4" t="inlineStr">
        <is>
          <t>Personal Care</t>
        </is>
      </c>
      <c r="G183" s="4" t="inlineStr">
        <is>
          <t>B</t>
        </is>
      </c>
      <c r="H183" s="11" t="n">
        <v>378</v>
      </c>
      <c r="I183" s="4" t="n">
        <v>331.75</v>
      </c>
      <c r="J183" s="13">
        <f>IF(I183&gt;0,H183/I183,"")</f>
        <v/>
      </c>
      <c r="K183" s="4">
        <f>IF(I183&lt;=0,"NO DEMAND",IF(H183=0,"STOCKOUT",IF(J183&lt;Config!$B$5,"CRITICAL",IF(J183&lt;Config!$B$6,"LOW",IF(J183&gt;Config!$B$7,"EXCESS","HEALTHY")))))</f>
        <v/>
      </c>
      <c r="L183" s="11" t="n">
        <v>150</v>
      </c>
      <c r="M183" s="11" t="n">
        <v>198</v>
      </c>
      <c r="N183" s="11">
        <f>H183*L183</f>
        <v/>
      </c>
      <c r="O183" s="11">
        <f>IF(I183&gt;0,I183*(M183-L183),0)</f>
        <v/>
      </c>
      <c r="P183" s="11" t="n">
        <v>0</v>
      </c>
    </row>
    <row r="184">
      <c r="A184" s="4" t="inlineStr">
        <is>
          <t>WH02</t>
        </is>
      </c>
      <c r="B184" s="4" t="inlineStr">
        <is>
          <t>Jaipur DC</t>
        </is>
      </c>
      <c r="C184" s="4" t="inlineStr">
        <is>
          <t>North</t>
        </is>
      </c>
      <c r="D184" s="4" t="inlineStr">
        <is>
          <t>SKU060</t>
        </is>
      </c>
      <c r="E184" s="4" t="inlineStr">
        <is>
          <t>Mouthwash 250ml</t>
        </is>
      </c>
      <c r="F184" s="4" t="inlineStr">
        <is>
          <t>Personal Care</t>
        </is>
      </c>
      <c r="G184" s="4" t="inlineStr">
        <is>
          <t>A</t>
        </is>
      </c>
      <c r="H184" s="11" t="n">
        <v>1452</v>
      </c>
      <c r="I184" s="4" t="n">
        <v>275.25</v>
      </c>
      <c r="J184" s="13">
        <f>IF(I184&gt;0,H184/I184,"")</f>
        <v/>
      </c>
      <c r="K184" s="4">
        <f>IF(I184&lt;=0,"NO DEMAND",IF(H184=0,"STOCKOUT",IF(J184&lt;Config!$B$5,"CRITICAL",IF(J184&lt;Config!$B$6,"LOW",IF(J184&gt;Config!$B$7,"EXCESS","HEALTHY")))))</f>
        <v/>
      </c>
      <c r="L184" s="11" t="n">
        <v>376</v>
      </c>
      <c r="M184" s="11" t="n">
        <v>491</v>
      </c>
      <c r="N184" s="11">
        <f>H184*L184</f>
        <v/>
      </c>
      <c r="O184" s="11">
        <f>IF(I184&gt;0,I184*(M184-L184),0)</f>
        <v/>
      </c>
      <c r="P184" s="11" t="n">
        <v>0</v>
      </c>
    </row>
    <row r="185">
      <c r="A185" s="4" t="inlineStr">
        <is>
          <t>WH02</t>
        </is>
      </c>
      <c r="B185" s="4" t="inlineStr">
        <is>
          <t>Jaipur DC</t>
        </is>
      </c>
      <c r="C185" s="4" t="inlineStr">
        <is>
          <t>North</t>
        </is>
      </c>
      <c r="D185" s="4" t="inlineStr">
        <is>
          <t>SKU061</t>
        </is>
      </c>
      <c r="E185" s="4" t="inlineStr">
        <is>
          <t>Detergent Powder 2kg</t>
        </is>
      </c>
      <c r="F185" s="4" t="inlineStr">
        <is>
          <t>Home Care</t>
        </is>
      </c>
      <c r="G185" s="4" t="inlineStr">
        <is>
          <t>B</t>
        </is>
      </c>
      <c r="H185" s="11" t="n">
        <v>635</v>
      </c>
      <c r="I185" s="4" t="n">
        <v>246.5</v>
      </c>
      <c r="J185" s="13">
        <f>IF(I185&gt;0,H185/I185,"")</f>
        <v/>
      </c>
      <c r="K185" s="4">
        <f>IF(I185&lt;=0,"NO DEMAND",IF(H185=0,"STOCKOUT",IF(J185&lt;Config!$B$5,"CRITICAL",IF(J185&lt;Config!$B$6,"LOW",IF(J185&gt;Config!$B$7,"EXCESS","HEALTHY")))))</f>
        <v/>
      </c>
      <c r="L185" s="11" t="n">
        <v>104</v>
      </c>
      <c r="M185" s="11" t="n">
        <v>132</v>
      </c>
      <c r="N185" s="11">
        <f>H185*L185</f>
        <v/>
      </c>
      <c r="O185" s="11">
        <f>IF(I185&gt;0,I185*(M185-L185),0)</f>
        <v/>
      </c>
      <c r="P185" s="11" t="n">
        <v>0</v>
      </c>
    </row>
    <row r="186">
      <c r="A186" s="4" t="inlineStr">
        <is>
          <t>WH02</t>
        </is>
      </c>
      <c r="B186" s="4" t="inlineStr">
        <is>
          <t>Jaipur DC</t>
        </is>
      </c>
      <c r="C186" s="4" t="inlineStr">
        <is>
          <t>North</t>
        </is>
      </c>
      <c r="D186" s="4" t="inlineStr">
        <is>
          <t>SKU062</t>
        </is>
      </c>
      <c r="E186" s="4" t="inlineStr">
        <is>
          <t>Dishwash Liquid 750ml</t>
        </is>
      </c>
      <c r="F186" s="4" t="inlineStr">
        <is>
          <t>Home Care</t>
        </is>
      </c>
      <c r="G186" s="4" t="inlineStr">
        <is>
          <t>A</t>
        </is>
      </c>
      <c r="H186" s="11" t="n">
        <v>868</v>
      </c>
      <c r="I186" s="4" t="n">
        <v>349.25</v>
      </c>
      <c r="J186" s="13">
        <f>IF(I186&gt;0,H186/I186,"")</f>
        <v/>
      </c>
      <c r="K186" s="4">
        <f>IF(I186&lt;=0,"NO DEMAND",IF(H186=0,"STOCKOUT",IF(J186&lt;Config!$B$5,"CRITICAL",IF(J186&lt;Config!$B$6,"LOW",IF(J186&gt;Config!$B$7,"EXCESS","HEALTHY")))))</f>
        <v/>
      </c>
      <c r="L186" s="11" t="n">
        <v>122</v>
      </c>
      <c r="M186" s="11" t="n">
        <v>148</v>
      </c>
      <c r="N186" s="11">
        <f>H186*L186</f>
        <v/>
      </c>
      <c r="O186" s="11">
        <f>IF(I186&gt;0,I186*(M186-L186),0)</f>
        <v/>
      </c>
      <c r="P186" s="11" t="n">
        <v>0</v>
      </c>
    </row>
    <row r="187">
      <c r="A187" s="4" t="inlineStr">
        <is>
          <t>WH02</t>
        </is>
      </c>
      <c r="B187" s="4" t="inlineStr">
        <is>
          <t>Jaipur DC</t>
        </is>
      </c>
      <c r="C187" s="4" t="inlineStr">
        <is>
          <t>North</t>
        </is>
      </c>
      <c r="D187" s="4" t="inlineStr">
        <is>
          <t>SKU063</t>
        </is>
      </c>
      <c r="E187" s="4" t="inlineStr">
        <is>
          <t>Floor Cleaner 1L</t>
        </is>
      </c>
      <c r="F187" s="4" t="inlineStr">
        <is>
          <t>Home Care</t>
        </is>
      </c>
      <c r="G187" s="4" t="inlineStr">
        <is>
          <t>C</t>
        </is>
      </c>
      <c r="H187" s="11" t="n">
        <v>1062</v>
      </c>
      <c r="I187" s="4" t="n">
        <v>102.5</v>
      </c>
      <c r="J187" s="13">
        <f>IF(I187&gt;0,H187/I187,"")</f>
        <v/>
      </c>
      <c r="K187" s="4">
        <f>IF(I187&lt;=0,"NO DEMAND",IF(H187=0,"STOCKOUT",IF(J187&lt;Config!$B$5,"CRITICAL",IF(J187&lt;Config!$B$6,"LOW",IF(J187&gt;Config!$B$7,"EXCESS","HEALTHY")))))</f>
        <v/>
      </c>
      <c r="L187" s="11" t="n">
        <v>44</v>
      </c>
      <c r="M187" s="11" t="n">
        <v>56</v>
      </c>
      <c r="N187" s="11">
        <f>H187*L187</f>
        <v/>
      </c>
      <c r="O187" s="11">
        <f>IF(I187&gt;0,I187*(M187-L187),0)</f>
        <v/>
      </c>
      <c r="P187" s="11" t="n">
        <v>0</v>
      </c>
    </row>
    <row r="188">
      <c r="A188" s="4" t="inlineStr">
        <is>
          <t>WH02</t>
        </is>
      </c>
      <c r="B188" s="4" t="inlineStr">
        <is>
          <t>Jaipur DC</t>
        </is>
      </c>
      <c r="C188" s="4" t="inlineStr">
        <is>
          <t>North</t>
        </is>
      </c>
      <c r="D188" s="4" t="inlineStr">
        <is>
          <t>SKU064</t>
        </is>
      </c>
      <c r="E188" s="4" t="inlineStr">
        <is>
          <t>Toilet Cleaner 500ml</t>
        </is>
      </c>
      <c r="F188" s="4" t="inlineStr">
        <is>
          <t>Home Care</t>
        </is>
      </c>
      <c r="G188" s="4" t="inlineStr">
        <is>
          <t>C</t>
        </is>
      </c>
      <c r="H188" s="11" t="n">
        <v>189</v>
      </c>
      <c r="I188" s="4" t="n">
        <v>110.75</v>
      </c>
      <c r="J188" s="13">
        <f>IF(I188&gt;0,H188/I188,"")</f>
        <v/>
      </c>
      <c r="K188" s="4">
        <f>IF(I188&lt;=0,"NO DEMAND",IF(H188=0,"STOCKOUT",IF(J188&lt;Config!$B$5,"CRITICAL",IF(J188&lt;Config!$B$6,"LOW",IF(J188&gt;Config!$B$7,"EXCESS","HEALTHY")))))</f>
        <v/>
      </c>
      <c r="L188" s="11" t="n">
        <v>102</v>
      </c>
      <c r="M188" s="11" t="n">
        <v>128</v>
      </c>
      <c r="N188" s="11">
        <f>H188*L188</f>
        <v/>
      </c>
      <c r="O188" s="11">
        <f>IF(I188&gt;0,I188*(M188-L188),0)</f>
        <v/>
      </c>
      <c r="P188" s="11" t="n">
        <v>468</v>
      </c>
    </row>
    <row r="189">
      <c r="A189" s="4" t="inlineStr">
        <is>
          <t>WH02</t>
        </is>
      </c>
      <c r="B189" s="4" t="inlineStr">
        <is>
          <t>Jaipur DC</t>
        </is>
      </c>
      <c r="C189" s="4" t="inlineStr">
        <is>
          <t>North</t>
        </is>
      </c>
      <c r="D189" s="4" t="inlineStr">
        <is>
          <t>SKU065</t>
        </is>
      </c>
      <c r="E189" s="4" t="inlineStr">
        <is>
          <t>Glass Cleaner 500ml</t>
        </is>
      </c>
      <c r="F189" s="4" t="inlineStr">
        <is>
          <t>Home Care</t>
        </is>
      </c>
      <c r="G189" s="4" t="inlineStr">
        <is>
          <t>B</t>
        </is>
      </c>
      <c r="H189" s="11" t="n">
        <v>0</v>
      </c>
      <c r="I189" s="4" t="n">
        <v>378</v>
      </c>
      <c r="J189" s="13">
        <f>IF(I189&gt;0,H189/I189,"")</f>
        <v/>
      </c>
      <c r="K189" s="4">
        <f>IF(I189&lt;=0,"NO DEMAND",IF(H189=0,"STOCKOUT",IF(J189&lt;Config!$B$5,"CRITICAL",IF(J189&lt;Config!$B$6,"LOW",IF(J189&gt;Config!$B$7,"EXCESS","HEALTHY")))))</f>
        <v/>
      </c>
      <c r="L189" s="11" t="n">
        <v>82</v>
      </c>
      <c r="M189" s="11" t="n">
        <v>102</v>
      </c>
      <c r="N189" s="11">
        <f>H189*L189</f>
        <v/>
      </c>
      <c r="O189" s="11">
        <f>IF(I189&gt;0,I189*(M189-L189),0)</f>
        <v/>
      </c>
      <c r="P189" s="11" t="n">
        <v>1512</v>
      </c>
    </row>
    <row r="190">
      <c r="A190" s="4" t="inlineStr">
        <is>
          <t>WH02</t>
        </is>
      </c>
      <c r="B190" s="4" t="inlineStr">
        <is>
          <t>Jaipur DC</t>
        </is>
      </c>
      <c r="C190" s="4" t="inlineStr">
        <is>
          <t>North</t>
        </is>
      </c>
      <c r="D190" s="4" t="inlineStr">
        <is>
          <t>SKU066</t>
        </is>
      </c>
      <c r="E190" s="4" t="inlineStr">
        <is>
          <t>Fabric Softener 1L</t>
        </is>
      </c>
      <c r="F190" s="4" t="inlineStr">
        <is>
          <t>Home Care</t>
        </is>
      </c>
      <c r="G190" s="4" t="inlineStr">
        <is>
          <t>B</t>
        </is>
      </c>
      <c r="H190" s="11" t="n">
        <v>221</v>
      </c>
      <c r="I190" s="4" t="n">
        <v>323.75</v>
      </c>
      <c r="J190" s="13">
        <f>IF(I190&gt;0,H190/I190,"")</f>
        <v/>
      </c>
      <c r="K190" s="4">
        <f>IF(I190&lt;=0,"NO DEMAND",IF(H190=0,"STOCKOUT",IF(J190&lt;Config!$B$5,"CRITICAL",IF(J190&lt;Config!$B$6,"LOW",IF(J190&gt;Config!$B$7,"EXCESS","HEALTHY")))))</f>
        <v/>
      </c>
      <c r="L190" s="11" t="n">
        <v>51</v>
      </c>
      <c r="M190" s="11" t="n">
        <v>65</v>
      </c>
      <c r="N190" s="11">
        <f>H190*L190</f>
        <v/>
      </c>
      <c r="O190" s="11">
        <f>IF(I190&gt;0,I190*(M190-L190),0)</f>
        <v/>
      </c>
      <c r="P190" s="11" t="n">
        <v>1248</v>
      </c>
    </row>
    <row r="191">
      <c r="A191" s="4" t="inlineStr">
        <is>
          <t>WH02</t>
        </is>
      </c>
      <c r="B191" s="4" t="inlineStr">
        <is>
          <t>Jaipur DC</t>
        </is>
      </c>
      <c r="C191" s="4" t="inlineStr">
        <is>
          <t>North</t>
        </is>
      </c>
      <c r="D191" s="4" t="inlineStr">
        <is>
          <t>SKU067</t>
        </is>
      </c>
      <c r="E191" s="4" t="inlineStr">
        <is>
          <t>Mosquito Coil 10pk</t>
        </is>
      </c>
      <c r="F191" s="4" t="inlineStr">
        <is>
          <t>Home Care</t>
        </is>
      </c>
      <c r="G191" s="4" t="inlineStr">
        <is>
          <t>A</t>
        </is>
      </c>
      <c r="H191" s="11" t="n">
        <v>515</v>
      </c>
      <c r="I191" s="4" t="n">
        <v>68.5</v>
      </c>
      <c r="J191" s="13">
        <f>IF(I191&gt;0,H191/I191,"")</f>
        <v/>
      </c>
      <c r="K191" s="4">
        <f>IF(I191&lt;=0,"NO DEMAND",IF(H191=0,"STOCKOUT",IF(J191&lt;Config!$B$5,"CRITICAL",IF(J191&lt;Config!$B$6,"LOW",IF(J191&gt;Config!$B$7,"EXCESS","HEALTHY")))))</f>
        <v/>
      </c>
      <c r="L191" s="11" t="n">
        <v>200</v>
      </c>
      <c r="M191" s="11" t="n">
        <v>257</v>
      </c>
      <c r="N191" s="11">
        <f>H191*L191</f>
        <v/>
      </c>
      <c r="O191" s="11">
        <f>IF(I191&gt;0,I191*(M191-L191),0)</f>
        <v/>
      </c>
      <c r="P191" s="11" t="n">
        <v>0</v>
      </c>
    </row>
    <row r="192">
      <c r="A192" s="4" t="inlineStr">
        <is>
          <t>WH02</t>
        </is>
      </c>
      <c r="B192" s="4" t="inlineStr">
        <is>
          <t>Jaipur DC</t>
        </is>
      </c>
      <c r="C192" s="4" t="inlineStr">
        <is>
          <t>North</t>
        </is>
      </c>
      <c r="D192" s="4" t="inlineStr">
        <is>
          <t>SKU068</t>
        </is>
      </c>
      <c r="E192" s="4" t="inlineStr">
        <is>
          <t>Air Freshener 250ml</t>
        </is>
      </c>
      <c r="F192" s="4" t="inlineStr">
        <is>
          <t>Home Care</t>
        </is>
      </c>
      <c r="G192" s="4" t="inlineStr">
        <is>
          <t>A</t>
        </is>
      </c>
      <c r="H192" s="11" t="n">
        <v>1581</v>
      </c>
      <c r="I192" s="4" t="n">
        <v>584.75</v>
      </c>
      <c r="J192" s="13">
        <f>IF(I192&gt;0,H192/I192,"")</f>
        <v/>
      </c>
      <c r="K192" s="4">
        <f>IF(I192&lt;=0,"NO DEMAND",IF(H192=0,"STOCKOUT",IF(J192&lt;Config!$B$5,"CRITICAL",IF(J192&lt;Config!$B$6,"LOW",IF(J192&gt;Config!$B$7,"EXCESS","HEALTHY")))))</f>
        <v/>
      </c>
      <c r="L192" s="11" t="n">
        <v>99</v>
      </c>
      <c r="M192" s="11" t="n">
        <v>123</v>
      </c>
      <c r="N192" s="11">
        <f>H192*L192</f>
        <v/>
      </c>
      <c r="O192" s="11">
        <f>IF(I192&gt;0,I192*(M192-L192),0)</f>
        <v/>
      </c>
      <c r="P192" s="11" t="n">
        <v>0</v>
      </c>
    </row>
    <row r="193">
      <c r="A193" s="4" t="inlineStr">
        <is>
          <t>WH02</t>
        </is>
      </c>
      <c r="B193" s="4" t="inlineStr">
        <is>
          <t>Jaipur DC</t>
        </is>
      </c>
      <c r="C193" s="4" t="inlineStr">
        <is>
          <t>North</t>
        </is>
      </c>
      <c r="D193" s="4" t="inlineStr">
        <is>
          <t>SKU069</t>
        </is>
      </c>
      <c r="E193" s="4" t="inlineStr">
        <is>
          <t>Garbage Bags 30pk</t>
        </is>
      </c>
      <c r="F193" s="4" t="inlineStr">
        <is>
          <t>Home Care</t>
        </is>
      </c>
      <c r="G193" s="4" t="inlineStr">
        <is>
          <t>B</t>
        </is>
      </c>
      <c r="H193" s="11" t="n">
        <v>757</v>
      </c>
      <c r="I193" s="4" t="n">
        <v>195.25</v>
      </c>
      <c r="J193" s="13">
        <f>IF(I193&gt;0,H193/I193,"")</f>
        <v/>
      </c>
      <c r="K193" s="4">
        <f>IF(I193&lt;=0,"NO DEMAND",IF(H193=0,"STOCKOUT",IF(J193&lt;Config!$B$5,"CRITICAL",IF(J193&lt;Config!$B$6,"LOW",IF(J193&gt;Config!$B$7,"EXCESS","HEALTHY")))))</f>
        <v/>
      </c>
      <c r="L193" s="11" t="n">
        <v>202</v>
      </c>
      <c r="M193" s="11" t="n">
        <v>252</v>
      </c>
      <c r="N193" s="11">
        <f>H193*L193</f>
        <v/>
      </c>
      <c r="O193" s="11">
        <f>IF(I193&gt;0,I193*(M193-L193),0)</f>
        <v/>
      </c>
      <c r="P193" s="11" t="n">
        <v>0</v>
      </c>
    </row>
    <row r="194">
      <c r="A194" s="4" t="inlineStr">
        <is>
          <t>WH02</t>
        </is>
      </c>
      <c r="B194" s="4" t="inlineStr">
        <is>
          <t>Jaipur DC</t>
        </is>
      </c>
      <c r="C194" s="4" t="inlineStr">
        <is>
          <t>North</t>
        </is>
      </c>
      <c r="D194" s="4" t="inlineStr">
        <is>
          <t>SKU070</t>
        </is>
      </c>
      <c r="E194" s="4" t="inlineStr">
        <is>
          <t>Scrub Pad 3pk</t>
        </is>
      </c>
      <c r="F194" s="4" t="inlineStr">
        <is>
          <t>Home Care</t>
        </is>
      </c>
      <c r="G194" s="4" t="inlineStr">
        <is>
          <t>A</t>
        </is>
      </c>
      <c r="H194" s="11" t="n">
        <v>1069</v>
      </c>
      <c r="I194" s="4" t="n">
        <v>80.25</v>
      </c>
      <c r="J194" s="13">
        <f>IF(I194&gt;0,H194/I194,"")</f>
        <v/>
      </c>
      <c r="K194" s="4">
        <f>IF(I194&lt;=0,"NO DEMAND",IF(H194=0,"STOCKOUT",IF(J194&lt;Config!$B$5,"CRITICAL",IF(J194&lt;Config!$B$6,"LOW",IF(J194&gt;Config!$B$7,"EXCESS","HEALTHY")))))</f>
        <v/>
      </c>
      <c r="L194" s="11" t="n">
        <v>121</v>
      </c>
      <c r="M194" s="11" t="n">
        <v>153</v>
      </c>
      <c r="N194" s="11">
        <f>H194*L194</f>
        <v/>
      </c>
      <c r="O194" s="11">
        <f>IF(I194&gt;0,I194*(M194-L194),0)</f>
        <v/>
      </c>
      <c r="P194" s="11" t="n">
        <v>0</v>
      </c>
    </row>
    <row r="195">
      <c r="A195" s="4" t="inlineStr">
        <is>
          <t>WH02</t>
        </is>
      </c>
      <c r="B195" s="4" t="inlineStr">
        <is>
          <t>Jaipur DC</t>
        </is>
      </c>
      <c r="C195" s="4" t="inlineStr">
        <is>
          <t>North</t>
        </is>
      </c>
      <c r="D195" s="4" t="inlineStr">
        <is>
          <t>SKU071</t>
        </is>
      </c>
      <c r="E195" s="4" t="inlineStr">
        <is>
          <t>Bleach 500ml</t>
        </is>
      </c>
      <c r="F195" s="4" t="inlineStr">
        <is>
          <t>Home Care</t>
        </is>
      </c>
      <c r="G195" s="4" t="inlineStr">
        <is>
          <t>C</t>
        </is>
      </c>
      <c r="H195" s="11" t="n">
        <v>928</v>
      </c>
      <c r="I195" s="4" t="n">
        <v>195.75</v>
      </c>
      <c r="J195" s="13">
        <f>IF(I195&gt;0,H195/I195,"")</f>
        <v/>
      </c>
      <c r="K195" s="4">
        <f>IF(I195&lt;=0,"NO DEMAND",IF(H195=0,"STOCKOUT",IF(J195&lt;Config!$B$5,"CRITICAL",IF(J195&lt;Config!$B$6,"LOW",IF(J195&gt;Config!$B$7,"EXCESS","HEALTHY")))))</f>
        <v/>
      </c>
      <c r="L195" s="11" t="n">
        <v>41</v>
      </c>
      <c r="M195" s="11" t="n">
        <v>51</v>
      </c>
      <c r="N195" s="11">
        <f>H195*L195</f>
        <v/>
      </c>
      <c r="O195" s="11">
        <f>IF(I195&gt;0,I195*(M195-L195),0)</f>
        <v/>
      </c>
      <c r="P195" s="11" t="n">
        <v>0</v>
      </c>
    </row>
    <row r="196">
      <c r="A196" s="4" t="inlineStr">
        <is>
          <t>WH02</t>
        </is>
      </c>
      <c r="B196" s="4" t="inlineStr">
        <is>
          <t>Jaipur DC</t>
        </is>
      </c>
      <c r="C196" s="4" t="inlineStr">
        <is>
          <t>North</t>
        </is>
      </c>
      <c r="D196" s="4" t="inlineStr">
        <is>
          <t>SKU072</t>
        </is>
      </c>
      <c r="E196" s="4" t="inlineStr">
        <is>
          <t>Phenyl 1L</t>
        </is>
      </c>
      <c r="F196" s="4" t="inlineStr">
        <is>
          <t>Home Care</t>
        </is>
      </c>
      <c r="G196" s="4" t="inlineStr">
        <is>
          <t>B</t>
        </is>
      </c>
      <c r="H196" s="11" t="n">
        <v>1116</v>
      </c>
      <c r="I196" s="4" t="n">
        <v>228.75</v>
      </c>
      <c r="J196" s="13">
        <f>IF(I196&gt;0,H196/I196,"")</f>
        <v/>
      </c>
      <c r="K196" s="4">
        <f>IF(I196&lt;=0,"NO DEMAND",IF(H196=0,"STOCKOUT",IF(J196&lt;Config!$B$5,"CRITICAL",IF(J196&lt;Config!$B$6,"LOW",IF(J196&gt;Config!$B$7,"EXCESS","HEALTHY")))))</f>
        <v/>
      </c>
      <c r="L196" s="11" t="n">
        <v>137</v>
      </c>
      <c r="M196" s="11" t="n">
        <v>170</v>
      </c>
      <c r="N196" s="11">
        <f>H196*L196</f>
        <v/>
      </c>
      <c r="O196" s="11">
        <f>IF(I196&gt;0,I196*(M196-L196),0)</f>
        <v/>
      </c>
      <c r="P196" s="11" t="n">
        <v>0</v>
      </c>
    </row>
    <row r="197">
      <c r="A197" s="4" t="inlineStr">
        <is>
          <t>WH02</t>
        </is>
      </c>
      <c r="B197" s="4" t="inlineStr">
        <is>
          <t>Jaipur DC</t>
        </is>
      </c>
      <c r="C197" s="4" t="inlineStr">
        <is>
          <t>North</t>
        </is>
      </c>
      <c r="D197" s="4" t="inlineStr">
        <is>
          <t>SKU073</t>
        </is>
      </c>
      <c r="E197" s="4" t="inlineStr">
        <is>
          <t>Agarbatti 100pk</t>
        </is>
      </c>
      <c r="F197" s="4" t="inlineStr">
        <is>
          <t>Home Care</t>
        </is>
      </c>
      <c r="G197" s="4" t="inlineStr">
        <is>
          <t>C</t>
        </is>
      </c>
      <c r="H197" s="11" t="n">
        <v>152</v>
      </c>
      <c r="I197" s="4" t="n">
        <v>276.75</v>
      </c>
      <c r="J197" s="13">
        <f>IF(I197&gt;0,H197/I197,"")</f>
        <v/>
      </c>
      <c r="K197" s="4">
        <f>IF(I197&lt;=0,"NO DEMAND",IF(H197=0,"STOCKOUT",IF(J197&lt;Config!$B$5,"CRITICAL",IF(J197&lt;Config!$B$6,"LOW",IF(J197&gt;Config!$B$7,"EXCESS","HEALTHY")))))</f>
        <v/>
      </c>
      <c r="L197" s="11" t="n">
        <v>59</v>
      </c>
      <c r="M197" s="11" t="n">
        <v>75</v>
      </c>
      <c r="N197" s="11">
        <f>H197*L197</f>
        <v/>
      </c>
      <c r="O197" s="11">
        <f>IF(I197&gt;0,I197*(M197-L197),0)</f>
        <v/>
      </c>
      <c r="P197" s="11" t="n">
        <v>1104</v>
      </c>
    </row>
    <row r="198">
      <c r="A198" s="4" t="inlineStr">
        <is>
          <t>WH02</t>
        </is>
      </c>
      <c r="B198" s="4" t="inlineStr">
        <is>
          <t>Jaipur DC</t>
        </is>
      </c>
      <c r="C198" s="4" t="inlineStr">
        <is>
          <t>North</t>
        </is>
      </c>
      <c r="D198" s="4" t="inlineStr">
        <is>
          <t>SKU074</t>
        </is>
      </c>
      <c r="E198" s="4" t="inlineStr">
        <is>
          <t>Matchbox 10pk</t>
        </is>
      </c>
      <c r="F198" s="4" t="inlineStr">
        <is>
          <t>Home Care</t>
        </is>
      </c>
      <c r="G198" s="4" t="inlineStr">
        <is>
          <t>A</t>
        </is>
      </c>
      <c r="H198" s="11" t="n">
        <v>718</v>
      </c>
      <c r="I198" s="4" t="n">
        <v>177.75</v>
      </c>
      <c r="J198" s="13">
        <f>IF(I198&gt;0,H198/I198,"")</f>
        <v/>
      </c>
      <c r="K198" s="4">
        <f>IF(I198&lt;=0,"NO DEMAND",IF(H198=0,"STOCKOUT",IF(J198&lt;Config!$B$5,"CRITICAL",IF(J198&lt;Config!$B$6,"LOW",IF(J198&gt;Config!$B$7,"EXCESS","HEALTHY")))))</f>
        <v/>
      </c>
      <c r="L198" s="11" t="n">
        <v>257</v>
      </c>
      <c r="M198" s="11" t="n">
        <v>315</v>
      </c>
      <c r="N198" s="11">
        <f>H198*L198</f>
        <v/>
      </c>
      <c r="O198" s="11">
        <f>IF(I198&gt;0,I198*(M198-L198),0)</f>
        <v/>
      </c>
      <c r="P198" s="11" t="n">
        <v>0</v>
      </c>
    </row>
    <row r="199">
      <c r="A199" s="4" t="inlineStr">
        <is>
          <t>WH02</t>
        </is>
      </c>
      <c r="B199" s="4" t="inlineStr">
        <is>
          <t>Jaipur DC</t>
        </is>
      </c>
      <c r="C199" s="4" t="inlineStr">
        <is>
          <t>North</t>
        </is>
      </c>
      <c r="D199" s="4" t="inlineStr">
        <is>
          <t>SKU075</t>
        </is>
      </c>
      <c r="E199" s="4" t="inlineStr">
        <is>
          <t>Naphthalene Balls 200g</t>
        </is>
      </c>
      <c r="F199" s="4" t="inlineStr">
        <is>
          <t>Home Care</t>
        </is>
      </c>
      <c r="G199" s="4" t="inlineStr">
        <is>
          <t>C</t>
        </is>
      </c>
      <c r="H199" s="11" t="n">
        <v>258</v>
      </c>
      <c r="I199" s="4" t="n">
        <v>336.25</v>
      </c>
      <c r="J199" s="13">
        <f>IF(I199&gt;0,H199/I199,"")</f>
        <v/>
      </c>
      <c r="K199" s="4">
        <f>IF(I199&lt;=0,"NO DEMAND",IF(H199=0,"STOCKOUT",IF(J199&lt;Config!$B$5,"CRITICAL",IF(J199&lt;Config!$B$6,"LOW",IF(J199&gt;Config!$B$7,"EXCESS","HEALTHY")))))</f>
        <v/>
      </c>
      <c r="L199" s="11" t="n">
        <v>49</v>
      </c>
      <c r="M199" s="11" t="n">
        <v>60</v>
      </c>
      <c r="N199" s="11">
        <f>H199*L199</f>
        <v/>
      </c>
      <c r="O199" s="11">
        <f>IF(I199&gt;0,I199*(M199-L199),0)</f>
        <v/>
      </c>
      <c r="P199" s="11" t="n">
        <v>1212</v>
      </c>
    </row>
    <row r="200">
      <c r="A200" s="4" t="inlineStr">
        <is>
          <t>WH02</t>
        </is>
      </c>
      <c r="B200" s="4" t="inlineStr">
        <is>
          <t>Jaipur DC</t>
        </is>
      </c>
      <c r="C200" s="4" t="inlineStr">
        <is>
          <t>North</t>
        </is>
      </c>
      <c r="D200" s="4" t="inlineStr">
        <is>
          <t>SKU076</t>
        </is>
      </c>
      <c r="E200" s="4" t="inlineStr">
        <is>
          <t>USB-C Cable 1m</t>
        </is>
      </c>
      <c r="F200" s="4" t="inlineStr">
        <is>
          <t>Electronics Accessories</t>
        </is>
      </c>
      <c r="G200" s="4" t="inlineStr">
        <is>
          <t>A</t>
        </is>
      </c>
      <c r="H200" s="11" t="n">
        <v>517</v>
      </c>
      <c r="I200" s="4" t="n">
        <v>107.75</v>
      </c>
      <c r="J200" s="13">
        <f>IF(I200&gt;0,H200/I200,"")</f>
        <v/>
      </c>
      <c r="K200" s="4">
        <f>IF(I200&lt;=0,"NO DEMAND",IF(H200=0,"STOCKOUT",IF(J200&lt;Config!$B$5,"CRITICAL",IF(J200&lt;Config!$B$6,"LOW",IF(J200&gt;Config!$B$7,"EXCESS","HEALTHY")))))</f>
        <v/>
      </c>
      <c r="L200" s="11" t="n">
        <v>441</v>
      </c>
      <c r="M200" s="11" t="n">
        <v>572</v>
      </c>
      <c r="N200" s="11">
        <f>H200*L200</f>
        <v/>
      </c>
      <c r="O200" s="11">
        <f>IF(I200&gt;0,I200*(M200-L200),0)</f>
        <v/>
      </c>
      <c r="P200" s="11" t="n">
        <v>0</v>
      </c>
    </row>
    <row r="201">
      <c r="A201" s="4" t="inlineStr">
        <is>
          <t>WH02</t>
        </is>
      </c>
      <c r="B201" s="4" t="inlineStr">
        <is>
          <t>Jaipur DC</t>
        </is>
      </c>
      <c r="C201" s="4" t="inlineStr">
        <is>
          <t>North</t>
        </is>
      </c>
      <c r="D201" s="4" t="inlineStr">
        <is>
          <t>SKU077</t>
        </is>
      </c>
      <c r="E201" s="4" t="inlineStr">
        <is>
          <t>Fast Charger 25W</t>
        </is>
      </c>
      <c r="F201" s="4" t="inlineStr">
        <is>
          <t>Electronics Accessories</t>
        </is>
      </c>
      <c r="G201" s="4" t="inlineStr">
        <is>
          <t>B</t>
        </is>
      </c>
      <c r="H201" s="11" t="n">
        <v>395</v>
      </c>
      <c r="I201" s="4" t="n">
        <v>84.25</v>
      </c>
      <c r="J201" s="13">
        <f>IF(I201&gt;0,H201/I201,"")</f>
        <v/>
      </c>
      <c r="K201" s="4">
        <f>IF(I201&lt;=0,"NO DEMAND",IF(H201=0,"STOCKOUT",IF(J201&lt;Config!$B$5,"CRITICAL",IF(J201&lt;Config!$B$6,"LOW",IF(J201&gt;Config!$B$7,"EXCESS","HEALTHY")))))</f>
        <v/>
      </c>
      <c r="L201" s="11" t="n">
        <v>364</v>
      </c>
      <c r="M201" s="11" t="n">
        <v>465</v>
      </c>
      <c r="N201" s="11">
        <f>H201*L201</f>
        <v/>
      </c>
      <c r="O201" s="11">
        <f>IF(I201&gt;0,I201*(M201-L201),0)</f>
        <v/>
      </c>
      <c r="P201" s="11" t="n">
        <v>0</v>
      </c>
    </row>
    <row r="202">
      <c r="A202" s="4" t="inlineStr">
        <is>
          <t>WH02</t>
        </is>
      </c>
      <c r="B202" s="4" t="inlineStr">
        <is>
          <t>Jaipur DC</t>
        </is>
      </c>
      <c r="C202" s="4" t="inlineStr">
        <is>
          <t>North</t>
        </is>
      </c>
      <c r="D202" s="4" t="inlineStr">
        <is>
          <t>SKU078</t>
        </is>
      </c>
      <c r="E202" s="4" t="inlineStr">
        <is>
          <t>Power Bank 10000mAh</t>
        </is>
      </c>
      <c r="F202" s="4" t="inlineStr">
        <is>
          <t>Electronics Accessories</t>
        </is>
      </c>
      <c r="G202" s="4" t="inlineStr">
        <is>
          <t>B</t>
        </is>
      </c>
      <c r="H202" s="11" t="n">
        <v>304</v>
      </c>
      <c r="I202" s="4" t="n">
        <v>57</v>
      </c>
      <c r="J202" s="13">
        <f>IF(I202&gt;0,H202/I202,"")</f>
        <v/>
      </c>
      <c r="K202" s="4">
        <f>IF(I202&lt;=0,"NO DEMAND",IF(H202=0,"STOCKOUT",IF(J202&lt;Config!$B$5,"CRITICAL",IF(J202&lt;Config!$B$6,"LOW",IF(J202&gt;Config!$B$7,"EXCESS","HEALTHY")))))</f>
        <v/>
      </c>
      <c r="L202" s="11" t="n">
        <v>359</v>
      </c>
      <c r="M202" s="11" t="n">
        <v>471</v>
      </c>
      <c r="N202" s="11">
        <f>H202*L202</f>
        <v/>
      </c>
      <c r="O202" s="11">
        <f>IF(I202&gt;0,I202*(M202-L202),0)</f>
        <v/>
      </c>
      <c r="P202" s="11" t="n">
        <v>0</v>
      </c>
    </row>
    <row r="203">
      <c r="A203" s="4" t="inlineStr">
        <is>
          <t>WH02</t>
        </is>
      </c>
      <c r="B203" s="4" t="inlineStr">
        <is>
          <t>Jaipur DC</t>
        </is>
      </c>
      <c r="C203" s="4" t="inlineStr">
        <is>
          <t>North</t>
        </is>
      </c>
      <c r="D203" s="4" t="inlineStr">
        <is>
          <t>SKU079</t>
        </is>
      </c>
      <c r="E203" s="4" t="inlineStr">
        <is>
          <t>Wired Earphones</t>
        </is>
      </c>
      <c r="F203" s="4" t="inlineStr">
        <is>
          <t>Electronics Accessories</t>
        </is>
      </c>
      <c r="G203" s="4" t="inlineStr">
        <is>
          <t>A</t>
        </is>
      </c>
      <c r="H203" s="11" t="n">
        <v>342</v>
      </c>
      <c r="I203" s="4" t="n">
        <v>81</v>
      </c>
      <c r="J203" s="13">
        <f>IF(I203&gt;0,H203/I203,"")</f>
        <v/>
      </c>
      <c r="K203" s="4">
        <f>IF(I203&lt;=0,"NO DEMAND",IF(H203=0,"STOCKOUT",IF(J203&lt;Config!$B$5,"CRITICAL",IF(J203&lt;Config!$B$6,"LOW",IF(J203&gt;Config!$B$7,"EXCESS","HEALTHY")))))</f>
        <v/>
      </c>
      <c r="L203" s="11" t="n">
        <v>1110</v>
      </c>
      <c r="M203" s="11" t="n">
        <v>1412</v>
      </c>
      <c r="N203" s="11">
        <f>H203*L203</f>
        <v/>
      </c>
      <c r="O203" s="11">
        <f>IF(I203&gt;0,I203*(M203-L203),0)</f>
        <v/>
      </c>
      <c r="P203" s="11" t="n">
        <v>420</v>
      </c>
    </row>
    <row r="204">
      <c r="A204" s="4" t="inlineStr">
        <is>
          <t>WH02</t>
        </is>
      </c>
      <c r="B204" s="4" t="inlineStr">
        <is>
          <t>Jaipur DC</t>
        </is>
      </c>
      <c r="C204" s="4" t="inlineStr">
        <is>
          <t>North</t>
        </is>
      </c>
      <c r="D204" s="4" t="inlineStr">
        <is>
          <t>SKU080</t>
        </is>
      </c>
      <c r="E204" s="4" t="inlineStr">
        <is>
          <t>TWS Earbuds</t>
        </is>
      </c>
      <c r="F204" s="4" t="inlineStr">
        <is>
          <t>Electronics Accessories</t>
        </is>
      </c>
      <c r="G204" s="4" t="inlineStr">
        <is>
          <t>A</t>
        </is>
      </c>
      <c r="H204" s="11" t="n">
        <v>350</v>
      </c>
      <c r="I204" s="4" t="n">
        <v>98.5</v>
      </c>
      <c r="J204" s="13">
        <f>IF(I204&gt;0,H204/I204,"")</f>
        <v/>
      </c>
      <c r="K204" s="4">
        <f>IF(I204&lt;=0,"NO DEMAND",IF(H204=0,"STOCKOUT",IF(J204&lt;Config!$B$5,"CRITICAL",IF(J204&lt;Config!$B$6,"LOW",IF(J204&gt;Config!$B$7,"EXCESS","HEALTHY")))))</f>
        <v/>
      </c>
      <c r="L204" s="11" t="n">
        <v>2238</v>
      </c>
      <c r="M204" s="11" t="n">
        <v>2947</v>
      </c>
      <c r="N204" s="11">
        <f>H204*L204</f>
        <v/>
      </c>
      <c r="O204" s="11">
        <f>IF(I204&gt;0,I204*(M204-L204),0)</f>
        <v/>
      </c>
      <c r="P204" s="11" t="n">
        <v>0</v>
      </c>
    </row>
    <row r="205">
      <c r="A205" s="4" t="inlineStr">
        <is>
          <t>WH02</t>
        </is>
      </c>
      <c r="B205" s="4" t="inlineStr">
        <is>
          <t>Jaipur DC</t>
        </is>
      </c>
      <c r="C205" s="4" t="inlineStr">
        <is>
          <t>North</t>
        </is>
      </c>
      <c r="D205" s="4" t="inlineStr">
        <is>
          <t>SKU081</t>
        </is>
      </c>
      <c r="E205" s="4" t="inlineStr">
        <is>
          <t>Bluetooth Speaker</t>
        </is>
      </c>
      <c r="F205" s="4" t="inlineStr">
        <is>
          <t>Electronics Accessories</t>
        </is>
      </c>
      <c r="G205" s="4" t="inlineStr">
        <is>
          <t>B</t>
        </is>
      </c>
      <c r="H205" s="11" t="n">
        <v>99</v>
      </c>
      <c r="I205" s="4" t="n">
        <v>28.25</v>
      </c>
      <c r="J205" s="13">
        <f>IF(I205&gt;0,H205/I205,"")</f>
        <v/>
      </c>
      <c r="K205" s="4">
        <f>IF(I205&lt;=0,"NO DEMAND",IF(H205=0,"STOCKOUT",IF(J205&lt;Config!$B$5,"CRITICAL",IF(J205&lt;Config!$B$6,"LOW",IF(J205&gt;Config!$B$7,"EXCESS","HEALTHY")))))</f>
        <v/>
      </c>
      <c r="L205" s="11" t="n">
        <v>227</v>
      </c>
      <c r="M205" s="11" t="n">
        <v>293</v>
      </c>
      <c r="N205" s="11">
        <f>H205*L205</f>
        <v/>
      </c>
      <c r="O205" s="11">
        <f>IF(I205&gt;0,I205*(M205-L205),0)</f>
        <v/>
      </c>
      <c r="P205" s="11" t="n">
        <v>390</v>
      </c>
    </row>
    <row r="206">
      <c r="A206" s="4" t="inlineStr">
        <is>
          <t>WH02</t>
        </is>
      </c>
      <c r="B206" s="4" t="inlineStr">
        <is>
          <t>Jaipur DC</t>
        </is>
      </c>
      <c r="C206" s="4" t="inlineStr">
        <is>
          <t>North</t>
        </is>
      </c>
      <c r="D206" s="4" t="inlineStr">
        <is>
          <t>SKU082</t>
        </is>
      </c>
      <c r="E206" s="4" t="inlineStr">
        <is>
          <t>Phone Case</t>
        </is>
      </c>
      <c r="F206" s="4" t="inlineStr">
        <is>
          <t>Electronics Accessories</t>
        </is>
      </c>
      <c r="G206" s="4" t="inlineStr">
        <is>
          <t>B</t>
        </is>
      </c>
      <c r="H206" s="11" t="n">
        <v>39</v>
      </c>
      <c r="I206" s="4" t="n">
        <v>5.5</v>
      </c>
      <c r="J206" s="13">
        <f>IF(I206&gt;0,H206/I206,"")</f>
        <v/>
      </c>
      <c r="K206" s="4">
        <f>IF(I206&lt;=0,"NO DEMAND",IF(H206=0,"STOCKOUT",IF(J206&lt;Config!$B$5,"CRITICAL",IF(J206&lt;Config!$B$6,"LOW",IF(J206&gt;Config!$B$7,"EXCESS","HEALTHY")))))</f>
        <v/>
      </c>
      <c r="L206" s="11" t="n">
        <v>665</v>
      </c>
      <c r="M206" s="11" t="n">
        <v>835</v>
      </c>
      <c r="N206" s="11">
        <f>H206*L206</f>
        <v/>
      </c>
      <c r="O206" s="11">
        <f>IF(I206&gt;0,I206*(M206-L206),0)</f>
        <v/>
      </c>
      <c r="P206" s="11" t="n">
        <v>0</v>
      </c>
    </row>
    <row r="207">
      <c r="A207" s="4" t="inlineStr">
        <is>
          <t>WH02</t>
        </is>
      </c>
      <c r="B207" s="4" t="inlineStr">
        <is>
          <t>Jaipur DC</t>
        </is>
      </c>
      <c r="C207" s="4" t="inlineStr">
        <is>
          <t>North</t>
        </is>
      </c>
      <c r="D207" s="4" t="inlineStr">
        <is>
          <t>SKU083</t>
        </is>
      </c>
      <c r="E207" s="4" t="inlineStr">
        <is>
          <t>Screen Guard</t>
        </is>
      </c>
      <c r="F207" s="4" t="inlineStr">
        <is>
          <t>Electronics Accessories</t>
        </is>
      </c>
      <c r="G207" s="4" t="inlineStr">
        <is>
          <t>C</t>
        </is>
      </c>
      <c r="H207" s="11" t="n">
        <v>56</v>
      </c>
      <c r="I207" s="4" t="n">
        <v>30.5</v>
      </c>
      <c r="J207" s="13">
        <f>IF(I207&gt;0,H207/I207,"")</f>
        <v/>
      </c>
      <c r="K207" s="4">
        <f>IF(I207&lt;=0,"NO DEMAND",IF(H207=0,"STOCKOUT",IF(J207&lt;Config!$B$5,"CRITICAL",IF(J207&lt;Config!$B$6,"LOW",IF(J207&gt;Config!$B$7,"EXCESS","HEALTHY")))))</f>
        <v/>
      </c>
      <c r="L207" s="11" t="n">
        <v>229</v>
      </c>
      <c r="M207" s="11" t="n">
        <v>298</v>
      </c>
      <c r="N207" s="11">
        <f>H207*L207</f>
        <v/>
      </c>
      <c r="O207" s="11">
        <f>IF(I207&gt;0,I207*(M207-L207),0)</f>
        <v/>
      </c>
      <c r="P207" s="11" t="n">
        <v>150</v>
      </c>
    </row>
    <row r="208">
      <c r="A208" s="4" t="inlineStr">
        <is>
          <t>WH02</t>
        </is>
      </c>
      <c r="B208" s="4" t="inlineStr">
        <is>
          <t>Jaipur DC</t>
        </is>
      </c>
      <c r="C208" s="4" t="inlineStr">
        <is>
          <t>North</t>
        </is>
      </c>
      <c r="D208" s="4" t="inlineStr">
        <is>
          <t>SKU084</t>
        </is>
      </c>
      <c r="E208" s="4" t="inlineStr">
        <is>
          <t>LED Bulb 9W</t>
        </is>
      </c>
      <c r="F208" s="4" t="inlineStr">
        <is>
          <t>Electronics Accessories</t>
        </is>
      </c>
      <c r="G208" s="4" t="inlineStr">
        <is>
          <t>C</t>
        </is>
      </c>
      <c r="H208" s="11" t="n">
        <v>236</v>
      </c>
      <c r="I208" s="4" t="n">
        <v>75</v>
      </c>
      <c r="J208" s="13">
        <f>IF(I208&gt;0,H208/I208,"")</f>
        <v/>
      </c>
      <c r="K208" s="4">
        <f>IF(I208&lt;=0,"NO DEMAND",IF(H208=0,"STOCKOUT",IF(J208&lt;Config!$B$5,"CRITICAL",IF(J208&lt;Config!$B$6,"LOW",IF(J208&gt;Config!$B$7,"EXCESS","HEALTHY")))))</f>
        <v/>
      </c>
      <c r="L208" s="11" t="n">
        <v>160</v>
      </c>
      <c r="M208" s="11" t="n">
        <v>207</v>
      </c>
      <c r="N208" s="11">
        <f>H208*L208</f>
        <v/>
      </c>
      <c r="O208" s="11">
        <f>IF(I208&gt;0,I208*(M208-L208),0)</f>
        <v/>
      </c>
      <c r="P208" s="11" t="n">
        <v>250</v>
      </c>
    </row>
    <row r="209">
      <c r="A209" s="4" t="inlineStr">
        <is>
          <t>WH02</t>
        </is>
      </c>
      <c r="B209" s="4" t="inlineStr">
        <is>
          <t>Jaipur DC</t>
        </is>
      </c>
      <c r="C209" s="4" t="inlineStr">
        <is>
          <t>North</t>
        </is>
      </c>
      <c r="D209" s="4" t="inlineStr">
        <is>
          <t>SKU085</t>
        </is>
      </c>
      <c r="E209" s="4" t="inlineStr">
        <is>
          <t>Extension Board 4-socket</t>
        </is>
      </c>
      <c r="F209" s="4" t="inlineStr">
        <is>
          <t>Electronics Accessories</t>
        </is>
      </c>
      <c r="G209" s="4" t="inlineStr">
        <is>
          <t>B</t>
        </is>
      </c>
      <c r="H209" s="11" t="n">
        <v>416</v>
      </c>
      <c r="I209" s="4" t="n">
        <v>87.5</v>
      </c>
      <c r="J209" s="13">
        <f>IF(I209&gt;0,H209/I209,"")</f>
        <v/>
      </c>
      <c r="K209" s="4">
        <f>IF(I209&lt;=0,"NO DEMAND",IF(H209=0,"STOCKOUT",IF(J209&lt;Config!$B$5,"CRITICAL",IF(J209&lt;Config!$B$6,"LOW",IF(J209&gt;Config!$B$7,"EXCESS","HEALTHY")))))</f>
        <v/>
      </c>
      <c r="L209" s="11" t="n">
        <v>336</v>
      </c>
      <c r="M209" s="11" t="n">
        <v>431</v>
      </c>
      <c r="N209" s="11">
        <f>H209*L209</f>
        <v/>
      </c>
      <c r="O209" s="11">
        <f>IF(I209&gt;0,I209*(M209-L209),0)</f>
        <v/>
      </c>
      <c r="P209" s="11" t="n">
        <v>0</v>
      </c>
    </row>
    <row r="210">
      <c r="A210" s="4" t="inlineStr">
        <is>
          <t>WH02</t>
        </is>
      </c>
      <c r="B210" s="4" t="inlineStr">
        <is>
          <t>Jaipur DC</t>
        </is>
      </c>
      <c r="C210" s="4" t="inlineStr">
        <is>
          <t>North</t>
        </is>
      </c>
      <c r="D210" s="4" t="inlineStr">
        <is>
          <t>SKU086</t>
        </is>
      </c>
      <c r="E210" s="4" t="inlineStr">
        <is>
          <t>AA Batteries 10pk</t>
        </is>
      </c>
      <c r="F210" s="4" t="inlineStr">
        <is>
          <t>Electronics Accessories</t>
        </is>
      </c>
      <c r="G210" s="4" t="inlineStr">
        <is>
          <t>A</t>
        </is>
      </c>
      <c r="H210" s="11" t="n">
        <v>150</v>
      </c>
      <c r="I210" s="4" t="n">
        <v>109</v>
      </c>
      <c r="J210" s="13">
        <f>IF(I210&gt;0,H210/I210,"")</f>
        <v/>
      </c>
      <c r="K210" s="4">
        <f>IF(I210&lt;=0,"NO DEMAND",IF(H210=0,"STOCKOUT",IF(J210&lt;Config!$B$5,"CRITICAL",IF(J210&lt;Config!$B$6,"LOW",IF(J210&gt;Config!$B$7,"EXCESS","HEALTHY")))))</f>
        <v/>
      </c>
      <c r="L210" s="11" t="n">
        <v>1335</v>
      </c>
      <c r="M210" s="11" t="n">
        <v>1740</v>
      </c>
      <c r="N210" s="11">
        <f>H210*L210</f>
        <v/>
      </c>
      <c r="O210" s="11">
        <f>IF(I210&gt;0,I210*(M210-L210),0)</f>
        <v/>
      </c>
      <c r="P210" s="11" t="n">
        <v>460</v>
      </c>
    </row>
    <row r="211">
      <c r="A211" s="4" t="inlineStr">
        <is>
          <t>WH02</t>
        </is>
      </c>
      <c r="B211" s="4" t="inlineStr">
        <is>
          <t>Jaipur DC</t>
        </is>
      </c>
      <c r="C211" s="4" t="inlineStr">
        <is>
          <t>North</t>
        </is>
      </c>
      <c r="D211" s="4" t="inlineStr">
        <is>
          <t>SKU087</t>
        </is>
      </c>
      <c r="E211" s="4" t="inlineStr">
        <is>
          <t>SD Card 64GB</t>
        </is>
      </c>
      <c r="F211" s="4" t="inlineStr">
        <is>
          <t>Electronics Accessories</t>
        </is>
      </c>
      <c r="G211" s="4" t="inlineStr">
        <is>
          <t>A</t>
        </is>
      </c>
      <c r="H211" s="11" t="n">
        <v>48</v>
      </c>
      <c r="I211" s="4" t="n">
        <v>22.5</v>
      </c>
      <c r="J211" s="13">
        <f>IF(I211&gt;0,H211/I211,"")</f>
        <v/>
      </c>
      <c r="K211" s="4">
        <f>IF(I211&lt;=0,"NO DEMAND",IF(H211=0,"STOCKOUT",IF(J211&lt;Config!$B$5,"CRITICAL",IF(J211&lt;Config!$B$6,"LOW",IF(J211&gt;Config!$B$7,"EXCESS","HEALTHY")))))</f>
        <v/>
      </c>
      <c r="L211" s="11" t="n">
        <v>1750</v>
      </c>
      <c r="M211" s="11" t="n">
        <v>2180</v>
      </c>
      <c r="N211" s="11">
        <f>H211*L211</f>
        <v/>
      </c>
      <c r="O211" s="11">
        <f>IF(I211&gt;0,I211*(M211-L211),0)</f>
        <v/>
      </c>
      <c r="P211" s="11" t="n">
        <v>480</v>
      </c>
    </row>
    <row r="212">
      <c r="A212" s="4" t="inlineStr">
        <is>
          <t>WH02</t>
        </is>
      </c>
      <c r="B212" s="4" t="inlineStr">
        <is>
          <t>Jaipur DC</t>
        </is>
      </c>
      <c r="C212" s="4" t="inlineStr">
        <is>
          <t>North</t>
        </is>
      </c>
      <c r="D212" s="4" t="inlineStr">
        <is>
          <t>SKU088</t>
        </is>
      </c>
      <c r="E212" s="4" t="inlineStr">
        <is>
          <t>Wireless Mouse</t>
        </is>
      </c>
      <c r="F212" s="4" t="inlineStr">
        <is>
          <t>Electronics Accessories</t>
        </is>
      </c>
      <c r="G212" s="4" t="inlineStr">
        <is>
          <t>A</t>
        </is>
      </c>
      <c r="H212" s="11" t="n">
        <v>323</v>
      </c>
      <c r="I212" s="4" t="n">
        <v>23</v>
      </c>
      <c r="J212" s="13">
        <f>IF(I212&gt;0,H212/I212,"")</f>
        <v/>
      </c>
      <c r="K212" s="4">
        <f>IF(I212&lt;=0,"NO DEMAND",IF(H212=0,"STOCKOUT",IF(J212&lt;Config!$B$5,"CRITICAL",IF(J212&lt;Config!$B$6,"LOW",IF(J212&gt;Config!$B$7,"EXCESS","HEALTHY")))))</f>
        <v/>
      </c>
      <c r="L212" s="11" t="n">
        <v>429</v>
      </c>
      <c r="M212" s="11" t="n">
        <v>534</v>
      </c>
      <c r="N212" s="11">
        <f>H212*L212</f>
        <v/>
      </c>
      <c r="O212" s="11">
        <f>IF(I212&gt;0,I212*(M212-L212),0)</f>
        <v/>
      </c>
      <c r="P212" s="11" t="n">
        <v>0</v>
      </c>
    </row>
    <row r="213">
      <c r="A213" s="4" t="inlineStr">
        <is>
          <t>WH02</t>
        </is>
      </c>
      <c r="B213" s="4" t="inlineStr">
        <is>
          <t>Jaipur DC</t>
        </is>
      </c>
      <c r="C213" s="4" t="inlineStr">
        <is>
          <t>North</t>
        </is>
      </c>
      <c r="D213" s="4" t="inlineStr">
        <is>
          <t>SKU089</t>
        </is>
      </c>
      <c r="E213" s="4" t="inlineStr">
        <is>
          <t>USB Keyboard</t>
        </is>
      </c>
      <c r="F213" s="4" t="inlineStr">
        <is>
          <t>Electronics Accessories</t>
        </is>
      </c>
      <c r="G213" s="4" t="inlineStr">
        <is>
          <t>A</t>
        </is>
      </c>
      <c r="H213" s="11" t="n">
        <v>175</v>
      </c>
      <c r="I213" s="4" t="n">
        <v>87.75</v>
      </c>
      <c r="J213" s="13">
        <f>IF(I213&gt;0,H213/I213,"")</f>
        <v/>
      </c>
      <c r="K213" s="4">
        <f>IF(I213&lt;=0,"NO DEMAND",IF(H213=0,"STOCKOUT",IF(J213&lt;Config!$B$5,"CRITICAL",IF(J213&lt;Config!$B$6,"LOW",IF(J213&gt;Config!$B$7,"EXCESS","HEALTHY")))))</f>
        <v/>
      </c>
      <c r="L213" s="11" t="n">
        <v>2249</v>
      </c>
      <c r="M213" s="11" t="n">
        <v>2812</v>
      </c>
      <c r="N213" s="11">
        <f>H213*L213</f>
        <v/>
      </c>
      <c r="O213" s="11">
        <f>IF(I213&gt;0,I213*(M213-L213),0)</f>
        <v/>
      </c>
      <c r="P213" s="11" t="n">
        <v>450</v>
      </c>
    </row>
    <row r="214">
      <c r="A214" s="4" t="inlineStr">
        <is>
          <t>WH02</t>
        </is>
      </c>
      <c r="B214" s="4" t="inlineStr">
        <is>
          <t>Jaipur DC</t>
        </is>
      </c>
      <c r="C214" s="4" t="inlineStr">
        <is>
          <t>North</t>
        </is>
      </c>
      <c r="D214" s="4" t="inlineStr">
        <is>
          <t>SKU090</t>
        </is>
      </c>
      <c r="E214" s="4" t="inlineStr">
        <is>
          <t>HDMI Cable 2m</t>
        </is>
      </c>
      <c r="F214" s="4" t="inlineStr">
        <is>
          <t>Electronics Accessories</t>
        </is>
      </c>
      <c r="G214" s="4" t="inlineStr">
        <is>
          <t>C</t>
        </is>
      </c>
      <c r="H214" s="11" t="n">
        <v>42</v>
      </c>
      <c r="I214" s="4" t="n">
        <v>45.25</v>
      </c>
      <c r="J214" s="13">
        <f>IF(I214&gt;0,H214/I214,"")</f>
        <v/>
      </c>
      <c r="K214" s="4">
        <f>IF(I214&lt;=0,"NO DEMAND",IF(H214=0,"STOCKOUT",IF(J214&lt;Config!$B$5,"CRITICAL",IF(J214&lt;Config!$B$6,"LOW",IF(J214&gt;Config!$B$7,"EXCESS","HEALTHY")))))</f>
        <v/>
      </c>
      <c r="L214" s="11" t="n">
        <v>292</v>
      </c>
      <c r="M214" s="11" t="n">
        <v>378</v>
      </c>
      <c r="N214" s="11">
        <f>H214*L214</f>
        <v/>
      </c>
      <c r="O214" s="11">
        <f>IF(I214&gt;0,I214*(M214-L214),0)</f>
        <v/>
      </c>
      <c r="P214" s="11" t="n">
        <v>200</v>
      </c>
    </row>
    <row r="215">
      <c r="A215" s="4" t="inlineStr">
        <is>
          <t>WH02</t>
        </is>
      </c>
      <c r="B215" s="4" t="inlineStr">
        <is>
          <t>Jaipur DC</t>
        </is>
      </c>
      <c r="C215" s="4" t="inlineStr">
        <is>
          <t>North</t>
        </is>
      </c>
      <c r="D215" s="4" t="inlineStr">
        <is>
          <t>SKU091</t>
        </is>
      </c>
      <c r="E215" s="4" t="inlineStr">
        <is>
          <t>Paracetamol 500mg 15s</t>
        </is>
      </c>
      <c r="F215" s="4" t="inlineStr">
        <is>
          <t>OTC Pharma &amp; Wellness</t>
        </is>
      </c>
      <c r="G215" s="4" t="inlineStr">
        <is>
          <t>C</t>
        </is>
      </c>
      <c r="H215" s="11" t="n">
        <v>134</v>
      </c>
      <c r="I215" s="4" t="n">
        <v>51</v>
      </c>
      <c r="J215" s="13">
        <f>IF(I215&gt;0,H215/I215,"")</f>
        <v/>
      </c>
      <c r="K215" s="4">
        <f>IF(I215&lt;=0,"NO DEMAND",IF(H215=0,"STOCKOUT",IF(J215&lt;Config!$B$5,"CRITICAL",IF(J215&lt;Config!$B$6,"LOW",IF(J215&gt;Config!$B$7,"EXCESS","HEALTHY")))))</f>
        <v/>
      </c>
      <c r="L215" s="11" t="n">
        <v>113</v>
      </c>
      <c r="M215" s="11" t="n">
        <v>144</v>
      </c>
      <c r="N215" s="11">
        <f>H215*L215</f>
        <v/>
      </c>
      <c r="O215" s="11">
        <f>IF(I215&gt;0,I215*(M215-L215),0)</f>
        <v/>
      </c>
      <c r="P215" s="11" t="n">
        <v>0</v>
      </c>
    </row>
    <row r="216">
      <c r="A216" s="4" t="inlineStr">
        <is>
          <t>WH02</t>
        </is>
      </c>
      <c r="B216" s="4" t="inlineStr">
        <is>
          <t>Jaipur DC</t>
        </is>
      </c>
      <c r="C216" s="4" t="inlineStr">
        <is>
          <t>North</t>
        </is>
      </c>
      <c r="D216" s="4" t="inlineStr">
        <is>
          <t>SKU092</t>
        </is>
      </c>
      <c r="E216" s="4" t="inlineStr">
        <is>
          <t>ORS Sachets 10pk</t>
        </is>
      </c>
      <c r="F216" s="4" t="inlineStr">
        <is>
          <t>OTC Pharma &amp; Wellness</t>
        </is>
      </c>
      <c r="G216" s="4" t="inlineStr">
        <is>
          <t>C</t>
        </is>
      </c>
      <c r="H216" s="11" t="n">
        <v>1423</v>
      </c>
      <c r="I216" s="4" t="n">
        <v>174</v>
      </c>
      <c r="J216" s="13">
        <f>IF(I216&gt;0,H216/I216,"")</f>
        <v/>
      </c>
      <c r="K216" s="4">
        <f>IF(I216&lt;=0,"NO DEMAND",IF(H216=0,"STOCKOUT",IF(J216&lt;Config!$B$5,"CRITICAL",IF(J216&lt;Config!$B$6,"LOW",IF(J216&gt;Config!$B$7,"EXCESS","HEALTHY")))))</f>
        <v/>
      </c>
      <c r="L216" s="11" t="n">
        <v>55</v>
      </c>
      <c r="M216" s="11" t="n">
        <v>75</v>
      </c>
      <c r="N216" s="11">
        <f>H216*L216</f>
        <v/>
      </c>
      <c r="O216" s="11">
        <f>IF(I216&gt;0,I216*(M216-L216),0)</f>
        <v/>
      </c>
      <c r="P216" s="11" t="n">
        <v>0</v>
      </c>
    </row>
    <row r="217">
      <c r="A217" s="4" t="inlineStr">
        <is>
          <t>WH02</t>
        </is>
      </c>
      <c r="B217" s="4" t="inlineStr">
        <is>
          <t>Jaipur DC</t>
        </is>
      </c>
      <c r="C217" s="4" t="inlineStr">
        <is>
          <t>North</t>
        </is>
      </c>
      <c r="D217" s="4" t="inlineStr">
        <is>
          <t>SKU093</t>
        </is>
      </c>
      <c r="E217" s="4" t="inlineStr">
        <is>
          <t>Antacid Syrup 200ml</t>
        </is>
      </c>
      <c r="F217" s="4" t="inlineStr">
        <is>
          <t>OTC Pharma &amp; Wellness</t>
        </is>
      </c>
      <c r="G217" s="4" t="inlineStr">
        <is>
          <t>A</t>
        </is>
      </c>
      <c r="H217" s="11" t="n">
        <v>452</v>
      </c>
      <c r="I217" s="4" t="n">
        <v>115</v>
      </c>
      <c r="J217" s="13">
        <f>IF(I217&gt;0,H217/I217,"")</f>
        <v/>
      </c>
      <c r="K217" s="4">
        <f>IF(I217&lt;=0,"NO DEMAND",IF(H217=0,"STOCKOUT",IF(J217&lt;Config!$B$5,"CRITICAL",IF(J217&lt;Config!$B$6,"LOW",IF(J217&gt;Config!$B$7,"EXCESS","HEALTHY")))))</f>
        <v/>
      </c>
      <c r="L217" s="11" t="n">
        <v>277</v>
      </c>
      <c r="M217" s="11" t="n">
        <v>362</v>
      </c>
      <c r="N217" s="11">
        <f>H217*L217</f>
        <v/>
      </c>
      <c r="O217" s="11">
        <f>IF(I217&gt;0,I217*(M217-L217),0)</f>
        <v/>
      </c>
      <c r="P217" s="11" t="n">
        <v>0</v>
      </c>
    </row>
    <row r="218">
      <c r="A218" s="4" t="inlineStr">
        <is>
          <t>WH02</t>
        </is>
      </c>
      <c r="B218" s="4" t="inlineStr">
        <is>
          <t>Jaipur DC</t>
        </is>
      </c>
      <c r="C218" s="4" t="inlineStr">
        <is>
          <t>North</t>
        </is>
      </c>
      <c r="D218" s="4" t="inlineStr">
        <is>
          <t>SKU094</t>
        </is>
      </c>
      <c r="E218" s="4" t="inlineStr">
        <is>
          <t>Cough Syrup 100ml</t>
        </is>
      </c>
      <c r="F218" s="4" t="inlineStr">
        <is>
          <t>OTC Pharma &amp; Wellness</t>
        </is>
      </c>
      <c r="G218" s="4" t="inlineStr">
        <is>
          <t>B</t>
        </is>
      </c>
      <c r="H218" s="11" t="n">
        <v>567</v>
      </c>
      <c r="I218" s="4" t="n">
        <v>142</v>
      </c>
      <c r="J218" s="13">
        <f>IF(I218&gt;0,H218/I218,"")</f>
        <v/>
      </c>
      <c r="K218" s="4">
        <f>IF(I218&lt;=0,"NO DEMAND",IF(H218=0,"STOCKOUT",IF(J218&lt;Config!$B$5,"CRITICAL",IF(J218&lt;Config!$B$6,"LOW",IF(J218&gt;Config!$B$7,"EXCESS","HEALTHY")))))</f>
        <v/>
      </c>
      <c r="L218" s="11" t="n">
        <v>190</v>
      </c>
      <c r="M218" s="11" t="n">
        <v>254</v>
      </c>
      <c r="N218" s="11">
        <f>H218*L218</f>
        <v/>
      </c>
      <c r="O218" s="11">
        <f>IF(I218&gt;0,I218*(M218-L218),0)</f>
        <v/>
      </c>
      <c r="P218" s="11" t="n">
        <v>588</v>
      </c>
    </row>
    <row r="219">
      <c r="A219" s="4" t="inlineStr">
        <is>
          <t>WH02</t>
        </is>
      </c>
      <c r="B219" s="4" t="inlineStr">
        <is>
          <t>Jaipur DC</t>
        </is>
      </c>
      <c r="C219" s="4" t="inlineStr">
        <is>
          <t>North</t>
        </is>
      </c>
      <c r="D219" s="4" t="inlineStr">
        <is>
          <t>SKU095</t>
        </is>
      </c>
      <c r="E219" s="4" t="inlineStr">
        <is>
          <t>Multivitamin 30s</t>
        </is>
      </c>
      <c r="F219" s="4" t="inlineStr">
        <is>
          <t>OTC Pharma &amp; Wellness</t>
        </is>
      </c>
      <c r="G219" s="4" t="inlineStr">
        <is>
          <t>B</t>
        </is>
      </c>
      <c r="H219" s="11" t="n">
        <v>605</v>
      </c>
      <c r="I219" s="4" t="n">
        <v>150.75</v>
      </c>
      <c r="J219" s="13">
        <f>IF(I219&gt;0,H219/I219,"")</f>
        <v/>
      </c>
      <c r="K219" s="4">
        <f>IF(I219&lt;=0,"NO DEMAND",IF(H219=0,"STOCKOUT",IF(J219&lt;Config!$B$5,"CRITICAL",IF(J219&lt;Config!$B$6,"LOW",IF(J219&gt;Config!$B$7,"EXCESS","HEALTHY")))))</f>
        <v/>
      </c>
      <c r="L219" s="11" t="n">
        <v>178</v>
      </c>
      <c r="M219" s="11" t="n">
        <v>237</v>
      </c>
      <c r="N219" s="11">
        <f>H219*L219</f>
        <v/>
      </c>
      <c r="O219" s="11">
        <f>IF(I219&gt;0,I219*(M219-L219),0)</f>
        <v/>
      </c>
      <c r="P219" s="11" t="n">
        <v>0</v>
      </c>
    </row>
    <row r="220">
      <c r="A220" s="4" t="inlineStr">
        <is>
          <t>WH02</t>
        </is>
      </c>
      <c r="B220" s="4" t="inlineStr">
        <is>
          <t>Jaipur DC</t>
        </is>
      </c>
      <c r="C220" s="4" t="inlineStr">
        <is>
          <t>North</t>
        </is>
      </c>
      <c r="D220" s="4" t="inlineStr">
        <is>
          <t>SKU096</t>
        </is>
      </c>
      <c r="E220" s="4" t="inlineStr">
        <is>
          <t>Antiseptic Liquid 250ml</t>
        </is>
      </c>
      <c r="F220" s="4" t="inlineStr">
        <is>
          <t>OTC Pharma &amp; Wellness</t>
        </is>
      </c>
      <c r="G220" s="4" t="inlineStr">
        <is>
          <t>C</t>
        </is>
      </c>
      <c r="H220" s="11" t="n">
        <v>372</v>
      </c>
      <c r="I220" s="4" t="n">
        <v>104.75</v>
      </c>
      <c r="J220" s="13">
        <f>IF(I220&gt;0,H220/I220,"")</f>
        <v/>
      </c>
      <c r="K220" s="4">
        <f>IF(I220&lt;=0,"NO DEMAND",IF(H220=0,"STOCKOUT",IF(J220&lt;Config!$B$5,"CRITICAL",IF(J220&lt;Config!$B$6,"LOW",IF(J220&gt;Config!$B$7,"EXCESS","HEALTHY")))))</f>
        <v/>
      </c>
      <c r="L220" s="11" t="n">
        <v>88</v>
      </c>
      <c r="M220" s="11" t="n">
        <v>112</v>
      </c>
      <c r="N220" s="11">
        <f>H220*L220</f>
        <v/>
      </c>
      <c r="O220" s="11">
        <f>IF(I220&gt;0,I220*(M220-L220),0)</f>
        <v/>
      </c>
      <c r="P220" s="11" t="n">
        <v>408</v>
      </c>
    </row>
    <row r="221">
      <c r="A221" s="4" t="inlineStr">
        <is>
          <t>WH02</t>
        </is>
      </c>
      <c r="B221" s="4" t="inlineStr">
        <is>
          <t>Jaipur DC</t>
        </is>
      </c>
      <c r="C221" s="4" t="inlineStr">
        <is>
          <t>North</t>
        </is>
      </c>
      <c r="D221" s="4" t="inlineStr">
        <is>
          <t>SKU097</t>
        </is>
      </c>
      <c r="E221" s="4" t="inlineStr">
        <is>
          <t>Pain Balm 50g</t>
        </is>
      </c>
      <c r="F221" s="4" t="inlineStr">
        <is>
          <t>OTC Pharma &amp; Wellness</t>
        </is>
      </c>
      <c r="G221" s="4" t="inlineStr">
        <is>
          <t>C</t>
        </is>
      </c>
      <c r="H221" s="11" t="n">
        <v>597</v>
      </c>
      <c r="I221" s="4" t="n">
        <v>113.75</v>
      </c>
      <c r="J221" s="13">
        <f>IF(I221&gt;0,H221/I221,"")</f>
        <v/>
      </c>
      <c r="K221" s="4">
        <f>IF(I221&lt;=0,"NO DEMAND",IF(H221=0,"STOCKOUT",IF(J221&lt;Config!$B$5,"CRITICAL",IF(J221&lt;Config!$B$6,"LOW",IF(J221&gt;Config!$B$7,"EXCESS","HEALTHY")))))</f>
        <v/>
      </c>
      <c r="L221" s="11" t="n">
        <v>68</v>
      </c>
      <c r="M221" s="11" t="n">
        <v>91</v>
      </c>
      <c r="N221" s="11">
        <f>H221*L221</f>
        <v/>
      </c>
      <c r="O221" s="11">
        <f>IF(I221&gt;0,I221*(M221-L221),0)</f>
        <v/>
      </c>
      <c r="P221" s="11" t="n">
        <v>0</v>
      </c>
    </row>
    <row r="222">
      <c r="A222" s="4" t="inlineStr">
        <is>
          <t>WH02</t>
        </is>
      </c>
      <c r="B222" s="4" t="inlineStr">
        <is>
          <t>Jaipur DC</t>
        </is>
      </c>
      <c r="C222" s="4" t="inlineStr">
        <is>
          <t>North</t>
        </is>
      </c>
      <c r="D222" s="4" t="inlineStr">
        <is>
          <t>SKU098</t>
        </is>
      </c>
      <c r="E222" s="4" t="inlineStr">
        <is>
          <t>Bandage Pack</t>
        </is>
      </c>
      <c r="F222" s="4" t="inlineStr">
        <is>
          <t>OTC Pharma &amp; Wellness</t>
        </is>
      </c>
      <c r="G222" s="4" t="inlineStr">
        <is>
          <t>C</t>
        </is>
      </c>
      <c r="H222" s="11" t="n">
        <v>1344</v>
      </c>
      <c r="I222" s="4" t="n">
        <v>398.5</v>
      </c>
      <c r="J222" s="13">
        <f>IF(I222&gt;0,H222/I222,"")</f>
        <v/>
      </c>
      <c r="K222" s="4">
        <f>IF(I222&lt;=0,"NO DEMAND",IF(H222=0,"STOCKOUT",IF(J222&lt;Config!$B$5,"CRITICAL",IF(J222&lt;Config!$B$6,"LOW",IF(J222&gt;Config!$B$7,"EXCESS","HEALTHY")))))</f>
        <v/>
      </c>
      <c r="L222" s="11" t="n">
        <v>49</v>
      </c>
      <c r="M222" s="11" t="n">
        <v>66</v>
      </c>
      <c r="N222" s="11">
        <f>H222*L222</f>
        <v/>
      </c>
      <c r="O222" s="11">
        <f>IF(I222&gt;0,I222*(M222-L222),0)</f>
        <v/>
      </c>
      <c r="P222" s="11" t="n">
        <v>1488</v>
      </c>
    </row>
    <row r="223">
      <c r="A223" s="4" t="inlineStr">
        <is>
          <t>WH02</t>
        </is>
      </c>
      <c r="B223" s="4" t="inlineStr">
        <is>
          <t>Jaipur DC</t>
        </is>
      </c>
      <c r="C223" s="4" t="inlineStr">
        <is>
          <t>North</t>
        </is>
      </c>
      <c r="D223" s="4" t="inlineStr">
        <is>
          <t>SKU099</t>
        </is>
      </c>
      <c r="E223" s="4" t="inlineStr">
        <is>
          <t>Digital Thermometer</t>
        </is>
      </c>
      <c r="F223" s="4" t="inlineStr">
        <is>
          <t>OTC Pharma &amp; Wellness</t>
        </is>
      </c>
      <c r="G223" s="4" t="inlineStr">
        <is>
          <t>B</t>
        </is>
      </c>
      <c r="H223" s="11" t="n">
        <v>510</v>
      </c>
      <c r="I223" s="4" t="n">
        <v>221</v>
      </c>
      <c r="J223" s="13">
        <f>IF(I223&gt;0,H223/I223,"")</f>
        <v/>
      </c>
      <c r="K223" s="4">
        <f>IF(I223&lt;=0,"NO DEMAND",IF(H223=0,"STOCKOUT",IF(J223&lt;Config!$B$5,"CRITICAL",IF(J223&lt;Config!$B$6,"LOW",IF(J223&gt;Config!$B$7,"EXCESS","HEALTHY")))))</f>
        <v/>
      </c>
      <c r="L223" s="11" t="n">
        <v>88</v>
      </c>
      <c r="M223" s="11" t="n">
        <v>112</v>
      </c>
      <c r="N223" s="11">
        <f>H223*L223</f>
        <v/>
      </c>
      <c r="O223" s="11">
        <f>IF(I223&gt;0,I223*(M223-L223),0)</f>
        <v/>
      </c>
      <c r="P223" s="11" t="n">
        <v>804</v>
      </c>
    </row>
    <row r="224">
      <c r="A224" s="4" t="inlineStr">
        <is>
          <t>WH02</t>
        </is>
      </c>
      <c r="B224" s="4" t="inlineStr">
        <is>
          <t>Jaipur DC</t>
        </is>
      </c>
      <c r="C224" s="4" t="inlineStr">
        <is>
          <t>North</t>
        </is>
      </c>
      <c r="D224" s="4" t="inlineStr">
        <is>
          <t>SKU100</t>
        </is>
      </c>
      <c r="E224" s="4" t="inlineStr">
        <is>
          <t>Glucose Powder 500g</t>
        </is>
      </c>
      <c r="F224" s="4" t="inlineStr">
        <is>
          <t>OTC Pharma &amp; Wellness</t>
        </is>
      </c>
      <c r="G224" s="4" t="inlineStr">
        <is>
          <t>C</t>
        </is>
      </c>
      <c r="H224" s="11" t="n">
        <v>390</v>
      </c>
      <c r="I224" s="4" t="n">
        <v>104.75</v>
      </c>
      <c r="J224" s="13">
        <f>IF(I224&gt;0,H224/I224,"")</f>
        <v/>
      </c>
      <c r="K224" s="4">
        <f>IF(I224&lt;=0,"NO DEMAND",IF(H224=0,"STOCKOUT",IF(J224&lt;Config!$B$5,"CRITICAL",IF(J224&lt;Config!$B$6,"LOW",IF(J224&gt;Config!$B$7,"EXCESS","HEALTHY")))))</f>
        <v/>
      </c>
      <c r="L224" s="11" t="n">
        <v>32</v>
      </c>
      <c r="M224" s="11" t="n">
        <v>42</v>
      </c>
      <c r="N224" s="11">
        <f>H224*L224</f>
        <v/>
      </c>
      <c r="O224" s="11">
        <f>IF(I224&gt;0,I224*(M224-L224),0)</f>
        <v/>
      </c>
      <c r="P224" s="11" t="n">
        <v>0</v>
      </c>
    </row>
    <row r="225">
      <c r="A225" s="4" t="inlineStr">
        <is>
          <t>WH02</t>
        </is>
      </c>
      <c r="B225" s="4" t="inlineStr">
        <is>
          <t>Jaipur DC</t>
        </is>
      </c>
      <c r="C225" s="4" t="inlineStr">
        <is>
          <t>North</t>
        </is>
      </c>
      <c r="D225" s="4" t="inlineStr">
        <is>
          <t>SKU101</t>
        </is>
      </c>
      <c r="E225" s="4" t="inlineStr">
        <is>
          <t>Vitamin C 30s</t>
        </is>
      </c>
      <c r="F225" s="4" t="inlineStr">
        <is>
          <t>OTC Pharma &amp; Wellness</t>
        </is>
      </c>
      <c r="G225" s="4" t="inlineStr">
        <is>
          <t>B</t>
        </is>
      </c>
      <c r="H225" s="11" t="n">
        <v>230</v>
      </c>
      <c r="I225" s="4" t="n">
        <v>29</v>
      </c>
      <c r="J225" s="13">
        <f>IF(I225&gt;0,H225/I225,"")</f>
        <v/>
      </c>
      <c r="K225" s="4">
        <f>IF(I225&lt;=0,"NO DEMAND",IF(H225=0,"STOCKOUT",IF(J225&lt;Config!$B$5,"CRITICAL",IF(J225&lt;Config!$B$6,"LOW",IF(J225&gt;Config!$B$7,"EXCESS","HEALTHY")))))</f>
        <v/>
      </c>
      <c r="L225" s="11" t="n">
        <v>176</v>
      </c>
      <c r="M225" s="11" t="n">
        <v>237</v>
      </c>
      <c r="N225" s="11">
        <f>H225*L225</f>
        <v/>
      </c>
      <c r="O225" s="11">
        <f>IF(I225&gt;0,I225*(M225-L225),0)</f>
        <v/>
      </c>
      <c r="P225" s="11" t="n">
        <v>0</v>
      </c>
    </row>
    <row r="226">
      <c r="A226" s="4" t="inlineStr">
        <is>
          <t>WH02</t>
        </is>
      </c>
      <c r="B226" s="4" t="inlineStr">
        <is>
          <t>Jaipur DC</t>
        </is>
      </c>
      <c r="C226" s="4" t="inlineStr">
        <is>
          <t>North</t>
        </is>
      </c>
      <c r="D226" s="4" t="inlineStr">
        <is>
          <t>SKU102</t>
        </is>
      </c>
      <c r="E226" s="4" t="inlineStr">
        <is>
          <t>Eye Drops 10ml</t>
        </is>
      </c>
      <c r="F226" s="4" t="inlineStr">
        <is>
          <t>OTC Pharma &amp; Wellness</t>
        </is>
      </c>
      <c r="G226" s="4" t="inlineStr">
        <is>
          <t>C</t>
        </is>
      </c>
      <c r="H226" s="11" t="n">
        <v>1640</v>
      </c>
      <c r="I226" s="4" t="n">
        <v>261.5</v>
      </c>
      <c r="J226" s="13">
        <f>IF(I226&gt;0,H226/I226,"")</f>
        <v/>
      </c>
      <c r="K226" s="4">
        <f>IF(I226&lt;=0,"NO DEMAND",IF(H226=0,"STOCKOUT",IF(J226&lt;Config!$B$5,"CRITICAL",IF(J226&lt;Config!$B$6,"LOW",IF(J226&gt;Config!$B$7,"EXCESS","HEALTHY")))))</f>
        <v/>
      </c>
      <c r="L226" s="11" t="n">
        <v>72</v>
      </c>
      <c r="M226" s="11" t="n">
        <v>92</v>
      </c>
      <c r="N226" s="11">
        <f>H226*L226</f>
        <v/>
      </c>
      <c r="O226" s="11">
        <f>IF(I226&gt;0,I226*(M226-L226),0)</f>
        <v/>
      </c>
      <c r="P226" s="11" t="n">
        <v>0</v>
      </c>
    </row>
    <row r="227">
      <c r="A227" s="4" t="inlineStr">
        <is>
          <t>WH02</t>
        </is>
      </c>
      <c r="B227" s="4" t="inlineStr">
        <is>
          <t>Jaipur DC</t>
        </is>
      </c>
      <c r="C227" s="4" t="inlineStr">
        <is>
          <t>North</t>
        </is>
      </c>
      <c r="D227" s="4" t="inlineStr">
        <is>
          <t>SKU103</t>
        </is>
      </c>
      <c r="E227" s="4" t="inlineStr">
        <is>
          <t>Zinc Tablets 20s</t>
        </is>
      </c>
      <c r="F227" s="4" t="inlineStr">
        <is>
          <t>OTC Pharma &amp; Wellness</t>
        </is>
      </c>
      <c r="G227" s="4" t="inlineStr">
        <is>
          <t>C</t>
        </is>
      </c>
      <c r="H227" s="11" t="n">
        <v>283</v>
      </c>
      <c r="I227" s="4" t="n">
        <v>7.5</v>
      </c>
      <c r="J227" s="13">
        <f>IF(I227&gt;0,H227/I227,"")</f>
        <v/>
      </c>
      <c r="K227" s="4">
        <f>IF(I227&lt;=0,"NO DEMAND",IF(H227=0,"STOCKOUT",IF(J227&lt;Config!$B$5,"CRITICAL",IF(J227&lt;Config!$B$6,"LOW",IF(J227&gt;Config!$B$7,"EXCESS","HEALTHY")))))</f>
        <v/>
      </c>
      <c r="L227" s="11" t="n">
        <v>169</v>
      </c>
      <c r="M227" s="11" t="n">
        <v>216</v>
      </c>
      <c r="N227" s="11">
        <f>H227*L227</f>
        <v/>
      </c>
      <c r="O227" s="11">
        <f>IF(I227&gt;0,I227*(M227-L227),0)</f>
        <v/>
      </c>
      <c r="P227" s="11" t="n">
        <v>0</v>
      </c>
    </row>
    <row r="228">
      <c r="A228" s="4" t="inlineStr">
        <is>
          <t>WH02</t>
        </is>
      </c>
      <c r="B228" s="4" t="inlineStr">
        <is>
          <t>Jaipur DC</t>
        </is>
      </c>
      <c r="C228" s="4" t="inlineStr">
        <is>
          <t>North</t>
        </is>
      </c>
      <c r="D228" s="4" t="inlineStr">
        <is>
          <t>SKU104</t>
        </is>
      </c>
      <c r="E228" s="4" t="inlineStr">
        <is>
          <t>Hand Sanitizer 500ml</t>
        </is>
      </c>
      <c r="F228" s="4" t="inlineStr">
        <is>
          <t>OTC Pharma &amp; Wellness</t>
        </is>
      </c>
      <c r="G228" s="4" t="inlineStr">
        <is>
          <t>C</t>
        </is>
      </c>
      <c r="H228" s="11" t="n">
        <v>71</v>
      </c>
      <c r="I228" s="4" t="n">
        <v>61</v>
      </c>
      <c r="J228" s="13">
        <f>IF(I228&gt;0,H228/I228,"")</f>
        <v/>
      </c>
      <c r="K228" s="4">
        <f>IF(I228&lt;=0,"NO DEMAND",IF(H228=0,"STOCKOUT",IF(J228&lt;Config!$B$5,"CRITICAL",IF(J228&lt;Config!$B$6,"LOW",IF(J228&gt;Config!$B$7,"EXCESS","HEALTHY")))))</f>
        <v/>
      </c>
      <c r="L228" s="11" t="n">
        <v>37</v>
      </c>
      <c r="M228" s="11" t="n">
        <v>48</v>
      </c>
      <c r="N228" s="11">
        <f>H228*L228</f>
        <v/>
      </c>
      <c r="O228" s="11">
        <f>IF(I228&gt;0,I228*(M228-L228),0)</f>
        <v/>
      </c>
      <c r="P228" s="11" t="n">
        <v>0</v>
      </c>
    </row>
    <row r="229">
      <c r="A229" s="4" t="inlineStr">
        <is>
          <t>WH02</t>
        </is>
      </c>
      <c r="B229" s="4" t="inlineStr">
        <is>
          <t>Jaipur DC</t>
        </is>
      </c>
      <c r="C229" s="4" t="inlineStr">
        <is>
          <t>North</t>
        </is>
      </c>
      <c r="D229" s="4" t="inlineStr">
        <is>
          <t>SKU105</t>
        </is>
      </c>
      <c r="E229" s="4" t="inlineStr">
        <is>
          <t>Face Masks 50pk</t>
        </is>
      </c>
      <c r="F229" s="4" t="inlineStr">
        <is>
          <t>OTC Pharma &amp; Wellness</t>
        </is>
      </c>
      <c r="G229" s="4" t="inlineStr">
        <is>
          <t>C</t>
        </is>
      </c>
      <c r="H229" s="11" t="n">
        <v>84</v>
      </c>
      <c r="I229" s="4" t="n">
        <v>33.75</v>
      </c>
      <c r="J229" s="13">
        <f>IF(I229&gt;0,H229/I229,"")</f>
        <v/>
      </c>
      <c r="K229" s="4">
        <f>IF(I229&lt;=0,"NO DEMAND",IF(H229=0,"STOCKOUT",IF(J229&lt;Config!$B$5,"CRITICAL",IF(J229&lt;Config!$B$6,"LOW",IF(J229&gt;Config!$B$7,"EXCESS","HEALTHY")))))</f>
        <v/>
      </c>
      <c r="L229" s="11" t="n">
        <v>92</v>
      </c>
      <c r="M229" s="11" t="n">
        <v>121</v>
      </c>
      <c r="N229" s="11">
        <f>H229*L229</f>
        <v/>
      </c>
      <c r="O229" s="11">
        <f>IF(I229&gt;0,I229*(M229-L229),0)</f>
        <v/>
      </c>
      <c r="P229" s="11" t="n">
        <v>708</v>
      </c>
    </row>
    <row r="230">
      <c r="A230" s="4" t="inlineStr">
        <is>
          <t>WH02</t>
        </is>
      </c>
      <c r="B230" s="4" t="inlineStr">
        <is>
          <t>Jaipur DC</t>
        </is>
      </c>
      <c r="C230" s="4" t="inlineStr">
        <is>
          <t>North</t>
        </is>
      </c>
      <c r="D230" s="4" t="inlineStr">
        <is>
          <t>SKU106</t>
        </is>
      </c>
      <c r="E230" s="4" t="inlineStr">
        <is>
          <t>Corrugated Box 12x12</t>
        </is>
      </c>
      <c r="F230" s="4" t="inlineStr">
        <is>
          <t>Packaging &amp; Supplies</t>
        </is>
      </c>
      <c r="G230" s="4" t="inlineStr">
        <is>
          <t>B</t>
        </is>
      </c>
      <c r="H230" s="11" t="n">
        <v>234</v>
      </c>
      <c r="I230" s="4" t="n">
        <v>184.5</v>
      </c>
      <c r="J230" s="13">
        <f>IF(I230&gt;0,H230/I230,"")</f>
        <v/>
      </c>
      <c r="K230" s="4">
        <f>IF(I230&lt;=0,"NO DEMAND",IF(H230=0,"STOCKOUT",IF(J230&lt;Config!$B$5,"CRITICAL",IF(J230&lt;Config!$B$6,"LOW",IF(J230&gt;Config!$B$7,"EXCESS","HEALTHY")))))</f>
        <v/>
      </c>
      <c r="L230" s="11" t="n">
        <v>400</v>
      </c>
      <c r="M230" s="11" t="n">
        <v>480</v>
      </c>
      <c r="N230" s="11">
        <f>H230*L230</f>
        <v/>
      </c>
      <c r="O230" s="11">
        <f>IF(I230&gt;0,I230*(M230-L230),0)</f>
        <v/>
      </c>
      <c r="P230" s="11" t="n">
        <v>780</v>
      </c>
    </row>
    <row r="231">
      <c r="A231" s="4" t="inlineStr">
        <is>
          <t>WH02</t>
        </is>
      </c>
      <c r="B231" s="4" t="inlineStr">
        <is>
          <t>Jaipur DC</t>
        </is>
      </c>
      <c r="C231" s="4" t="inlineStr">
        <is>
          <t>North</t>
        </is>
      </c>
      <c r="D231" s="4" t="inlineStr">
        <is>
          <t>SKU107</t>
        </is>
      </c>
      <c r="E231" s="4" t="inlineStr">
        <is>
          <t>Stretch Film 500mm</t>
        </is>
      </c>
      <c r="F231" s="4" t="inlineStr">
        <is>
          <t>Packaging &amp; Supplies</t>
        </is>
      </c>
      <c r="G231" s="4" t="inlineStr">
        <is>
          <t>A</t>
        </is>
      </c>
      <c r="H231" s="11" t="n">
        <v>439</v>
      </c>
      <c r="I231" s="4" t="n">
        <v>169</v>
      </c>
      <c r="J231" s="13">
        <f>IF(I231&gt;0,H231/I231,"")</f>
        <v/>
      </c>
      <c r="K231" s="4">
        <f>IF(I231&lt;=0,"NO DEMAND",IF(H231=0,"STOCKOUT",IF(J231&lt;Config!$B$5,"CRITICAL",IF(J231&lt;Config!$B$6,"LOW",IF(J231&gt;Config!$B$7,"EXCESS","HEALTHY")))))</f>
        <v/>
      </c>
      <c r="L231" s="11" t="n">
        <v>324</v>
      </c>
      <c r="M231" s="11" t="n">
        <v>383</v>
      </c>
      <c r="N231" s="11">
        <f>H231*L231</f>
        <v/>
      </c>
      <c r="O231" s="11">
        <f>IF(I231&gt;0,I231*(M231-L231),0)</f>
        <v/>
      </c>
      <c r="P231" s="11" t="n">
        <v>600</v>
      </c>
    </row>
    <row r="232">
      <c r="A232" s="4" t="inlineStr">
        <is>
          <t>WH02</t>
        </is>
      </c>
      <c r="B232" s="4" t="inlineStr">
        <is>
          <t>Jaipur DC</t>
        </is>
      </c>
      <c r="C232" s="4" t="inlineStr">
        <is>
          <t>North</t>
        </is>
      </c>
      <c r="D232" s="4" t="inlineStr">
        <is>
          <t>SKU108</t>
        </is>
      </c>
      <c r="E232" s="4" t="inlineStr">
        <is>
          <t>BOPP Tape 48mm</t>
        </is>
      </c>
      <c r="F232" s="4" t="inlineStr">
        <is>
          <t>Packaging &amp; Supplies</t>
        </is>
      </c>
      <c r="G232" s="4" t="inlineStr">
        <is>
          <t>A</t>
        </is>
      </c>
      <c r="H232" s="11" t="n">
        <v>67</v>
      </c>
      <c r="I232" s="4" t="n">
        <v>83.25</v>
      </c>
      <c r="J232" s="13">
        <f>IF(I232&gt;0,H232/I232,"")</f>
        <v/>
      </c>
      <c r="K232" s="4">
        <f>IF(I232&lt;=0,"NO DEMAND",IF(H232=0,"STOCKOUT",IF(J232&lt;Config!$B$5,"CRITICAL",IF(J232&lt;Config!$B$6,"LOW",IF(J232&gt;Config!$B$7,"EXCESS","HEALTHY")))))</f>
        <v/>
      </c>
      <c r="L232" s="11" t="n">
        <v>699</v>
      </c>
      <c r="M232" s="11" t="n">
        <v>822</v>
      </c>
      <c r="N232" s="11">
        <f>H232*L232</f>
        <v/>
      </c>
      <c r="O232" s="11">
        <f>IF(I232&gt;0,I232*(M232-L232),0)</f>
        <v/>
      </c>
      <c r="P232" s="11" t="n">
        <v>300</v>
      </c>
    </row>
    <row r="233">
      <c r="A233" s="4" t="inlineStr">
        <is>
          <t>WH02</t>
        </is>
      </c>
      <c r="B233" s="4" t="inlineStr">
        <is>
          <t>Jaipur DC</t>
        </is>
      </c>
      <c r="C233" s="4" t="inlineStr">
        <is>
          <t>North</t>
        </is>
      </c>
      <c r="D233" s="4" t="inlineStr">
        <is>
          <t>SKU109</t>
        </is>
      </c>
      <c r="E233" s="4" t="inlineStr">
        <is>
          <t>Bubble Wrap Roll</t>
        </is>
      </c>
      <c r="F233" s="4" t="inlineStr">
        <is>
          <t>Packaging &amp; Supplies</t>
        </is>
      </c>
      <c r="G233" s="4" t="inlineStr">
        <is>
          <t>C</t>
        </is>
      </c>
      <c r="H233" s="11" t="n">
        <v>613</v>
      </c>
      <c r="I233" s="4" t="n">
        <v>179</v>
      </c>
      <c r="J233" s="13">
        <f>IF(I233&gt;0,H233/I233,"")</f>
        <v/>
      </c>
      <c r="K233" s="4">
        <f>IF(I233&lt;=0,"NO DEMAND",IF(H233=0,"STOCKOUT",IF(J233&lt;Config!$B$5,"CRITICAL",IF(J233&lt;Config!$B$6,"LOW",IF(J233&gt;Config!$B$7,"EXCESS","HEALTHY")))))</f>
        <v/>
      </c>
      <c r="L233" s="11" t="n">
        <v>68</v>
      </c>
      <c r="M233" s="11" t="n">
        <v>80</v>
      </c>
      <c r="N233" s="11">
        <f>H233*L233</f>
        <v/>
      </c>
      <c r="O233" s="11">
        <f>IF(I233&gt;0,I233*(M233-L233),0)</f>
        <v/>
      </c>
      <c r="P233" s="11" t="n">
        <v>700</v>
      </c>
    </row>
    <row r="234">
      <c r="A234" s="4" t="inlineStr">
        <is>
          <t>WH02</t>
        </is>
      </c>
      <c r="B234" s="4" t="inlineStr">
        <is>
          <t>Jaipur DC</t>
        </is>
      </c>
      <c r="C234" s="4" t="inlineStr">
        <is>
          <t>North</t>
        </is>
      </c>
      <c r="D234" s="4" t="inlineStr">
        <is>
          <t>SKU110</t>
        </is>
      </c>
      <c r="E234" s="4" t="inlineStr">
        <is>
          <t>Pallet Strapping Roll</t>
        </is>
      </c>
      <c r="F234" s="4" t="inlineStr">
        <is>
          <t>Packaging &amp; Supplies</t>
        </is>
      </c>
      <c r="G234" s="4" t="inlineStr">
        <is>
          <t>C</t>
        </is>
      </c>
      <c r="H234" s="11" t="n">
        <v>481</v>
      </c>
      <c r="I234" s="4" t="n">
        <v>245</v>
      </c>
      <c r="J234" s="13">
        <f>IF(I234&gt;0,H234/I234,"")</f>
        <v/>
      </c>
      <c r="K234" s="4">
        <f>IF(I234&lt;=0,"NO DEMAND",IF(H234=0,"STOCKOUT",IF(J234&lt;Config!$B$5,"CRITICAL",IF(J234&lt;Config!$B$6,"LOW",IF(J234&gt;Config!$B$7,"EXCESS","HEALTHY")))))</f>
        <v/>
      </c>
      <c r="L234" s="11" t="n">
        <v>45</v>
      </c>
      <c r="M234" s="11" t="n">
        <v>53</v>
      </c>
      <c r="N234" s="11">
        <f>H234*L234</f>
        <v/>
      </c>
      <c r="O234" s="11">
        <f>IF(I234&gt;0,I234*(M234-L234),0)</f>
        <v/>
      </c>
      <c r="P234" s="11" t="n">
        <v>800</v>
      </c>
    </row>
    <row r="235">
      <c r="A235" s="4" t="inlineStr">
        <is>
          <t>WH02</t>
        </is>
      </c>
      <c r="B235" s="4" t="inlineStr">
        <is>
          <t>Jaipur DC</t>
        </is>
      </c>
      <c r="C235" s="4" t="inlineStr">
        <is>
          <t>North</t>
        </is>
      </c>
      <c r="D235" s="4" t="inlineStr">
        <is>
          <t>SKU111</t>
        </is>
      </c>
      <c r="E235" s="4" t="inlineStr">
        <is>
          <t>Shipping Labels 1000</t>
        </is>
      </c>
      <c r="F235" s="4" t="inlineStr">
        <is>
          <t>Packaging &amp; Supplies</t>
        </is>
      </c>
      <c r="G235" s="4" t="inlineStr">
        <is>
          <t>A</t>
        </is>
      </c>
      <c r="H235" s="11" t="n">
        <v>550</v>
      </c>
      <c r="I235" s="4" t="n">
        <v>116</v>
      </c>
      <c r="J235" s="13">
        <f>IF(I235&gt;0,H235/I235,"")</f>
        <v/>
      </c>
      <c r="K235" s="4">
        <f>IF(I235&lt;=0,"NO DEMAND",IF(H235=0,"STOCKOUT",IF(J235&lt;Config!$B$5,"CRITICAL",IF(J235&lt;Config!$B$6,"LOW",IF(J235&gt;Config!$B$7,"EXCESS","HEALTHY")))))</f>
        <v/>
      </c>
      <c r="L235" s="11" t="n">
        <v>617</v>
      </c>
      <c r="M235" s="11" t="n">
        <v>741</v>
      </c>
      <c r="N235" s="11">
        <f>H235*L235</f>
        <v/>
      </c>
      <c r="O235" s="11">
        <f>IF(I235&gt;0,I235*(M235-L235),0)</f>
        <v/>
      </c>
      <c r="P235" s="11" t="n">
        <v>0</v>
      </c>
    </row>
    <row r="236">
      <c r="A236" s="4" t="inlineStr">
        <is>
          <t>WH02</t>
        </is>
      </c>
      <c r="B236" s="4" t="inlineStr">
        <is>
          <t>Jaipur DC</t>
        </is>
      </c>
      <c r="C236" s="4" t="inlineStr">
        <is>
          <t>North</t>
        </is>
      </c>
      <c r="D236" s="4" t="inlineStr">
        <is>
          <t>SKU112</t>
        </is>
      </c>
      <c r="E236" s="4" t="inlineStr">
        <is>
          <t>Poly Mailer 100pk</t>
        </is>
      </c>
      <c r="F236" s="4" t="inlineStr">
        <is>
          <t>Packaging &amp; Supplies</t>
        </is>
      </c>
      <c r="G236" s="4" t="inlineStr">
        <is>
          <t>C</t>
        </is>
      </c>
      <c r="H236" s="11" t="n">
        <v>204</v>
      </c>
      <c r="I236" s="4" t="n">
        <v>50</v>
      </c>
      <c r="J236" s="13">
        <f>IF(I236&gt;0,H236/I236,"")</f>
        <v/>
      </c>
      <c r="K236" s="4">
        <f>IF(I236&lt;=0,"NO DEMAND",IF(H236=0,"STOCKOUT",IF(J236&lt;Config!$B$5,"CRITICAL",IF(J236&lt;Config!$B$6,"LOW",IF(J236&gt;Config!$B$7,"EXCESS","HEALTHY")))))</f>
        <v/>
      </c>
      <c r="L236" s="11" t="n">
        <v>93</v>
      </c>
      <c r="M236" s="11" t="n">
        <v>113</v>
      </c>
      <c r="N236" s="11">
        <f>H236*L236</f>
        <v/>
      </c>
      <c r="O236" s="11">
        <f>IF(I236&gt;0,I236*(M236-L236),0)</f>
        <v/>
      </c>
      <c r="P236" s="11" t="n">
        <v>0</v>
      </c>
    </row>
    <row r="237">
      <c r="A237" s="4" t="inlineStr">
        <is>
          <t>WH02</t>
        </is>
      </c>
      <c r="B237" s="4" t="inlineStr">
        <is>
          <t>Jaipur DC</t>
        </is>
      </c>
      <c r="C237" s="4" t="inlineStr">
        <is>
          <t>North</t>
        </is>
      </c>
      <c r="D237" s="4" t="inlineStr">
        <is>
          <t>SKU113</t>
        </is>
      </c>
      <c r="E237" s="4" t="inlineStr">
        <is>
          <t>Void Fill Paper</t>
        </is>
      </c>
      <c r="F237" s="4" t="inlineStr">
        <is>
          <t>Packaging &amp; Supplies</t>
        </is>
      </c>
      <c r="G237" s="4" t="inlineStr">
        <is>
          <t>C</t>
        </is>
      </c>
      <c r="H237" s="11" t="n">
        <v>0</v>
      </c>
      <c r="I237" s="4" t="n">
        <v>88</v>
      </c>
      <c r="J237" s="13">
        <f>IF(I237&gt;0,H237/I237,"")</f>
        <v/>
      </c>
      <c r="K237" s="4">
        <f>IF(I237&lt;=0,"NO DEMAND",IF(H237=0,"STOCKOUT",IF(J237&lt;Config!$B$5,"CRITICAL",IF(J237&lt;Config!$B$6,"LOW",IF(J237&gt;Config!$B$7,"EXCESS","HEALTHY")))))</f>
        <v/>
      </c>
      <c r="L237" s="11" t="n">
        <v>89</v>
      </c>
      <c r="M237" s="11" t="n">
        <v>108</v>
      </c>
      <c r="N237" s="11">
        <f>H237*L237</f>
        <v/>
      </c>
      <c r="O237" s="11">
        <f>IF(I237&gt;0,I237*(M237-L237),0)</f>
        <v/>
      </c>
      <c r="P237" s="11" t="n">
        <v>340</v>
      </c>
    </row>
    <row r="238">
      <c r="A238" s="4" t="inlineStr">
        <is>
          <t>WH02</t>
        </is>
      </c>
      <c r="B238" s="4" t="inlineStr">
        <is>
          <t>Jaipur DC</t>
        </is>
      </c>
      <c r="C238" s="4" t="inlineStr">
        <is>
          <t>North</t>
        </is>
      </c>
      <c r="D238" s="4" t="inlineStr">
        <is>
          <t>SKU114</t>
        </is>
      </c>
      <c r="E238" s="4" t="inlineStr">
        <is>
          <t>Cable Ties 100pk</t>
        </is>
      </c>
      <c r="F238" s="4" t="inlineStr">
        <is>
          <t>Packaging &amp; Supplies</t>
        </is>
      </c>
      <c r="G238" s="4" t="inlineStr">
        <is>
          <t>C</t>
        </is>
      </c>
      <c r="H238" s="11" t="n">
        <v>95</v>
      </c>
      <c r="I238" s="4" t="n">
        <v>375.75</v>
      </c>
      <c r="J238" s="13">
        <f>IF(I238&gt;0,H238/I238,"")</f>
        <v/>
      </c>
      <c r="K238" s="4">
        <f>IF(I238&lt;=0,"NO DEMAND",IF(H238=0,"STOCKOUT",IF(J238&lt;Config!$B$5,"CRITICAL",IF(J238&lt;Config!$B$6,"LOW",IF(J238&gt;Config!$B$7,"EXCESS","HEALTHY")))))</f>
        <v/>
      </c>
      <c r="L238" s="11" t="n">
        <v>66</v>
      </c>
      <c r="M238" s="11" t="n">
        <v>80</v>
      </c>
      <c r="N238" s="11">
        <f>H238*L238</f>
        <v/>
      </c>
      <c r="O238" s="11">
        <f>IF(I238&gt;0,I238*(M238-L238),0)</f>
        <v/>
      </c>
      <c r="P238" s="11" t="n">
        <v>1820</v>
      </c>
    </row>
    <row r="239">
      <c r="A239" s="4" t="inlineStr">
        <is>
          <t>WH02</t>
        </is>
      </c>
      <c r="B239" s="4" t="inlineStr">
        <is>
          <t>Jaipur DC</t>
        </is>
      </c>
      <c r="C239" s="4" t="inlineStr">
        <is>
          <t>North</t>
        </is>
      </c>
      <c r="D239" s="4" t="inlineStr">
        <is>
          <t>SKU115</t>
        </is>
      </c>
      <c r="E239" s="4" t="inlineStr">
        <is>
          <t>Edge Protectors 50pk</t>
        </is>
      </c>
      <c r="F239" s="4" t="inlineStr">
        <is>
          <t>Packaging &amp; Supplies</t>
        </is>
      </c>
      <c r="G239" s="4" t="inlineStr">
        <is>
          <t>C</t>
        </is>
      </c>
      <c r="H239" s="11" t="n">
        <v>199</v>
      </c>
      <c r="I239" s="4" t="n">
        <v>89</v>
      </c>
      <c r="J239" s="13">
        <f>IF(I239&gt;0,H239/I239,"")</f>
        <v/>
      </c>
      <c r="K239" s="4">
        <f>IF(I239&lt;=0,"NO DEMAND",IF(H239=0,"STOCKOUT",IF(J239&lt;Config!$B$5,"CRITICAL",IF(J239&lt;Config!$B$6,"LOW",IF(J239&gt;Config!$B$7,"EXCESS","HEALTHY")))))</f>
        <v/>
      </c>
      <c r="L239" s="11" t="n">
        <v>52</v>
      </c>
      <c r="M239" s="11" t="n">
        <v>63</v>
      </c>
      <c r="N239" s="11">
        <f>H239*L239</f>
        <v/>
      </c>
      <c r="O239" s="11">
        <f>IF(I239&gt;0,I239*(M239-L239),0)</f>
        <v/>
      </c>
      <c r="P239" s="11" t="n">
        <v>320</v>
      </c>
    </row>
    <row r="240">
      <c r="A240" s="4" t="inlineStr">
        <is>
          <t>WH02</t>
        </is>
      </c>
      <c r="B240" s="4" t="inlineStr">
        <is>
          <t>Jaipur DC</t>
        </is>
      </c>
      <c r="C240" s="4" t="inlineStr">
        <is>
          <t>North</t>
        </is>
      </c>
      <c r="D240" s="4" t="inlineStr">
        <is>
          <t>SKU116</t>
        </is>
      </c>
      <c r="E240" s="4" t="inlineStr">
        <is>
          <t>Pallet Wrap Hand</t>
        </is>
      </c>
      <c r="F240" s="4" t="inlineStr">
        <is>
          <t>Packaging &amp; Supplies</t>
        </is>
      </c>
      <c r="G240" s="4" t="inlineStr">
        <is>
          <t>C</t>
        </is>
      </c>
      <c r="H240" s="11" t="n">
        <v>58</v>
      </c>
      <c r="I240" s="4" t="n">
        <v>79</v>
      </c>
      <c r="J240" s="13">
        <f>IF(I240&gt;0,H240/I240,"")</f>
        <v/>
      </c>
      <c r="K240" s="4">
        <f>IF(I240&lt;=0,"NO DEMAND",IF(H240=0,"STOCKOUT",IF(J240&lt;Config!$B$5,"CRITICAL",IF(J240&lt;Config!$B$6,"LOW",IF(J240&gt;Config!$B$7,"EXCESS","HEALTHY")))))</f>
        <v/>
      </c>
      <c r="L240" s="11" t="n">
        <v>39</v>
      </c>
      <c r="M240" s="11" t="n">
        <v>47</v>
      </c>
      <c r="N240" s="11">
        <f>H240*L240</f>
        <v/>
      </c>
      <c r="O240" s="11">
        <f>IF(I240&gt;0,I240*(M240-L240),0)</f>
        <v/>
      </c>
      <c r="P240" s="11" t="n">
        <v>240</v>
      </c>
    </row>
    <row r="241">
      <c r="A241" s="4" t="inlineStr">
        <is>
          <t>WH02</t>
        </is>
      </c>
      <c r="B241" s="4" t="inlineStr">
        <is>
          <t>Jaipur DC</t>
        </is>
      </c>
      <c r="C241" s="4" t="inlineStr">
        <is>
          <t>North</t>
        </is>
      </c>
      <c r="D241" s="4" t="inlineStr">
        <is>
          <t>SKU117</t>
        </is>
      </c>
      <c r="E241" s="4" t="inlineStr">
        <is>
          <t>Courier Bags 100pk</t>
        </is>
      </c>
      <c r="F241" s="4" t="inlineStr">
        <is>
          <t>Packaging &amp; Supplies</t>
        </is>
      </c>
      <c r="G241" s="4" t="inlineStr">
        <is>
          <t>C</t>
        </is>
      </c>
      <c r="H241" s="11" t="n">
        <v>554</v>
      </c>
      <c r="I241" s="4" t="n">
        <v>235</v>
      </c>
      <c r="J241" s="13">
        <f>IF(I241&gt;0,H241/I241,"")</f>
        <v/>
      </c>
      <c r="K241" s="4">
        <f>IF(I241&lt;=0,"NO DEMAND",IF(H241=0,"STOCKOUT",IF(J241&lt;Config!$B$5,"CRITICAL",IF(J241&lt;Config!$B$6,"LOW",IF(J241&gt;Config!$B$7,"EXCESS","HEALTHY")))))</f>
        <v/>
      </c>
      <c r="L241" s="11" t="n">
        <v>21</v>
      </c>
      <c r="M241" s="11" t="n">
        <v>25</v>
      </c>
      <c r="N241" s="11">
        <f>H241*L241</f>
        <v/>
      </c>
      <c r="O241" s="11">
        <f>IF(I241&gt;0,I241*(M241-L241),0)</f>
        <v/>
      </c>
      <c r="P241" s="11" t="n">
        <v>0</v>
      </c>
    </row>
    <row r="242">
      <c r="A242" s="4" t="inlineStr">
        <is>
          <t>WH02</t>
        </is>
      </c>
      <c r="B242" s="4" t="inlineStr">
        <is>
          <t>Jaipur DC</t>
        </is>
      </c>
      <c r="C242" s="4" t="inlineStr">
        <is>
          <t>North</t>
        </is>
      </c>
      <c r="D242" s="4" t="inlineStr">
        <is>
          <t>SKU118</t>
        </is>
      </c>
      <c r="E242" s="4" t="inlineStr">
        <is>
          <t>Thermal Paper Roll 20pk</t>
        </is>
      </c>
      <c r="F242" s="4" t="inlineStr">
        <is>
          <t>Packaging &amp; Supplies</t>
        </is>
      </c>
      <c r="G242" s="4" t="inlineStr">
        <is>
          <t>B</t>
        </is>
      </c>
      <c r="H242" s="11" t="n">
        <v>639</v>
      </c>
      <c r="I242" s="4" t="n">
        <v>307.75</v>
      </c>
      <c r="J242" s="13">
        <f>IF(I242&gt;0,H242/I242,"")</f>
        <v/>
      </c>
      <c r="K242" s="4">
        <f>IF(I242&lt;=0,"NO DEMAND",IF(H242=0,"STOCKOUT",IF(J242&lt;Config!$B$5,"CRITICAL",IF(J242&lt;Config!$B$6,"LOW",IF(J242&gt;Config!$B$7,"EXCESS","HEALTHY")))))</f>
        <v/>
      </c>
      <c r="L242" s="11" t="n">
        <v>181</v>
      </c>
      <c r="M242" s="11" t="n">
        <v>218</v>
      </c>
      <c r="N242" s="11">
        <f>H242*L242</f>
        <v/>
      </c>
      <c r="O242" s="11">
        <f>IF(I242&gt;0,I242*(M242-L242),0)</f>
        <v/>
      </c>
      <c r="P242" s="11" t="n">
        <v>940</v>
      </c>
    </row>
    <row r="243">
      <c r="A243" s="4" t="inlineStr">
        <is>
          <t>WH02</t>
        </is>
      </c>
      <c r="B243" s="4" t="inlineStr">
        <is>
          <t>Jaipur DC</t>
        </is>
      </c>
      <c r="C243" s="4" t="inlineStr">
        <is>
          <t>North</t>
        </is>
      </c>
      <c r="D243" s="4" t="inlineStr">
        <is>
          <t>SKU119</t>
        </is>
      </c>
      <c r="E243" s="4" t="inlineStr">
        <is>
          <t>Safety Gloves 12pk</t>
        </is>
      </c>
      <c r="F243" s="4" t="inlineStr">
        <is>
          <t>Packaging &amp; Supplies</t>
        </is>
      </c>
      <c r="G243" s="4" t="inlineStr">
        <is>
          <t>A</t>
        </is>
      </c>
      <c r="H243" s="11" t="n">
        <v>371</v>
      </c>
      <c r="I243" s="4" t="n">
        <v>260.5</v>
      </c>
      <c r="J243" s="13">
        <f>IF(I243&gt;0,H243/I243,"")</f>
        <v/>
      </c>
      <c r="K243" s="4">
        <f>IF(I243&lt;=0,"NO DEMAND",IF(H243=0,"STOCKOUT",IF(J243&lt;Config!$B$5,"CRITICAL",IF(J243&lt;Config!$B$6,"LOW",IF(J243&gt;Config!$B$7,"EXCESS","HEALTHY")))))</f>
        <v/>
      </c>
      <c r="L243" s="11" t="n">
        <v>420</v>
      </c>
      <c r="M243" s="11" t="n">
        <v>511</v>
      </c>
      <c r="N243" s="11">
        <f>H243*L243</f>
        <v/>
      </c>
      <c r="O243" s="11">
        <f>IF(I243&gt;0,I243*(M243-L243),0)</f>
        <v/>
      </c>
      <c r="P243" s="11" t="n">
        <v>1000</v>
      </c>
    </row>
    <row r="244">
      <c r="A244" s="4" t="inlineStr">
        <is>
          <t>WH02</t>
        </is>
      </c>
      <c r="B244" s="4" t="inlineStr">
        <is>
          <t>Jaipur DC</t>
        </is>
      </c>
      <c r="C244" s="4" t="inlineStr">
        <is>
          <t>North</t>
        </is>
      </c>
      <c r="D244" s="4" t="inlineStr">
        <is>
          <t>SKU120</t>
        </is>
      </c>
      <c r="E244" s="4" t="inlineStr">
        <is>
          <t>Cutter Blades 10pk</t>
        </is>
      </c>
      <c r="F244" s="4" t="inlineStr">
        <is>
          <t>Packaging &amp; Supplies</t>
        </is>
      </c>
      <c r="G244" s="4" t="inlineStr">
        <is>
          <t>C</t>
        </is>
      </c>
      <c r="H244" s="11" t="n">
        <v>376</v>
      </c>
      <c r="I244" s="4" t="n">
        <v>180</v>
      </c>
      <c r="J244" s="13">
        <f>IF(I244&gt;0,H244/I244,"")</f>
        <v/>
      </c>
      <c r="K244" s="4">
        <f>IF(I244&lt;=0,"NO DEMAND",IF(H244=0,"STOCKOUT",IF(J244&lt;Config!$B$5,"CRITICAL",IF(J244&lt;Config!$B$6,"LOW",IF(J244&gt;Config!$B$7,"EXCESS","HEALTHY")))))</f>
        <v/>
      </c>
      <c r="L244" s="11" t="n">
        <v>30</v>
      </c>
      <c r="M244" s="11" t="n">
        <v>35</v>
      </c>
      <c r="N244" s="11">
        <f>H244*L244</f>
        <v/>
      </c>
      <c r="O244" s="11">
        <f>IF(I244&gt;0,I244*(M244-L244),0)</f>
        <v/>
      </c>
      <c r="P244" s="11" t="n">
        <v>680</v>
      </c>
    </row>
    <row r="245">
      <c r="A245" s="4" t="inlineStr">
        <is>
          <t>WH03</t>
        </is>
      </c>
      <c r="B245" s="4" t="inlineStr">
        <is>
          <t>Lucknow DC</t>
        </is>
      </c>
      <c r="C245" s="4" t="inlineStr">
        <is>
          <t>North</t>
        </is>
      </c>
      <c r="D245" s="4" t="inlineStr">
        <is>
          <t>SKU001</t>
        </is>
      </c>
      <c r="E245" s="4" t="inlineStr">
        <is>
          <t>Atta 5kg</t>
        </is>
      </c>
      <c r="F245" s="4" t="inlineStr">
        <is>
          <t>Packaged Staples</t>
        </is>
      </c>
      <c r="G245" s="4" t="inlineStr">
        <is>
          <t>A</t>
        </is>
      </c>
      <c r="H245" s="11" t="n">
        <v>938</v>
      </c>
      <c r="I245" s="4" t="n">
        <v>156.25</v>
      </c>
      <c r="J245" s="13">
        <f>IF(I245&gt;0,H245/I245,"")</f>
        <v/>
      </c>
      <c r="K245" s="4">
        <f>IF(I245&lt;=0,"NO DEMAND",IF(H245=0,"STOCKOUT",IF(J245&lt;Config!$B$5,"CRITICAL",IF(J245&lt;Config!$B$6,"LOW",IF(J245&gt;Config!$B$7,"EXCESS","HEALTHY")))))</f>
        <v/>
      </c>
      <c r="L245" s="11" t="n">
        <v>152</v>
      </c>
      <c r="M245" s="11" t="n">
        <v>168</v>
      </c>
      <c r="N245" s="11">
        <f>H245*L245</f>
        <v/>
      </c>
      <c r="O245" s="11">
        <f>IF(I245&gt;0,I245*(M245-L245),0)</f>
        <v/>
      </c>
      <c r="P245" s="11" t="n">
        <v>0</v>
      </c>
    </row>
    <row r="246">
      <c r="A246" s="4" t="inlineStr">
        <is>
          <t>WH03</t>
        </is>
      </c>
      <c r="B246" s="4" t="inlineStr">
        <is>
          <t>Lucknow DC</t>
        </is>
      </c>
      <c r="C246" s="4" t="inlineStr">
        <is>
          <t>North</t>
        </is>
      </c>
      <c r="D246" s="4" t="inlineStr">
        <is>
          <t>SKU002</t>
        </is>
      </c>
      <c r="E246" s="4" t="inlineStr">
        <is>
          <t>Basmati Rice 5kg</t>
        </is>
      </c>
      <c r="F246" s="4" t="inlineStr">
        <is>
          <t>Packaged Staples</t>
        </is>
      </c>
      <c r="G246" s="4" t="inlineStr">
        <is>
          <t>B</t>
        </is>
      </c>
      <c r="H246" s="11" t="n">
        <v>2518</v>
      </c>
      <c r="I246" s="4" t="n">
        <v>584.75</v>
      </c>
      <c r="J246" s="13">
        <f>IF(I246&gt;0,H246/I246,"")</f>
        <v/>
      </c>
      <c r="K246" s="4">
        <f>IF(I246&lt;=0,"NO DEMAND",IF(H246=0,"STOCKOUT",IF(J246&lt;Config!$B$5,"CRITICAL",IF(J246&lt;Config!$B$6,"LOW",IF(J246&gt;Config!$B$7,"EXCESS","HEALTHY")))))</f>
        <v/>
      </c>
      <c r="L246" s="11" t="n">
        <v>59</v>
      </c>
      <c r="M246" s="11" t="n">
        <v>66</v>
      </c>
      <c r="N246" s="11">
        <f>H246*L246</f>
        <v/>
      </c>
      <c r="O246" s="11">
        <f>IF(I246&gt;0,I246*(M246-L246),0)</f>
        <v/>
      </c>
      <c r="P246" s="11" t="n">
        <v>0</v>
      </c>
    </row>
    <row r="247">
      <c r="A247" s="4" t="inlineStr">
        <is>
          <t>WH03</t>
        </is>
      </c>
      <c r="B247" s="4" t="inlineStr">
        <is>
          <t>Lucknow DC</t>
        </is>
      </c>
      <c r="C247" s="4" t="inlineStr">
        <is>
          <t>North</t>
        </is>
      </c>
      <c r="D247" s="4" t="inlineStr">
        <is>
          <t>SKU003</t>
        </is>
      </c>
      <c r="E247" s="4" t="inlineStr">
        <is>
          <t>Toor Dal 1kg</t>
        </is>
      </c>
      <c r="F247" s="4" t="inlineStr">
        <is>
          <t>Packaged Staples</t>
        </is>
      </c>
      <c r="G247" s="4" t="inlineStr">
        <is>
          <t>A</t>
        </is>
      </c>
      <c r="H247" s="11" t="n">
        <v>2247</v>
      </c>
      <c r="I247" s="4" t="n">
        <v>327</v>
      </c>
      <c r="J247" s="13">
        <f>IF(I247&gt;0,H247/I247,"")</f>
        <v/>
      </c>
      <c r="K247" s="4">
        <f>IF(I247&lt;=0,"NO DEMAND",IF(H247=0,"STOCKOUT",IF(J247&lt;Config!$B$5,"CRITICAL",IF(J247&lt;Config!$B$6,"LOW",IF(J247&gt;Config!$B$7,"EXCESS","HEALTHY")))))</f>
        <v/>
      </c>
      <c r="L247" s="11" t="n">
        <v>61</v>
      </c>
      <c r="M247" s="11" t="n">
        <v>69</v>
      </c>
      <c r="N247" s="11">
        <f>H247*L247</f>
        <v/>
      </c>
      <c r="O247" s="11">
        <f>IF(I247&gt;0,I247*(M247-L247),0)</f>
        <v/>
      </c>
      <c r="P247" s="11" t="n">
        <v>0</v>
      </c>
    </row>
    <row r="248">
      <c r="A248" s="4" t="inlineStr">
        <is>
          <t>WH03</t>
        </is>
      </c>
      <c r="B248" s="4" t="inlineStr">
        <is>
          <t>Lucknow DC</t>
        </is>
      </c>
      <c r="C248" s="4" t="inlineStr">
        <is>
          <t>North</t>
        </is>
      </c>
      <c r="D248" s="4" t="inlineStr">
        <is>
          <t>SKU004</t>
        </is>
      </c>
      <c r="E248" s="4" t="inlineStr">
        <is>
          <t>Moong Dal 1kg</t>
        </is>
      </c>
      <c r="F248" s="4" t="inlineStr">
        <is>
          <t>Packaged Staples</t>
        </is>
      </c>
      <c r="G248" s="4" t="inlineStr">
        <is>
          <t>B</t>
        </is>
      </c>
      <c r="H248" s="11" t="n">
        <v>672</v>
      </c>
      <c r="I248" s="4" t="n">
        <v>1033.25</v>
      </c>
      <c r="J248" s="13">
        <f>IF(I248&gt;0,H248/I248,"")</f>
        <v/>
      </c>
      <c r="K248" s="4">
        <f>IF(I248&lt;=0,"NO DEMAND",IF(H248=0,"STOCKOUT",IF(J248&lt;Config!$B$5,"CRITICAL",IF(J248&lt;Config!$B$6,"LOW",IF(J248&gt;Config!$B$7,"EXCESS","HEALTHY")))))</f>
        <v/>
      </c>
      <c r="L248" s="11" t="n">
        <v>80</v>
      </c>
      <c r="M248" s="11" t="n">
        <v>91</v>
      </c>
      <c r="N248" s="11">
        <f>H248*L248</f>
        <v/>
      </c>
      <c r="O248" s="11">
        <f>IF(I248&gt;0,I248*(M248-L248),0)</f>
        <v/>
      </c>
      <c r="P248" s="11" t="n">
        <v>3564</v>
      </c>
    </row>
    <row r="249">
      <c r="A249" s="4" t="inlineStr">
        <is>
          <t>WH03</t>
        </is>
      </c>
      <c r="B249" s="4" t="inlineStr">
        <is>
          <t>Lucknow DC</t>
        </is>
      </c>
      <c r="C249" s="4" t="inlineStr">
        <is>
          <t>North</t>
        </is>
      </c>
      <c r="D249" s="4" t="inlineStr">
        <is>
          <t>SKU005</t>
        </is>
      </c>
      <c r="E249" s="4" t="inlineStr">
        <is>
          <t>Sunflower Oil 1L</t>
        </is>
      </c>
      <c r="F249" s="4" t="inlineStr">
        <is>
          <t>Packaged Staples</t>
        </is>
      </c>
      <c r="G249" s="4" t="inlineStr">
        <is>
          <t>A</t>
        </is>
      </c>
      <c r="H249" s="11" t="n">
        <v>2249</v>
      </c>
      <c r="I249" s="4" t="n">
        <v>1024.25</v>
      </c>
      <c r="J249" s="13">
        <f>IF(I249&gt;0,H249/I249,"")</f>
        <v/>
      </c>
      <c r="K249" s="4">
        <f>IF(I249&lt;=0,"NO DEMAND",IF(H249=0,"STOCKOUT",IF(J249&lt;Config!$B$5,"CRITICAL",IF(J249&lt;Config!$B$6,"LOW",IF(J249&gt;Config!$B$7,"EXCESS","HEALTHY")))))</f>
        <v/>
      </c>
      <c r="L249" s="11" t="n">
        <v>245</v>
      </c>
      <c r="M249" s="11" t="n">
        <v>273</v>
      </c>
      <c r="N249" s="11">
        <f>H249*L249</f>
        <v/>
      </c>
      <c r="O249" s="11">
        <f>IF(I249&gt;0,I249*(M249-L249),0)</f>
        <v/>
      </c>
      <c r="P249" s="11" t="n">
        <v>0</v>
      </c>
    </row>
    <row r="250">
      <c r="A250" s="4" t="inlineStr">
        <is>
          <t>WH03</t>
        </is>
      </c>
      <c r="B250" s="4" t="inlineStr">
        <is>
          <t>Lucknow DC</t>
        </is>
      </c>
      <c r="C250" s="4" t="inlineStr">
        <is>
          <t>North</t>
        </is>
      </c>
      <c r="D250" s="4" t="inlineStr">
        <is>
          <t>SKU006</t>
        </is>
      </c>
      <c r="E250" s="4" t="inlineStr">
        <is>
          <t>Mustard Oil 1L</t>
        </is>
      </c>
      <c r="F250" s="4" t="inlineStr">
        <is>
          <t>Packaged Staples</t>
        </is>
      </c>
      <c r="G250" s="4" t="inlineStr">
        <is>
          <t>B</t>
        </is>
      </c>
      <c r="H250" s="11" t="n">
        <v>552</v>
      </c>
      <c r="I250" s="4" t="n">
        <v>123</v>
      </c>
      <c r="J250" s="13">
        <f>IF(I250&gt;0,H250/I250,"")</f>
        <v/>
      </c>
      <c r="K250" s="4">
        <f>IF(I250&lt;=0,"NO DEMAND",IF(H250=0,"STOCKOUT",IF(J250&lt;Config!$B$5,"CRITICAL",IF(J250&lt;Config!$B$6,"LOW",IF(J250&gt;Config!$B$7,"EXCESS","HEALTHY")))))</f>
        <v/>
      </c>
      <c r="L250" s="11" t="n">
        <v>68</v>
      </c>
      <c r="M250" s="11" t="n">
        <v>77</v>
      </c>
      <c r="N250" s="11">
        <f>H250*L250</f>
        <v/>
      </c>
      <c r="O250" s="11">
        <f>IF(I250&gt;0,I250*(M250-L250),0)</f>
        <v/>
      </c>
      <c r="P250" s="11" t="n">
        <v>0</v>
      </c>
    </row>
    <row r="251">
      <c r="A251" s="4" t="inlineStr">
        <is>
          <t>WH03</t>
        </is>
      </c>
      <c r="B251" s="4" t="inlineStr">
        <is>
          <t>Lucknow DC</t>
        </is>
      </c>
      <c r="C251" s="4" t="inlineStr">
        <is>
          <t>North</t>
        </is>
      </c>
      <c r="D251" s="4" t="inlineStr">
        <is>
          <t>SKU007</t>
        </is>
      </c>
      <c r="E251" s="4" t="inlineStr">
        <is>
          <t>Sugar 1kg</t>
        </is>
      </c>
      <c r="F251" s="4" t="inlineStr">
        <is>
          <t>Packaged Staples</t>
        </is>
      </c>
      <c r="G251" s="4" t="inlineStr">
        <is>
          <t>A</t>
        </is>
      </c>
      <c r="H251" s="11" t="n">
        <v>0</v>
      </c>
      <c r="I251" s="4" t="n">
        <v>1127</v>
      </c>
      <c r="J251" s="13">
        <f>IF(I251&gt;0,H251/I251,"")</f>
        <v/>
      </c>
      <c r="K251" s="4">
        <f>IF(I251&lt;=0,"NO DEMAND",IF(H251=0,"STOCKOUT",IF(J251&lt;Config!$B$5,"CRITICAL",IF(J251&lt;Config!$B$6,"LOW",IF(J251&gt;Config!$B$7,"EXCESS","HEALTHY")))))</f>
        <v/>
      </c>
      <c r="L251" s="11" t="n">
        <v>129</v>
      </c>
      <c r="M251" s="11" t="n">
        <v>143</v>
      </c>
      <c r="N251" s="11">
        <f>H251*L251</f>
        <v/>
      </c>
      <c r="O251" s="11">
        <f>IF(I251&gt;0,I251*(M251-L251),0)</f>
        <v/>
      </c>
      <c r="P251" s="11" t="n">
        <v>4284</v>
      </c>
    </row>
    <row r="252">
      <c r="A252" s="4" t="inlineStr">
        <is>
          <t>WH03</t>
        </is>
      </c>
      <c r="B252" s="4" t="inlineStr">
        <is>
          <t>Lucknow DC</t>
        </is>
      </c>
      <c r="C252" s="4" t="inlineStr">
        <is>
          <t>North</t>
        </is>
      </c>
      <c r="D252" s="4" t="inlineStr">
        <is>
          <t>SKU008</t>
        </is>
      </c>
      <c r="E252" s="4" t="inlineStr">
        <is>
          <t>Iodized Salt 1kg</t>
        </is>
      </c>
      <c r="F252" s="4" t="inlineStr">
        <is>
          <t>Packaged Staples</t>
        </is>
      </c>
      <c r="G252" s="4" t="inlineStr">
        <is>
          <t>A</t>
        </is>
      </c>
      <c r="H252" s="11" t="n">
        <v>1219</v>
      </c>
      <c r="I252" s="4" t="n">
        <v>131.25</v>
      </c>
      <c r="J252" s="13">
        <f>IF(I252&gt;0,H252/I252,"")</f>
        <v/>
      </c>
      <c r="K252" s="4">
        <f>IF(I252&lt;=0,"NO DEMAND",IF(H252=0,"STOCKOUT",IF(J252&lt;Config!$B$5,"CRITICAL",IF(J252&lt;Config!$B$6,"LOW",IF(J252&gt;Config!$B$7,"EXCESS","HEALTHY")))))</f>
        <v/>
      </c>
      <c r="L252" s="11" t="n">
        <v>140</v>
      </c>
      <c r="M252" s="11" t="n">
        <v>156</v>
      </c>
      <c r="N252" s="11">
        <f>H252*L252</f>
        <v/>
      </c>
      <c r="O252" s="11">
        <f>IF(I252&gt;0,I252*(M252-L252),0)</f>
        <v/>
      </c>
      <c r="P252" s="11" t="n">
        <v>0</v>
      </c>
    </row>
    <row r="253">
      <c r="A253" s="4" t="inlineStr">
        <is>
          <t>WH03</t>
        </is>
      </c>
      <c r="B253" s="4" t="inlineStr">
        <is>
          <t>Lucknow DC</t>
        </is>
      </c>
      <c r="C253" s="4" t="inlineStr">
        <is>
          <t>North</t>
        </is>
      </c>
      <c r="D253" s="4" t="inlineStr">
        <is>
          <t>SKU009</t>
        </is>
      </c>
      <c r="E253" s="4" t="inlineStr">
        <is>
          <t>Tea Leaves 500g</t>
        </is>
      </c>
      <c r="F253" s="4" t="inlineStr">
        <is>
          <t>Packaged Staples</t>
        </is>
      </c>
      <c r="G253" s="4" t="inlineStr">
        <is>
          <t>A</t>
        </is>
      </c>
      <c r="H253" s="11" t="n">
        <v>2864</v>
      </c>
      <c r="I253" s="4" t="n">
        <v>1109</v>
      </c>
      <c r="J253" s="13">
        <f>IF(I253&gt;0,H253/I253,"")</f>
        <v/>
      </c>
      <c r="K253" s="4">
        <f>IF(I253&lt;=0,"NO DEMAND",IF(H253=0,"STOCKOUT",IF(J253&lt;Config!$B$5,"CRITICAL",IF(J253&lt;Config!$B$6,"LOW",IF(J253&gt;Config!$B$7,"EXCESS","HEALTHY")))))</f>
        <v/>
      </c>
      <c r="L253" s="11" t="n">
        <v>103</v>
      </c>
      <c r="M253" s="11" t="n">
        <v>116</v>
      </c>
      <c r="N253" s="11">
        <f>H253*L253</f>
        <v/>
      </c>
      <c r="O253" s="11">
        <f>IF(I253&gt;0,I253*(M253-L253),0)</f>
        <v/>
      </c>
      <c r="P253" s="11" t="n">
        <v>0</v>
      </c>
    </row>
    <row r="254">
      <c r="A254" s="4" t="inlineStr">
        <is>
          <t>WH03</t>
        </is>
      </c>
      <c r="B254" s="4" t="inlineStr">
        <is>
          <t>Lucknow DC</t>
        </is>
      </c>
      <c r="C254" s="4" t="inlineStr">
        <is>
          <t>North</t>
        </is>
      </c>
      <c r="D254" s="4" t="inlineStr">
        <is>
          <t>SKU010</t>
        </is>
      </c>
      <c r="E254" s="4" t="inlineStr">
        <is>
          <t>Poha 500g</t>
        </is>
      </c>
      <c r="F254" s="4" t="inlineStr">
        <is>
          <t>Packaged Staples</t>
        </is>
      </c>
      <c r="G254" s="4" t="inlineStr">
        <is>
          <t>B</t>
        </is>
      </c>
      <c r="H254" s="11" t="n">
        <v>2600</v>
      </c>
      <c r="I254" s="4" t="n">
        <v>596.5</v>
      </c>
      <c r="J254" s="13">
        <f>IF(I254&gt;0,H254/I254,"")</f>
        <v/>
      </c>
      <c r="K254" s="4">
        <f>IF(I254&lt;=0,"NO DEMAND",IF(H254=0,"STOCKOUT",IF(J254&lt;Config!$B$5,"CRITICAL",IF(J254&lt;Config!$B$6,"LOW",IF(J254&gt;Config!$B$7,"EXCESS","HEALTHY")))))</f>
        <v/>
      </c>
      <c r="L254" s="11" t="n">
        <v>40</v>
      </c>
      <c r="M254" s="11" t="n">
        <v>45</v>
      </c>
      <c r="N254" s="11">
        <f>H254*L254</f>
        <v/>
      </c>
      <c r="O254" s="11">
        <f>IF(I254&gt;0,I254*(M254-L254),0)</f>
        <v/>
      </c>
      <c r="P254" s="11" t="n">
        <v>0</v>
      </c>
    </row>
    <row r="255">
      <c r="A255" s="4" t="inlineStr">
        <is>
          <t>WH03</t>
        </is>
      </c>
      <c r="B255" s="4" t="inlineStr">
        <is>
          <t>Lucknow DC</t>
        </is>
      </c>
      <c r="C255" s="4" t="inlineStr">
        <is>
          <t>North</t>
        </is>
      </c>
      <c r="D255" s="4" t="inlineStr">
        <is>
          <t>SKU011</t>
        </is>
      </c>
      <c r="E255" s="4" t="inlineStr">
        <is>
          <t>Besan 1kg</t>
        </is>
      </c>
      <c r="F255" s="4" t="inlineStr">
        <is>
          <t>Packaged Staples</t>
        </is>
      </c>
      <c r="G255" s="4" t="inlineStr">
        <is>
          <t>A</t>
        </is>
      </c>
      <c r="H255" s="11" t="n">
        <v>1509</v>
      </c>
      <c r="I255" s="4" t="n">
        <v>638.75</v>
      </c>
      <c r="J255" s="13">
        <f>IF(I255&gt;0,H255/I255,"")</f>
        <v/>
      </c>
      <c r="K255" s="4">
        <f>IF(I255&lt;=0,"NO DEMAND",IF(H255=0,"STOCKOUT",IF(J255&lt;Config!$B$5,"CRITICAL",IF(J255&lt;Config!$B$6,"LOW",IF(J255&gt;Config!$B$7,"EXCESS","HEALTHY")))))</f>
        <v/>
      </c>
      <c r="L255" s="11" t="n">
        <v>110</v>
      </c>
      <c r="M255" s="11" t="n">
        <v>122</v>
      </c>
      <c r="N255" s="11">
        <f>H255*L255</f>
        <v/>
      </c>
      <c r="O255" s="11">
        <f>IF(I255&gt;0,I255*(M255-L255),0)</f>
        <v/>
      </c>
      <c r="P255" s="11" t="n">
        <v>2616</v>
      </c>
    </row>
    <row r="256">
      <c r="A256" s="4" t="inlineStr">
        <is>
          <t>WH03</t>
        </is>
      </c>
      <c r="B256" s="4" t="inlineStr">
        <is>
          <t>Lucknow DC</t>
        </is>
      </c>
      <c r="C256" s="4" t="inlineStr">
        <is>
          <t>North</t>
        </is>
      </c>
      <c r="D256" s="4" t="inlineStr">
        <is>
          <t>SKU012</t>
        </is>
      </c>
      <c r="E256" s="4" t="inlineStr">
        <is>
          <t>Rajma 1kg</t>
        </is>
      </c>
      <c r="F256" s="4" t="inlineStr">
        <is>
          <t>Packaged Staples</t>
        </is>
      </c>
      <c r="G256" s="4" t="inlineStr">
        <is>
          <t>B</t>
        </is>
      </c>
      <c r="H256" s="11" t="n">
        <v>4463</v>
      </c>
      <c r="I256" s="4" t="n">
        <v>1322.25</v>
      </c>
      <c r="J256" s="13">
        <f>IF(I256&gt;0,H256/I256,"")</f>
        <v/>
      </c>
      <c r="K256" s="4">
        <f>IF(I256&lt;=0,"NO DEMAND",IF(H256=0,"STOCKOUT",IF(J256&lt;Config!$B$5,"CRITICAL",IF(J256&lt;Config!$B$6,"LOW",IF(J256&gt;Config!$B$7,"EXCESS","HEALTHY")))))</f>
        <v/>
      </c>
      <c r="L256" s="11" t="n">
        <v>45</v>
      </c>
      <c r="M256" s="11" t="n">
        <v>50</v>
      </c>
      <c r="N256" s="11">
        <f>H256*L256</f>
        <v/>
      </c>
      <c r="O256" s="11">
        <f>IF(I256&gt;0,I256*(M256-L256),0)</f>
        <v/>
      </c>
      <c r="P256" s="11" t="n">
        <v>0</v>
      </c>
    </row>
    <row r="257">
      <c r="A257" s="4" t="inlineStr">
        <is>
          <t>WH03</t>
        </is>
      </c>
      <c r="B257" s="4" t="inlineStr">
        <is>
          <t>Lucknow DC</t>
        </is>
      </c>
      <c r="C257" s="4" t="inlineStr">
        <is>
          <t>North</t>
        </is>
      </c>
      <c r="D257" s="4" t="inlineStr">
        <is>
          <t>SKU013</t>
        </is>
      </c>
      <c r="E257" s="4" t="inlineStr">
        <is>
          <t>Jaggery 1kg</t>
        </is>
      </c>
      <c r="F257" s="4" t="inlineStr">
        <is>
          <t>Packaged Staples</t>
        </is>
      </c>
      <c r="G257" s="4" t="inlineStr">
        <is>
          <t>A</t>
        </is>
      </c>
      <c r="H257" s="11" t="n">
        <v>0</v>
      </c>
      <c r="I257" s="4" t="n">
        <v>910.25</v>
      </c>
      <c r="J257" s="13">
        <f>IF(I257&gt;0,H257/I257,"")</f>
        <v/>
      </c>
      <c r="K257" s="4">
        <f>IF(I257&lt;=0,"NO DEMAND",IF(H257=0,"STOCKOUT",IF(J257&lt;Config!$B$5,"CRITICAL",IF(J257&lt;Config!$B$6,"LOW",IF(J257&gt;Config!$B$7,"EXCESS","HEALTHY")))))</f>
        <v/>
      </c>
      <c r="L257" s="11" t="n">
        <v>125</v>
      </c>
      <c r="M257" s="11" t="n">
        <v>140</v>
      </c>
      <c r="N257" s="11">
        <f>H257*L257</f>
        <v/>
      </c>
      <c r="O257" s="11">
        <f>IF(I257&gt;0,I257*(M257-L257),0)</f>
        <v/>
      </c>
      <c r="P257" s="11" t="n">
        <v>3156</v>
      </c>
    </row>
    <row r="258">
      <c r="A258" s="4" t="inlineStr">
        <is>
          <t>WH03</t>
        </is>
      </c>
      <c r="B258" s="4" t="inlineStr">
        <is>
          <t>Lucknow DC</t>
        </is>
      </c>
      <c r="C258" s="4" t="inlineStr">
        <is>
          <t>North</t>
        </is>
      </c>
      <c r="D258" s="4" t="inlineStr">
        <is>
          <t>SKU014</t>
        </is>
      </c>
      <c r="E258" s="4" t="inlineStr">
        <is>
          <t>Ghee 500ml</t>
        </is>
      </c>
      <c r="F258" s="4" t="inlineStr">
        <is>
          <t>Packaged Staples</t>
        </is>
      </c>
      <c r="G258" s="4" t="inlineStr">
        <is>
          <t>A</t>
        </is>
      </c>
      <c r="H258" s="11" t="n">
        <v>1410</v>
      </c>
      <c r="I258" s="4" t="n">
        <v>796.5</v>
      </c>
      <c r="J258" s="13">
        <f>IF(I258&gt;0,H258/I258,"")</f>
        <v/>
      </c>
      <c r="K258" s="4">
        <f>IF(I258&lt;=0,"NO DEMAND",IF(H258=0,"STOCKOUT",IF(J258&lt;Config!$B$5,"CRITICAL",IF(J258&lt;Config!$B$6,"LOW",IF(J258&gt;Config!$B$7,"EXCESS","HEALTHY")))))</f>
        <v/>
      </c>
      <c r="L258" s="11" t="n">
        <v>240</v>
      </c>
      <c r="M258" s="11" t="n">
        <v>270</v>
      </c>
      <c r="N258" s="11">
        <f>H258*L258</f>
        <v/>
      </c>
      <c r="O258" s="11">
        <f>IF(I258&gt;0,I258*(M258-L258),0)</f>
        <v/>
      </c>
      <c r="P258" s="11" t="n">
        <v>2496</v>
      </c>
    </row>
    <row r="259">
      <c r="A259" s="4" t="inlineStr">
        <is>
          <t>WH03</t>
        </is>
      </c>
      <c r="B259" s="4" t="inlineStr">
        <is>
          <t>Lucknow DC</t>
        </is>
      </c>
      <c r="C259" s="4" t="inlineStr">
        <is>
          <t>North</t>
        </is>
      </c>
      <c r="D259" s="4" t="inlineStr">
        <is>
          <t>SKU015</t>
        </is>
      </c>
      <c r="E259" s="4" t="inlineStr">
        <is>
          <t>Suji 1kg</t>
        </is>
      </c>
      <c r="F259" s="4" t="inlineStr">
        <is>
          <t>Packaged Staples</t>
        </is>
      </c>
      <c r="G259" s="4" t="inlineStr">
        <is>
          <t>C</t>
        </is>
      </c>
      <c r="H259" s="11" t="n">
        <v>1774</v>
      </c>
      <c r="I259" s="4" t="n">
        <v>592</v>
      </c>
      <c r="J259" s="13">
        <f>IF(I259&gt;0,H259/I259,"")</f>
        <v/>
      </c>
      <c r="K259" s="4">
        <f>IF(I259&lt;=0,"NO DEMAND",IF(H259=0,"STOCKOUT",IF(J259&lt;Config!$B$5,"CRITICAL",IF(J259&lt;Config!$B$6,"LOW",IF(J259&gt;Config!$B$7,"EXCESS","HEALTHY")))))</f>
        <v/>
      </c>
      <c r="L259" s="11" t="n">
        <v>42</v>
      </c>
      <c r="M259" s="11" t="n">
        <v>47</v>
      </c>
      <c r="N259" s="11">
        <f>H259*L259</f>
        <v/>
      </c>
      <c r="O259" s="11">
        <f>IF(I259&gt;0,I259*(M259-L259),0)</f>
        <v/>
      </c>
      <c r="P259" s="11" t="n">
        <v>0</v>
      </c>
    </row>
    <row r="260">
      <c r="A260" s="4" t="inlineStr">
        <is>
          <t>WH03</t>
        </is>
      </c>
      <c r="B260" s="4" t="inlineStr">
        <is>
          <t>Lucknow DC</t>
        </is>
      </c>
      <c r="C260" s="4" t="inlineStr">
        <is>
          <t>North</t>
        </is>
      </c>
      <c r="D260" s="4" t="inlineStr">
        <is>
          <t>SKU016</t>
        </is>
      </c>
      <c r="E260" s="4" t="inlineStr">
        <is>
          <t>Cola 750ml</t>
        </is>
      </c>
      <c r="F260" s="4" t="inlineStr">
        <is>
          <t>Beverages</t>
        </is>
      </c>
      <c r="G260" s="4" t="inlineStr">
        <is>
          <t>C</t>
        </is>
      </c>
      <c r="H260" s="11" t="n">
        <v>1293</v>
      </c>
      <c r="I260" s="4" t="n">
        <v>189.25</v>
      </c>
      <c r="J260" s="13">
        <f>IF(I260&gt;0,H260/I260,"")</f>
        <v/>
      </c>
      <c r="K260" s="4">
        <f>IF(I260&lt;=0,"NO DEMAND",IF(H260=0,"STOCKOUT",IF(J260&lt;Config!$B$5,"CRITICAL",IF(J260&lt;Config!$B$6,"LOW",IF(J260&gt;Config!$B$7,"EXCESS","HEALTHY")))))</f>
        <v/>
      </c>
      <c r="L260" s="11" t="n">
        <v>41</v>
      </c>
      <c r="M260" s="11" t="n">
        <v>47</v>
      </c>
      <c r="N260" s="11">
        <f>H260*L260</f>
        <v/>
      </c>
      <c r="O260" s="11">
        <f>IF(I260&gt;0,I260*(M260-L260),0)</f>
        <v/>
      </c>
      <c r="P260" s="11" t="n">
        <v>0</v>
      </c>
    </row>
    <row r="261">
      <c r="A261" s="4" t="inlineStr">
        <is>
          <t>WH03</t>
        </is>
      </c>
      <c r="B261" s="4" t="inlineStr">
        <is>
          <t>Lucknow DC</t>
        </is>
      </c>
      <c r="C261" s="4" t="inlineStr">
        <is>
          <t>North</t>
        </is>
      </c>
      <c r="D261" s="4" t="inlineStr">
        <is>
          <t>SKU017</t>
        </is>
      </c>
      <c r="E261" s="4" t="inlineStr">
        <is>
          <t>Lemon Soda 600ml</t>
        </is>
      </c>
      <c r="F261" s="4" t="inlineStr">
        <is>
          <t>Beverages</t>
        </is>
      </c>
      <c r="G261" s="4" t="inlineStr">
        <is>
          <t>B</t>
        </is>
      </c>
      <c r="H261" s="11" t="n">
        <v>1759</v>
      </c>
      <c r="I261" s="4" t="n">
        <v>481</v>
      </c>
      <c r="J261" s="13">
        <f>IF(I261&gt;0,H261/I261,"")</f>
        <v/>
      </c>
      <c r="K261" s="4">
        <f>IF(I261&lt;=0,"NO DEMAND",IF(H261=0,"STOCKOUT",IF(J261&lt;Config!$B$5,"CRITICAL",IF(J261&lt;Config!$B$6,"LOW",IF(J261&gt;Config!$B$7,"EXCESS","HEALTHY")))))</f>
        <v/>
      </c>
      <c r="L261" s="11" t="n">
        <v>42</v>
      </c>
      <c r="M261" s="11" t="n">
        <v>50</v>
      </c>
      <c r="N261" s="11">
        <f>H261*L261</f>
        <v/>
      </c>
      <c r="O261" s="11">
        <f>IF(I261&gt;0,I261*(M261-L261),0)</f>
        <v/>
      </c>
      <c r="P261" s="11" t="n">
        <v>0</v>
      </c>
    </row>
    <row r="262">
      <c r="A262" s="4" t="inlineStr">
        <is>
          <t>WH03</t>
        </is>
      </c>
      <c r="B262" s="4" t="inlineStr">
        <is>
          <t>Lucknow DC</t>
        </is>
      </c>
      <c r="C262" s="4" t="inlineStr">
        <is>
          <t>North</t>
        </is>
      </c>
      <c r="D262" s="4" t="inlineStr">
        <is>
          <t>SKU018</t>
        </is>
      </c>
      <c r="E262" s="4" t="inlineStr">
        <is>
          <t>Mango Drink 1L</t>
        </is>
      </c>
      <c r="F262" s="4" t="inlineStr">
        <is>
          <t>Beverages</t>
        </is>
      </c>
      <c r="G262" s="4" t="inlineStr">
        <is>
          <t>A</t>
        </is>
      </c>
      <c r="H262" s="11" t="n">
        <v>4985</v>
      </c>
      <c r="I262" s="4" t="n">
        <v>986.25</v>
      </c>
      <c r="J262" s="13">
        <f>IF(I262&gt;0,H262/I262,"")</f>
        <v/>
      </c>
      <c r="K262" s="4">
        <f>IF(I262&lt;=0,"NO DEMAND",IF(H262=0,"STOCKOUT",IF(J262&lt;Config!$B$5,"CRITICAL",IF(J262&lt;Config!$B$6,"LOW",IF(J262&gt;Config!$B$7,"EXCESS","HEALTHY")))))</f>
        <v/>
      </c>
      <c r="L262" s="11" t="n">
        <v>101</v>
      </c>
      <c r="M262" s="11" t="n">
        <v>117</v>
      </c>
      <c r="N262" s="11">
        <f>H262*L262</f>
        <v/>
      </c>
      <c r="O262" s="11">
        <f>IF(I262&gt;0,I262*(M262-L262),0)</f>
        <v/>
      </c>
      <c r="P262" s="11" t="n">
        <v>0</v>
      </c>
    </row>
    <row r="263">
      <c r="A263" s="4" t="inlineStr">
        <is>
          <t>WH03</t>
        </is>
      </c>
      <c r="B263" s="4" t="inlineStr">
        <is>
          <t>Lucknow DC</t>
        </is>
      </c>
      <c r="C263" s="4" t="inlineStr">
        <is>
          <t>North</t>
        </is>
      </c>
      <c r="D263" s="4" t="inlineStr">
        <is>
          <t>SKU019</t>
        </is>
      </c>
      <c r="E263" s="4" t="inlineStr">
        <is>
          <t>Packaged Water 1L</t>
        </is>
      </c>
      <c r="F263" s="4" t="inlineStr">
        <is>
          <t>Beverages</t>
        </is>
      </c>
      <c r="G263" s="4" t="inlineStr">
        <is>
          <t>A</t>
        </is>
      </c>
      <c r="H263" s="11" t="n">
        <v>1872</v>
      </c>
      <c r="I263" s="4" t="n">
        <v>131.75</v>
      </c>
      <c r="J263" s="13">
        <f>IF(I263&gt;0,H263/I263,"")</f>
        <v/>
      </c>
      <c r="K263" s="4">
        <f>IF(I263&lt;=0,"NO DEMAND",IF(H263=0,"STOCKOUT",IF(J263&lt;Config!$B$5,"CRITICAL",IF(J263&lt;Config!$B$6,"LOW",IF(J263&gt;Config!$B$7,"EXCESS","HEALTHY")))))</f>
        <v/>
      </c>
      <c r="L263" s="11" t="n">
        <v>57</v>
      </c>
      <c r="M263" s="11" t="n">
        <v>68</v>
      </c>
      <c r="N263" s="11">
        <f>H263*L263</f>
        <v/>
      </c>
      <c r="O263" s="11">
        <f>IF(I263&gt;0,I263*(M263-L263),0)</f>
        <v/>
      </c>
      <c r="P263" s="11" t="n">
        <v>0</v>
      </c>
    </row>
    <row r="264">
      <c r="A264" s="4" t="inlineStr">
        <is>
          <t>WH03</t>
        </is>
      </c>
      <c r="B264" s="4" t="inlineStr">
        <is>
          <t>Lucknow DC</t>
        </is>
      </c>
      <c r="C264" s="4" t="inlineStr">
        <is>
          <t>North</t>
        </is>
      </c>
      <c r="D264" s="4" t="inlineStr">
        <is>
          <t>SKU020</t>
        </is>
      </c>
      <c r="E264" s="4" t="inlineStr">
        <is>
          <t>Energy Drink 250ml</t>
        </is>
      </c>
      <c r="F264" s="4" t="inlineStr">
        <is>
          <t>Beverages</t>
        </is>
      </c>
      <c r="G264" s="4" t="inlineStr">
        <is>
          <t>B</t>
        </is>
      </c>
      <c r="H264" s="11" t="n">
        <v>750</v>
      </c>
      <c r="I264" s="4" t="n">
        <v>173.25</v>
      </c>
      <c r="J264" s="13">
        <f>IF(I264&gt;0,H264/I264,"")</f>
        <v/>
      </c>
      <c r="K264" s="4">
        <f>IF(I264&lt;=0,"NO DEMAND",IF(H264=0,"STOCKOUT",IF(J264&lt;Config!$B$5,"CRITICAL",IF(J264&lt;Config!$B$6,"LOW",IF(J264&gt;Config!$B$7,"EXCESS","HEALTHY")))))</f>
        <v/>
      </c>
      <c r="L264" s="11" t="n">
        <v>24</v>
      </c>
      <c r="M264" s="11" t="n">
        <v>28</v>
      </c>
      <c r="N264" s="11">
        <f>H264*L264</f>
        <v/>
      </c>
      <c r="O264" s="11">
        <f>IF(I264&gt;0,I264*(M264-L264),0)</f>
        <v/>
      </c>
      <c r="P264" s="11" t="n">
        <v>0</v>
      </c>
    </row>
    <row r="265">
      <c r="A265" s="4" t="inlineStr">
        <is>
          <t>WH03</t>
        </is>
      </c>
      <c r="B265" s="4" t="inlineStr">
        <is>
          <t>Lucknow DC</t>
        </is>
      </c>
      <c r="C265" s="4" t="inlineStr">
        <is>
          <t>North</t>
        </is>
      </c>
      <c r="D265" s="4" t="inlineStr">
        <is>
          <t>SKU021</t>
        </is>
      </c>
      <c r="E265" s="4" t="inlineStr">
        <is>
          <t>Fruit Juice 1L</t>
        </is>
      </c>
      <c r="F265" s="4" t="inlineStr">
        <is>
          <t>Beverages</t>
        </is>
      </c>
      <c r="G265" s="4" t="inlineStr">
        <is>
          <t>A</t>
        </is>
      </c>
      <c r="H265" s="11" t="n">
        <v>1912</v>
      </c>
      <c r="I265" s="4" t="n">
        <v>589.75</v>
      </c>
      <c r="J265" s="13">
        <f>IF(I265&gt;0,H265/I265,"")</f>
        <v/>
      </c>
      <c r="K265" s="4">
        <f>IF(I265&lt;=0,"NO DEMAND",IF(H265=0,"STOCKOUT",IF(J265&lt;Config!$B$5,"CRITICAL",IF(J265&lt;Config!$B$6,"LOW",IF(J265&gt;Config!$B$7,"EXCESS","HEALTHY")))))</f>
        <v/>
      </c>
      <c r="L265" s="11" t="n">
        <v>54</v>
      </c>
      <c r="M265" s="11" t="n">
        <v>63</v>
      </c>
      <c r="N265" s="11">
        <f>H265*L265</f>
        <v/>
      </c>
      <c r="O265" s="11">
        <f>IF(I265&gt;0,I265*(M265-L265),0)</f>
        <v/>
      </c>
      <c r="P265" s="11" t="n">
        <v>0</v>
      </c>
    </row>
    <row r="266">
      <c r="A266" s="4" t="inlineStr">
        <is>
          <t>WH03</t>
        </is>
      </c>
      <c r="B266" s="4" t="inlineStr">
        <is>
          <t>Lucknow DC</t>
        </is>
      </c>
      <c r="C266" s="4" t="inlineStr">
        <is>
          <t>North</t>
        </is>
      </c>
      <c r="D266" s="4" t="inlineStr">
        <is>
          <t>SKU022</t>
        </is>
      </c>
      <c r="E266" s="4" t="inlineStr">
        <is>
          <t>Iced Tea 500ml</t>
        </is>
      </c>
      <c r="F266" s="4" t="inlineStr">
        <is>
          <t>Beverages</t>
        </is>
      </c>
      <c r="G266" s="4" t="inlineStr">
        <is>
          <t>A</t>
        </is>
      </c>
      <c r="H266" s="11" t="n">
        <v>1131</v>
      </c>
      <c r="I266" s="4" t="n">
        <v>894.25</v>
      </c>
      <c r="J266" s="13">
        <f>IF(I266&gt;0,H266/I266,"")</f>
        <v/>
      </c>
      <c r="K266" s="4">
        <f>IF(I266&lt;=0,"NO DEMAND",IF(H266=0,"STOCKOUT",IF(J266&lt;Config!$B$5,"CRITICAL",IF(J266&lt;Config!$B$6,"LOW",IF(J266&gt;Config!$B$7,"EXCESS","HEALTHY")))))</f>
        <v/>
      </c>
      <c r="L266" s="11" t="n">
        <v>53</v>
      </c>
      <c r="M266" s="11" t="n">
        <v>64</v>
      </c>
      <c r="N266" s="11">
        <f>H266*L266</f>
        <v/>
      </c>
      <c r="O266" s="11">
        <f>IF(I266&gt;0,I266*(M266-L266),0)</f>
        <v/>
      </c>
      <c r="P266" s="11" t="n">
        <v>3000</v>
      </c>
    </row>
    <row r="267">
      <c r="A267" s="4" t="inlineStr">
        <is>
          <t>WH03</t>
        </is>
      </c>
      <c r="B267" s="4" t="inlineStr">
        <is>
          <t>Lucknow DC</t>
        </is>
      </c>
      <c r="C267" s="4" t="inlineStr">
        <is>
          <t>North</t>
        </is>
      </c>
      <c r="D267" s="4" t="inlineStr">
        <is>
          <t>SKU023</t>
        </is>
      </c>
      <c r="E267" s="4" t="inlineStr">
        <is>
          <t>Coconut Water 200ml</t>
        </is>
      </c>
      <c r="F267" s="4" t="inlineStr">
        <is>
          <t>Beverages</t>
        </is>
      </c>
      <c r="G267" s="4" t="inlineStr">
        <is>
          <t>A</t>
        </is>
      </c>
      <c r="H267" s="11" t="n">
        <v>3295</v>
      </c>
      <c r="I267" s="4" t="n">
        <v>979.5</v>
      </c>
      <c r="J267" s="13">
        <f>IF(I267&gt;0,H267/I267,"")</f>
        <v/>
      </c>
      <c r="K267" s="4">
        <f>IF(I267&lt;=0,"NO DEMAND",IF(H267=0,"STOCKOUT",IF(J267&lt;Config!$B$5,"CRITICAL",IF(J267&lt;Config!$B$6,"LOW",IF(J267&gt;Config!$B$7,"EXCESS","HEALTHY")))))</f>
        <v/>
      </c>
      <c r="L267" s="11" t="n">
        <v>59</v>
      </c>
      <c r="M267" s="11" t="n">
        <v>69</v>
      </c>
      <c r="N267" s="11">
        <f>H267*L267</f>
        <v/>
      </c>
      <c r="O267" s="11">
        <f>IF(I267&gt;0,I267*(M267-L267),0)</f>
        <v/>
      </c>
      <c r="P267" s="11" t="n">
        <v>0</v>
      </c>
    </row>
    <row r="268">
      <c r="A268" s="4" t="inlineStr">
        <is>
          <t>WH03</t>
        </is>
      </c>
      <c r="B268" s="4" t="inlineStr">
        <is>
          <t>Lucknow DC</t>
        </is>
      </c>
      <c r="C268" s="4" t="inlineStr">
        <is>
          <t>North</t>
        </is>
      </c>
      <c r="D268" s="4" t="inlineStr">
        <is>
          <t>SKU024</t>
        </is>
      </c>
      <c r="E268" s="4" t="inlineStr">
        <is>
          <t>Instant Coffee 100g</t>
        </is>
      </c>
      <c r="F268" s="4" t="inlineStr">
        <is>
          <t>Beverages</t>
        </is>
      </c>
      <c r="G268" s="4" t="inlineStr">
        <is>
          <t>C</t>
        </is>
      </c>
      <c r="H268" s="11" t="n">
        <v>1629</v>
      </c>
      <c r="I268" s="4" t="n">
        <v>525</v>
      </c>
      <c r="J268" s="13">
        <f>IF(I268&gt;0,H268/I268,"")</f>
        <v/>
      </c>
      <c r="K268" s="4">
        <f>IF(I268&lt;=0,"NO DEMAND",IF(H268=0,"STOCKOUT",IF(J268&lt;Config!$B$5,"CRITICAL",IF(J268&lt;Config!$B$6,"LOW",IF(J268&gt;Config!$B$7,"EXCESS","HEALTHY")))))</f>
        <v/>
      </c>
      <c r="L268" s="11" t="n">
        <v>27</v>
      </c>
      <c r="M268" s="11" t="n">
        <v>31</v>
      </c>
      <c r="N268" s="11">
        <f>H268*L268</f>
        <v/>
      </c>
      <c r="O268" s="11">
        <f>IF(I268&gt;0,I268*(M268-L268),0)</f>
        <v/>
      </c>
      <c r="P268" s="11" t="n">
        <v>0</v>
      </c>
    </row>
    <row r="269">
      <c r="A269" s="4" t="inlineStr">
        <is>
          <t>WH03</t>
        </is>
      </c>
      <c r="B269" s="4" t="inlineStr">
        <is>
          <t>Lucknow DC</t>
        </is>
      </c>
      <c r="C269" s="4" t="inlineStr">
        <is>
          <t>North</t>
        </is>
      </c>
      <c r="D269" s="4" t="inlineStr">
        <is>
          <t>SKU025</t>
        </is>
      </c>
      <c r="E269" s="4" t="inlineStr">
        <is>
          <t>Tea Bags 100pk</t>
        </is>
      </c>
      <c r="F269" s="4" t="inlineStr">
        <is>
          <t>Beverages</t>
        </is>
      </c>
      <c r="G269" s="4" t="inlineStr">
        <is>
          <t>C</t>
        </is>
      </c>
      <c r="H269" s="11" t="n">
        <v>2150</v>
      </c>
      <c r="I269" s="4" t="n">
        <v>700</v>
      </c>
      <c r="J269" s="13">
        <f>IF(I269&gt;0,H269/I269,"")</f>
        <v/>
      </c>
      <c r="K269" s="4">
        <f>IF(I269&lt;=0,"NO DEMAND",IF(H269=0,"STOCKOUT",IF(J269&lt;Config!$B$5,"CRITICAL",IF(J269&lt;Config!$B$6,"LOW",IF(J269&gt;Config!$B$7,"EXCESS","HEALTHY")))))</f>
        <v/>
      </c>
      <c r="L269" s="11" t="n">
        <v>24</v>
      </c>
      <c r="M269" s="11" t="n">
        <v>28</v>
      </c>
      <c r="N269" s="11">
        <f>H269*L269</f>
        <v/>
      </c>
      <c r="O269" s="11">
        <f>IF(I269&gt;0,I269*(M269-L269),0)</f>
        <v/>
      </c>
      <c r="P269" s="11" t="n">
        <v>0</v>
      </c>
    </row>
    <row r="270">
      <c r="A270" s="4" t="inlineStr">
        <is>
          <t>WH03</t>
        </is>
      </c>
      <c r="B270" s="4" t="inlineStr">
        <is>
          <t>Lucknow DC</t>
        </is>
      </c>
      <c r="C270" s="4" t="inlineStr">
        <is>
          <t>North</t>
        </is>
      </c>
      <c r="D270" s="4" t="inlineStr">
        <is>
          <t>SKU026</t>
        </is>
      </c>
      <c r="E270" s="4" t="inlineStr">
        <is>
          <t>Buttermilk 200ml</t>
        </is>
      </c>
      <c r="F270" s="4" t="inlineStr">
        <is>
          <t>Beverages</t>
        </is>
      </c>
      <c r="G270" s="4" t="inlineStr">
        <is>
          <t>B</t>
        </is>
      </c>
      <c r="H270" s="11" t="n">
        <v>1216</v>
      </c>
      <c r="I270" s="4" t="n">
        <v>451</v>
      </c>
      <c r="J270" s="13">
        <f>IF(I270&gt;0,H270/I270,"")</f>
        <v/>
      </c>
      <c r="K270" s="4">
        <f>IF(I270&lt;=0,"NO DEMAND",IF(H270=0,"STOCKOUT",IF(J270&lt;Config!$B$5,"CRITICAL",IF(J270&lt;Config!$B$6,"LOW",IF(J270&gt;Config!$B$7,"EXCESS","HEALTHY")))))</f>
        <v/>
      </c>
      <c r="L270" s="11" t="n">
        <v>31</v>
      </c>
      <c r="M270" s="11" t="n">
        <v>36</v>
      </c>
      <c r="N270" s="11">
        <f>H270*L270</f>
        <v/>
      </c>
      <c r="O270" s="11">
        <f>IF(I270&gt;0,I270*(M270-L270),0)</f>
        <v/>
      </c>
      <c r="P270" s="11" t="n">
        <v>0</v>
      </c>
    </row>
    <row r="271">
      <c r="A271" s="4" t="inlineStr">
        <is>
          <t>WH03</t>
        </is>
      </c>
      <c r="B271" s="4" t="inlineStr">
        <is>
          <t>Lucknow DC</t>
        </is>
      </c>
      <c r="C271" s="4" t="inlineStr">
        <is>
          <t>North</t>
        </is>
      </c>
      <c r="D271" s="4" t="inlineStr">
        <is>
          <t>SKU027</t>
        </is>
      </c>
      <c r="E271" s="4" t="inlineStr">
        <is>
          <t>Lassi 200ml</t>
        </is>
      </c>
      <c r="F271" s="4" t="inlineStr">
        <is>
          <t>Beverages</t>
        </is>
      </c>
      <c r="G271" s="4" t="inlineStr">
        <is>
          <t>A</t>
        </is>
      </c>
      <c r="H271" s="11" t="n">
        <v>2321</v>
      </c>
      <c r="I271" s="4" t="n">
        <v>94.25</v>
      </c>
      <c r="J271" s="13">
        <f>IF(I271&gt;0,H271/I271,"")</f>
        <v/>
      </c>
      <c r="K271" s="4">
        <f>IF(I271&lt;=0,"NO DEMAND",IF(H271=0,"STOCKOUT",IF(J271&lt;Config!$B$5,"CRITICAL",IF(J271&lt;Config!$B$6,"LOW",IF(J271&gt;Config!$B$7,"EXCESS","HEALTHY")))))</f>
        <v/>
      </c>
      <c r="L271" s="11" t="n">
        <v>60</v>
      </c>
      <c r="M271" s="11" t="n">
        <v>72</v>
      </c>
      <c r="N271" s="11">
        <f>H271*L271</f>
        <v/>
      </c>
      <c r="O271" s="11">
        <f>IF(I271&gt;0,I271*(M271-L271),0)</f>
        <v/>
      </c>
      <c r="P271" s="11" t="n">
        <v>0</v>
      </c>
    </row>
    <row r="272">
      <c r="A272" s="4" t="inlineStr">
        <is>
          <t>WH03</t>
        </is>
      </c>
      <c r="B272" s="4" t="inlineStr">
        <is>
          <t>Lucknow DC</t>
        </is>
      </c>
      <c r="C272" s="4" t="inlineStr">
        <is>
          <t>North</t>
        </is>
      </c>
      <c r="D272" s="4" t="inlineStr">
        <is>
          <t>SKU028</t>
        </is>
      </c>
      <c r="E272" s="4" t="inlineStr">
        <is>
          <t>Sports Drink 500ml</t>
        </is>
      </c>
      <c r="F272" s="4" t="inlineStr">
        <is>
          <t>Beverages</t>
        </is>
      </c>
      <c r="G272" s="4" t="inlineStr">
        <is>
          <t>A</t>
        </is>
      </c>
      <c r="H272" s="11" t="n">
        <v>1862</v>
      </c>
      <c r="I272" s="4" t="n">
        <v>639.75</v>
      </c>
      <c r="J272" s="13">
        <f>IF(I272&gt;0,H272/I272,"")</f>
        <v/>
      </c>
      <c r="K272" s="4">
        <f>IF(I272&lt;=0,"NO DEMAND",IF(H272=0,"STOCKOUT",IF(J272&lt;Config!$B$5,"CRITICAL",IF(J272&lt;Config!$B$6,"LOW",IF(J272&gt;Config!$B$7,"EXCESS","HEALTHY")))))</f>
        <v/>
      </c>
      <c r="L272" s="11" t="n">
        <v>110</v>
      </c>
      <c r="M272" s="11" t="n">
        <v>131</v>
      </c>
      <c r="N272" s="11">
        <f>H272*L272</f>
        <v/>
      </c>
      <c r="O272" s="11">
        <f>IF(I272&gt;0,I272*(M272-L272),0)</f>
        <v/>
      </c>
      <c r="P272" s="11" t="n">
        <v>0</v>
      </c>
    </row>
    <row r="273">
      <c r="A273" s="4" t="inlineStr">
        <is>
          <t>WH03</t>
        </is>
      </c>
      <c r="B273" s="4" t="inlineStr">
        <is>
          <t>Lucknow DC</t>
        </is>
      </c>
      <c r="C273" s="4" t="inlineStr">
        <is>
          <t>North</t>
        </is>
      </c>
      <c r="D273" s="4" t="inlineStr">
        <is>
          <t>SKU029</t>
        </is>
      </c>
      <c r="E273" s="4" t="inlineStr">
        <is>
          <t>Tonic Water 300ml</t>
        </is>
      </c>
      <c r="F273" s="4" t="inlineStr">
        <is>
          <t>Beverages</t>
        </is>
      </c>
      <c r="G273" s="4" t="inlineStr">
        <is>
          <t>B</t>
        </is>
      </c>
      <c r="H273" s="11" t="n">
        <v>1775</v>
      </c>
      <c r="I273" s="4" t="n">
        <v>1069.25</v>
      </c>
      <c r="J273" s="13">
        <f>IF(I273&gt;0,H273/I273,"")</f>
        <v/>
      </c>
      <c r="K273" s="4">
        <f>IF(I273&lt;=0,"NO DEMAND",IF(H273=0,"STOCKOUT",IF(J273&lt;Config!$B$5,"CRITICAL",IF(J273&lt;Config!$B$6,"LOW",IF(J273&gt;Config!$B$7,"EXCESS","HEALTHY")))))</f>
        <v/>
      </c>
      <c r="L273" s="11" t="n">
        <v>23</v>
      </c>
      <c r="M273" s="11" t="n">
        <v>27</v>
      </c>
      <c r="N273" s="11">
        <f>H273*L273</f>
        <v/>
      </c>
      <c r="O273" s="11">
        <f>IF(I273&gt;0,I273*(M273-L273),0)</f>
        <v/>
      </c>
      <c r="P273" s="11" t="n">
        <v>0</v>
      </c>
    </row>
    <row r="274">
      <c r="A274" s="4" t="inlineStr">
        <is>
          <t>WH03</t>
        </is>
      </c>
      <c r="B274" s="4" t="inlineStr">
        <is>
          <t>Lucknow DC</t>
        </is>
      </c>
      <c r="C274" s="4" t="inlineStr">
        <is>
          <t>North</t>
        </is>
      </c>
      <c r="D274" s="4" t="inlineStr">
        <is>
          <t>SKU030</t>
        </is>
      </c>
      <c r="E274" s="4" t="inlineStr">
        <is>
          <t>Malt Drink 500g</t>
        </is>
      </c>
      <c r="F274" s="4" t="inlineStr">
        <is>
          <t>Beverages</t>
        </is>
      </c>
      <c r="G274" s="4" t="inlineStr">
        <is>
          <t>C</t>
        </is>
      </c>
      <c r="H274" s="11" t="n">
        <v>574</v>
      </c>
      <c r="I274" s="4" t="n">
        <v>832.5</v>
      </c>
      <c r="J274" s="13">
        <f>IF(I274&gt;0,H274/I274,"")</f>
        <v/>
      </c>
      <c r="K274" s="4">
        <f>IF(I274&lt;=0,"NO DEMAND",IF(H274=0,"STOCKOUT",IF(J274&lt;Config!$B$5,"CRITICAL",IF(J274&lt;Config!$B$6,"LOW",IF(J274&gt;Config!$B$7,"EXCESS","HEALTHY")))))</f>
        <v/>
      </c>
      <c r="L274" s="11" t="n">
        <v>31</v>
      </c>
      <c r="M274" s="11" t="n">
        <v>37</v>
      </c>
      <c r="N274" s="11">
        <f>H274*L274</f>
        <v/>
      </c>
      <c r="O274" s="11">
        <f>IF(I274&gt;0,I274*(M274-L274),0)</f>
        <v/>
      </c>
      <c r="P274" s="11" t="n">
        <v>0</v>
      </c>
    </row>
    <row r="275">
      <c r="A275" s="4" t="inlineStr">
        <is>
          <t>WH03</t>
        </is>
      </c>
      <c r="B275" s="4" t="inlineStr">
        <is>
          <t>Lucknow DC</t>
        </is>
      </c>
      <c r="C275" s="4" t="inlineStr">
        <is>
          <t>North</t>
        </is>
      </c>
      <c r="D275" s="4" t="inlineStr">
        <is>
          <t>SKU031</t>
        </is>
      </c>
      <c r="E275" s="4" t="inlineStr">
        <is>
          <t>Potato Chips 90g</t>
        </is>
      </c>
      <c r="F275" s="4" t="inlineStr">
        <is>
          <t>Snacks &amp; Confectionery</t>
        </is>
      </c>
      <c r="G275" s="4" t="inlineStr">
        <is>
          <t>C</t>
        </is>
      </c>
      <c r="H275" s="11" t="n">
        <v>2874</v>
      </c>
      <c r="I275" s="4" t="n">
        <v>776.5</v>
      </c>
      <c r="J275" s="13">
        <f>IF(I275&gt;0,H275/I275,"")</f>
        <v/>
      </c>
      <c r="K275" s="4">
        <f>IF(I275&lt;=0,"NO DEMAND",IF(H275=0,"STOCKOUT",IF(J275&lt;Config!$B$5,"CRITICAL",IF(J275&lt;Config!$B$6,"LOW",IF(J275&gt;Config!$B$7,"EXCESS","HEALTHY")))))</f>
        <v/>
      </c>
      <c r="L275" s="11" t="n">
        <v>13</v>
      </c>
      <c r="M275" s="11" t="n">
        <v>16</v>
      </c>
      <c r="N275" s="11">
        <f>H275*L275</f>
        <v/>
      </c>
      <c r="O275" s="11">
        <f>IF(I275&gt;0,I275*(M275-L275),0)</f>
        <v/>
      </c>
      <c r="P275" s="11" t="n">
        <v>0</v>
      </c>
    </row>
    <row r="276">
      <c r="A276" s="4" t="inlineStr">
        <is>
          <t>WH03</t>
        </is>
      </c>
      <c r="B276" s="4" t="inlineStr">
        <is>
          <t>Lucknow DC</t>
        </is>
      </c>
      <c r="C276" s="4" t="inlineStr">
        <is>
          <t>North</t>
        </is>
      </c>
      <c r="D276" s="4" t="inlineStr">
        <is>
          <t>SKU032</t>
        </is>
      </c>
      <c r="E276" s="4" t="inlineStr">
        <is>
          <t>Namkeen Mix 400g</t>
        </is>
      </c>
      <c r="F276" s="4" t="inlineStr">
        <is>
          <t>Snacks &amp; Confectionery</t>
        </is>
      </c>
      <c r="G276" s="4" t="inlineStr">
        <is>
          <t>C</t>
        </is>
      </c>
      <c r="H276" s="11" t="n">
        <v>758</v>
      </c>
      <c r="I276" s="4" t="n">
        <v>242</v>
      </c>
      <c r="J276" s="13">
        <f>IF(I276&gt;0,H276/I276,"")</f>
        <v/>
      </c>
      <c r="K276" s="4">
        <f>IF(I276&lt;=0,"NO DEMAND",IF(H276=0,"STOCKOUT",IF(J276&lt;Config!$B$5,"CRITICAL",IF(J276&lt;Config!$B$6,"LOW",IF(J276&gt;Config!$B$7,"EXCESS","HEALTHY")))))</f>
        <v/>
      </c>
      <c r="L276" s="11" t="n">
        <v>14</v>
      </c>
      <c r="M276" s="11" t="n">
        <v>17</v>
      </c>
      <c r="N276" s="11">
        <f>H276*L276</f>
        <v/>
      </c>
      <c r="O276" s="11">
        <f>IF(I276&gt;0,I276*(M276-L276),0)</f>
        <v/>
      </c>
      <c r="P276" s="11" t="n">
        <v>0</v>
      </c>
    </row>
    <row r="277">
      <c r="A277" s="4" t="inlineStr">
        <is>
          <t>WH03</t>
        </is>
      </c>
      <c r="B277" s="4" t="inlineStr">
        <is>
          <t>Lucknow DC</t>
        </is>
      </c>
      <c r="C277" s="4" t="inlineStr">
        <is>
          <t>North</t>
        </is>
      </c>
      <c r="D277" s="4" t="inlineStr">
        <is>
          <t>SKU033</t>
        </is>
      </c>
      <c r="E277" s="4" t="inlineStr">
        <is>
          <t>Glucose Biscuits 300g</t>
        </is>
      </c>
      <c r="F277" s="4" t="inlineStr">
        <is>
          <t>Snacks &amp; Confectionery</t>
        </is>
      </c>
      <c r="G277" s="4" t="inlineStr">
        <is>
          <t>A</t>
        </is>
      </c>
      <c r="H277" s="11" t="n">
        <v>1982</v>
      </c>
      <c r="I277" s="4" t="n">
        <v>947</v>
      </c>
      <c r="J277" s="13">
        <f>IF(I277&gt;0,H277/I277,"")</f>
        <v/>
      </c>
      <c r="K277" s="4">
        <f>IF(I277&lt;=0,"NO DEMAND",IF(H277=0,"STOCKOUT",IF(J277&lt;Config!$B$5,"CRITICAL",IF(J277&lt;Config!$B$6,"LOW",IF(J277&gt;Config!$B$7,"EXCESS","HEALTHY")))))</f>
        <v/>
      </c>
      <c r="L277" s="11" t="n">
        <v>119</v>
      </c>
      <c r="M277" s="11" t="n">
        <v>144</v>
      </c>
      <c r="N277" s="11">
        <f>H277*L277</f>
        <v/>
      </c>
      <c r="O277" s="11">
        <f>IF(I277&gt;0,I277*(M277-L277),0)</f>
        <v/>
      </c>
      <c r="P277" s="11" t="n">
        <v>0</v>
      </c>
    </row>
    <row r="278">
      <c r="A278" s="4" t="inlineStr">
        <is>
          <t>WH03</t>
        </is>
      </c>
      <c r="B278" s="4" t="inlineStr">
        <is>
          <t>Lucknow DC</t>
        </is>
      </c>
      <c r="C278" s="4" t="inlineStr">
        <is>
          <t>North</t>
        </is>
      </c>
      <c r="D278" s="4" t="inlineStr">
        <is>
          <t>SKU034</t>
        </is>
      </c>
      <c r="E278" s="4" t="inlineStr">
        <is>
          <t>Cream Biscuits 120g</t>
        </is>
      </c>
      <c r="F278" s="4" t="inlineStr">
        <is>
          <t>Snacks &amp; Confectionery</t>
        </is>
      </c>
      <c r="G278" s="4" t="inlineStr">
        <is>
          <t>B</t>
        </is>
      </c>
      <c r="H278" s="11" t="n">
        <v>196</v>
      </c>
      <c r="I278" s="4" t="n">
        <v>888.75</v>
      </c>
      <c r="J278" s="13">
        <f>IF(I278&gt;0,H278/I278,"")</f>
        <v/>
      </c>
      <c r="K278" s="4">
        <f>IF(I278&lt;=0,"NO DEMAND",IF(H278=0,"STOCKOUT",IF(J278&lt;Config!$B$5,"CRITICAL",IF(J278&lt;Config!$B$6,"LOW",IF(J278&gt;Config!$B$7,"EXCESS","HEALTHY")))))</f>
        <v/>
      </c>
      <c r="L278" s="11" t="n">
        <v>61</v>
      </c>
      <c r="M278" s="11" t="n">
        <v>73</v>
      </c>
      <c r="N278" s="11">
        <f>H278*L278</f>
        <v/>
      </c>
      <c r="O278" s="11">
        <f>IF(I278&gt;0,I278*(M278-L278),0)</f>
        <v/>
      </c>
      <c r="P278" s="11" t="n">
        <v>2748</v>
      </c>
    </row>
    <row r="279">
      <c r="A279" s="4" t="inlineStr">
        <is>
          <t>WH03</t>
        </is>
      </c>
      <c r="B279" s="4" t="inlineStr">
        <is>
          <t>Lucknow DC</t>
        </is>
      </c>
      <c r="C279" s="4" t="inlineStr">
        <is>
          <t>North</t>
        </is>
      </c>
      <c r="D279" s="4" t="inlineStr">
        <is>
          <t>SKU035</t>
        </is>
      </c>
      <c r="E279" s="4" t="inlineStr">
        <is>
          <t>Chocolate Bar 40g</t>
        </is>
      </c>
      <c r="F279" s="4" t="inlineStr">
        <is>
          <t>Snacks &amp; Confectionery</t>
        </is>
      </c>
      <c r="G279" s="4" t="inlineStr">
        <is>
          <t>C</t>
        </is>
      </c>
      <c r="H279" s="11" t="n">
        <v>883</v>
      </c>
      <c r="I279" s="4" t="n">
        <v>619.5</v>
      </c>
      <c r="J279" s="13">
        <f>IF(I279&gt;0,H279/I279,"")</f>
        <v/>
      </c>
      <c r="K279" s="4">
        <f>IF(I279&lt;=0,"NO DEMAND",IF(H279=0,"STOCKOUT",IF(J279&lt;Config!$B$5,"CRITICAL",IF(J279&lt;Config!$B$6,"LOW",IF(J279&gt;Config!$B$7,"EXCESS","HEALTHY")))))</f>
        <v/>
      </c>
      <c r="L279" s="11" t="n">
        <v>16</v>
      </c>
      <c r="M279" s="11" t="n">
        <v>20</v>
      </c>
      <c r="N279" s="11">
        <f>H279*L279</f>
        <v/>
      </c>
      <c r="O279" s="11">
        <f>IF(I279&gt;0,I279*(M279-L279),0)</f>
        <v/>
      </c>
      <c r="P279" s="11" t="n">
        <v>0</v>
      </c>
    </row>
    <row r="280">
      <c r="A280" s="4" t="inlineStr">
        <is>
          <t>WH03</t>
        </is>
      </c>
      <c r="B280" s="4" t="inlineStr">
        <is>
          <t>Lucknow DC</t>
        </is>
      </c>
      <c r="C280" s="4" t="inlineStr">
        <is>
          <t>North</t>
        </is>
      </c>
      <c r="D280" s="4" t="inlineStr">
        <is>
          <t>SKU036</t>
        </is>
      </c>
      <c r="E280" s="4" t="inlineStr">
        <is>
          <t>Instant Noodles 70g</t>
        </is>
      </c>
      <c r="F280" s="4" t="inlineStr">
        <is>
          <t>Snacks &amp; Confectionery</t>
        </is>
      </c>
      <c r="G280" s="4" t="inlineStr">
        <is>
          <t>C</t>
        </is>
      </c>
      <c r="H280" s="11" t="n">
        <v>1524</v>
      </c>
      <c r="I280" s="4" t="n">
        <v>447.75</v>
      </c>
      <c r="J280" s="13">
        <f>IF(I280&gt;0,H280/I280,"")</f>
        <v/>
      </c>
      <c r="K280" s="4">
        <f>IF(I280&lt;=0,"NO DEMAND",IF(H280=0,"STOCKOUT",IF(J280&lt;Config!$B$5,"CRITICAL",IF(J280&lt;Config!$B$6,"LOW",IF(J280&gt;Config!$B$7,"EXCESS","HEALTHY")))))</f>
        <v/>
      </c>
      <c r="L280" s="11" t="n">
        <v>19</v>
      </c>
      <c r="M280" s="11" t="n">
        <v>24</v>
      </c>
      <c r="N280" s="11">
        <f>H280*L280</f>
        <v/>
      </c>
      <c r="O280" s="11">
        <f>IF(I280&gt;0,I280*(M280-L280),0)</f>
        <v/>
      </c>
      <c r="P280" s="11" t="n">
        <v>0</v>
      </c>
    </row>
    <row r="281">
      <c r="A281" s="4" t="inlineStr">
        <is>
          <t>WH03</t>
        </is>
      </c>
      <c r="B281" s="4" t="inlineStr">
        <is>
          <t>Lucknow DC</t>
        </is>
      </c>
      <c r="C281" s="4" t="inlineStr">
        <is>
          <t>North</t>
        </is>
      </c>
      <c r="D281" s="4" t="inlineStr">
        <is>
          <t>SKU037</t>
        </is>
      </c>
      <c r="E281" s="4" t="inlineStr">
        <is>
          <t>Popcorn 60g</t>
        </is>
      </c>
      <c r="F281" s="4" t="inlineStr">
        <is>
          <t>Snacks &amp; Confectionery</t>
        </is>
      </c>
      <c r="G281" s="4" t="inlineStr">
        <is>
          <t>A</t>
        </is>
      </c>
      <c r="H281" s="11" t="n">
        <v>1261</v>
      </c>
      <c r="I281" s="4" t="n">
        <v>299.25</v>
      </c>
      <c r="J281" s="13">
        <f>IF(I281&gt;0,H281/I281,"")</f>
        <v/>
      </c>
      <c r="K281" s="4">
        <f>IF(I281&lt;=0,"NO DEMAND",IF(H281=0,"STOCKOUT",IF(J281&lt;Config!$B$5,"CRITICAL",IF(J281&lt;Config!$B$6,"LOW",IF(J281&gt;Config!$B$7,"EXCESS","HEALTHY")))))</f>
        <v/>
      </c>
      <c r="L281" s="11" t="n">
        <v>137</v>
      </c>
      <c r="M281" s="11" t="n">
        <v>163</v>
      </c>
      <c r="N281" s="11">
        <f>H281*L281</f>
        <v/>
      </c>
      <c r="O281" s="11">
        <f>IF(I281&gt;0,I281*(M281-L281),0)</f>
        <v/>
      </c>
      <c r="P281" s="11" t="n">
        <v>0</v>
      </c>
    </row>
    <row r="282">
      <c r="A282" s="4" t="inlineStr">
        <is>
          <t>WH03</t>
        </is>
      </c>
      <c r="B282" s="4" t="inlineStr">
        <is>
          <t>Lucknow DC</t>
        </is>
      </c>
      <c r="C282" s="4" t="inlineStr">
        <is>
          <t>North</t>
        </is>
      </c>
      <c r="D282" s="4" t="inlineStr">
        <is>
          <t>SKU038</t>
        </is>
      </c>
      <c r="E282" s="4" t="inlineStr">
        <is>
          <t>Peanut Chikki 200g</t>
        </is>
      </c>
      <c r="F282" s="4" t="inlineStr">
        <is>
          <t>Snacks &amp; Confectionery</t>
        </is>
      </c>
      <c r="G282" s="4" t="inlineStr">
        <is>
          <t>C</t>
        </is>
      </c>
      <c r="H282" s="11" t="n">
        <v>1394</v>
      </c>
      <c r="I282" s="4" t="n">
        <v>457.25</v>
      </c>
      <c r="J282" s="13">
        <f>IF(I282&gt;0,H282/I282,"")</f>
        <v/>
      </c>
      <c r="K282" s="4">
        <f>IF(I282&lt;=0,"NO DEMAND",IF(H282=0,"STOCKOUT",IF(J282&lt;Config!$B$5,"CRITICAL",IF(J282&lt;Config!$B$6,"LOW",IF(J282&gt;Config!$B$7,"EXCESS","HEALTHY")))))</f>
        <v/>
      </c>
      <c r="L282" s="11" t="n">
        <v>18</v>
      </c>
      <c r="M282" s="11" t="n">
        <v>22</v>
      </c>
      <c r="N282" s="11">
        <f>H282*L282</f>
        <v/>
      </c>
      <c r="O282" s="11">
        <f>IF(I282&gt;0,I282*(M282-L282),0)</f>
        <v/>
      </c>
      <c r="P282" s="11" t="n">
        <v>0</v>
      </c>
    </row>
    <row r="283">
      <c r="A283" s="4" t="inlineStr">
        <is>
          <t>WH03</t>
        </is>
      </c>
      <c r="B283" s="4" t="inlineStr">
        <is>
          <t>Lucknow DC</t>
        </is>
      </c>
      <c r="C283" s="4" t="inlineStr">
        <is>
          <t>North</t>
        </is>
      </c>
      <c r="D283" s="4" t="inlineStr">
        <is>
          <t>SKU039</t>
        </is>
      </c>
      <c r="E283" s="4" t="inlineStr">
        <is>
          <t>Cookies 200g</t>
        </is>
      </c>
      <c r="F283" s="4" t="inlineStr">
        <is>
          <t>Snacks &amp; Confectionery</t>
        </is>
      </c>
      <c r="G283" s="4" t="inlineStr">
        <is>
          <t>A</t>
        </is>
      </c>
      <c r="H283" s="11" t="n">
        <v>1020</v>
      </c>
      <c r="I283" s="4" t="n">
        <v>849.5</v>
      </c>
      <c r="J283" s="13">
        <f>IF(I283&gt;0,H283/I283,"")</f>
        <v/>
      </c>
      <c r="K283" s="4">
        <f>IF(I283&lt;=0,"NO DEMAND",IF(H283=0,"STOCKOUT",IF(J283&lt;Config!$B$5,"CRITICAL",IF(J283&lt;Config!$B$6,"LOW",IF(J283&gt;Config!$B$7,"EXCESS","HEALTHY")))))</f>
        <v/>
      </c>
      <c r="L283" s="11" t="n">
        <v>126</v>
      </c>
      <c r="M283" s="11" t="n">
        <v>150</v>
      </c>
      <c r="N283" s="11">
        <f>H283*L283</f>
        <v/>
      </c>
      <c r="O283" s="11">
        <f>IF(I283&gt;0,I283*(M283-L283),0)</f>
        <v/>
      </c>
      <c r="P283" s="11" t="n">
        <v>2700</v>
      </c>
    </row>
    <row r="284">
      <c r="A284" s="4" t="inlineStr">
        <is>
          <t>WH03</t>
        </is>
      </c>
      <c r="B284" s="4" t="inlineStr">
        <is>
          <t>Lucknow DC</t>
        </is>
      </c>
      <c r="C284" s="4" t="inlineStr">
        <is>
          <t>North</t>
        </is>
      </c>
      <c r="D284" s="4" t="inlineStr">
        <is>
          <t>SKU040</t>
        </is>
      </c>
      <c r="E284" s="4" t="inlineStr">
        <is>
          <t>Wafers 75g</t>
        </is>
      </c>
      <c r="F284" s="4" t="inlineStr">
        <is>
          <t>Snacks &amp; Confectionery</t>
        </is>
      </c>
      <c r="G284" s="4" t="inlineStr">
        <is>
          <t>A</t>
        </is>
      </c>
      <c r="H284" s="11" t="n">
        <v>926</v>
      </c>
      <c r="I284" s="4" t="n">
        <v>782.75</v>
      </c>
      <c r="J284" s="13">
        <f>IF(I284&gt;0,H284/I284,"")</f>
        <v/>
      </c>
      <c r="K284" s="4">
        <f>IF(I284&lt;=0,"NO DEMAND",IF(H284=0,"STOCKOUT",IF(J284&lt;Config!$B$5,"CRITICAL",IF(J284&lt;Config!$B$6,"LOW",IF(J284&gt;Config!$B$7,"EXCESS","HEALTHY")))))</f>
        <v/>
      </c>
      <c r="L284" s="11" t="n">
        <v>90</v>
      </c>
      <c r="M284" s="11" t="n">
        <v>109</v>
      </c>
      <c r="N284" s="11">
        <f>H284*L284</f>
        <v/>
      </c>
      <c r="O284" s="11">
        <f>IF(I284&gt;0,I284*(M284-L284),0)</f>
        <v/>
      </c>
      <c r="P284" s="11" t="n">
        <v>0</v>
      </c>
    </row>
    <row r="285">
      <c r="A285" s="4" t="inlineStr">
        <is>
          <t>WH03</t>
        </is>
      </c>
      <c r="B285" s="4" t="inlineStr">
        <is>
          <t>Lucknow DC</t>
        </is>
      </c>
      <c r="C285" s="4" t="inlineStr">
        <is>
          <t>North</t>
        </is>
      </c>
      <c r="D285" s="4" t="inlineStr">
        <is>
          <t>SKU041</t>
        </is>
      </c>
      <c r="E285" s="4" t="inlineStr">
        <is>
          <t>Mathri 250g</t>
        </is>
      </c>
      <c r="F285" s="4" t="inlineStr">
        <is>
          <t>Snacks &amp; Confectionery</t>
        </is>
      </c>
      <c r="G285" s="4" t="inlineStr">
        <is>
          <t>A</t>
        </is>
      </c>
      <c r="H285" s="11" t="n">
        <v>1503</v>
      </c>
      <c r="I285" s="4" t="n">
        <v>452.75</v>
      </c>
      <c r="J285" s="13">
        <f>IF(I285&gt;0,H285/I285,"")</f>
        <v/>
      </c>
      <c r="K285" s="4">
        <f>IF(I285&lt;=0,"NO DEMAND",IF(H285=0,"STOCKOUT",IF(J285&lt;Config!$B$5,"CRITICAL",IF(J285&lt;Config!$B$6,"LOW",IF(J285&gt;Config!$B$7,"EXCESS","HEALTHY")))))</f>
        <v/>
      </c>
      <c r="L285" s="11" t="n">
        <v>100</v>
      </c>
      <c r="M285" s="11" t="n">
        <v>125</v>
      </c>
      <c r="N285" s="11">
        <f>H285*L285</f>
        <v/>
      </c>
      <c r="O285" s="11">
        <f>IF(I285&gt;0,I285*(M285-L285),0)</f>
        <v/>
      </c>
      <c r="P285" s="11" t="n">
        <v>0</v>
      </c>
    </row>
    <row r="286">
      <c r="A286" s="4" t="inlineStr">
        <is>
          <t>WH03</t>
        </is>
      </c>
      <c r="B286" s="4" t="inlineStr">
        <is>
          <t>Lucknow DC</t>
        </is>
      </c>
      <c r="C286" s="4" t="inlineStr">
        <is>
          <t>North</t>
        </is>
      </c>
      <c r="D286" s="4" t="inlineStr">
        <is>
          <t>SKU042</t>
        </is>
      </c>
      <c r="E286" s="4" t="inlineStr">
        <is>
          <t>Dry Fruit Mix 250g</t>
        </is>
      </c>
      <c r="F286" s="4" t="inlineStr">
        <is>
          <t>Snacks &amp; Confectionery</t>
        </is>
      </c>
      <c r="G286" s="4" t="inlineStr">
        <is>
          <t>A</t>
        </is>
      </c>
      <c r="H286" s="11" t="n">
        <v>776</v>
      </c>
      <c r="I286" s="4" t="n">
        <v>715.5</v>
      </c>
      <c r="J286" s="13">
        <f>IF(I286&gt;0,H286/I286,"")</f>
        <v/>
      </c>
      <c r="K286" s="4">
        <f>IF(I286&lt;=0,"NO DEMAND",IF(H286=0,"STOCKOUT",IF(J286&lt;Config!$B$5,"CRITICAL",IF(J286&lt;Config!$B$6,"LOW",IF(J286&gt;Config!$B$7,"EXCESS","HEALTHY")))))</f>
        <v/>
      </c>
      <c r="L286" s="11" t="n">
        <v>74</v>
      </c>
      <c r="M286" s="11" t="n">
        <v>88</v>
      </c>
      <c r="N286" s="11">
        <f>H286*L286</f>
        <v/>
      </c>
      <c r="O286" s="11">
        <f>IF(I286&gt;0,I286*(M286-L286),0)</f>
        <v/>
      </c>
      <c r="P286" s="11" t="n">
        <v>2712</v>
      </c>
    </row>
    <row r="287">
      <c r="A287" s="4" t="inlineStr">
        <is>
          <t>WH03</t>
        </is>
      </c>
      <c r="B287" s="4" t="inlineStr">
        <is>
          <t>Lucknow DC</t>
        </is>
      </c>
      <c r="C287" s="4" t="inlineStr">
        <is>
          <t>North</t>
        </is>
      </c>
      <c r="D287" s="4" t="inlineStr">
        <is>
          <t>SKU043</t>
        </is>
      </c>
      <c r="E287" s="4" t="inlineStr">
        <is>
          <t>Soan Papdi 500g</t>
        </is>
      </c>
      <c r="F287" s="4" t="inlineStr">
        <is>
          <t>Snacks &amp; Confectionery</t>
        </is>
      </c>
      <c r="G287" s="4" t="inlineStr">
        <is>
          <t>C</t>
        </is>
      </c>
      <c r="H287" s="11" t="n">
        <v>1555</v>
      </c>
      <c r="I287" s="4" t="n">
        <v>507</v>
      </c>
      <c r="J287" s="13">
        <f>IF(I287&gt;0,H287/I287,"")</f>
        <v/>
      </c>
      <c r="K287" s="4">
        <f>IF(I287&lt;=0,"NO DEMAND",IF(H287=0,"STOCKOUT",IF(J287&lt;Config!$B$5,"CRITICAL",IF(J287&lt;Config!$B$6,"LOW",IF(J287&gt;Config!$B$7,"EXCESS","HEALTHY")))))</f>
        <v/>
      </c>
      <c r="L287" s="11" t="n">
        <v>15</v>
      </c>
      <c r="M287" s="11" t="n">
        <v>18</v>
      </c>
      <c r="N287" s="11">
        <f>H287*L287</f>
        <v/>
      </c>
      <c r="O287" s="11">
        <f>IF(I287&gt;0,I287*(M287-L287),0)</f>
        <v/>
      </c>
      <c r="P287" s="11" t="n">
        <v>0</v>
      </c>
    </row>
    <row r="288">
      <c r="A288" s="4" t="inlineStr">
        <is>
          <t>WH03</t>
        </is>
      </c>
      <c r="B288" s="4" t="inlineStr">
        <is>
          <t>Lucknow DC</t>
        </is>
      </c>
      <c r="C288" s="4" t="inlineStr">
        <is>
          <t>North</t>
        </is>
      </c>
      <c r="D288" s="4" t="inlineStr">
        <is>
          <t>SKU044</t>
        </is>
      </c>
      <c r="E288" s="4" t="inlineStr">
        <is>
          <t>Rusk 300g</t>
        </is>
      </c>
      <c r="F288" s="4" t="inlineStr">
        <is>
          <t>Snacks &amp; Confectionery</t>
        </is>
      </c>
      <c r="G288" s="4" t="inlineStr">
        <is>
          <t>A</t>
        </is>
      </c>
      <c r="H288" s="11" t="n">
        <v>0</v>
      </c>
      <c r="I288" s="4" t="n">
        <v>881.5</v>
      </c>
      <c r="J288" s="13">
        <f>IF(I288&gt;0,H288/I288,"")</f>
        <v/>
      </c>
      <c r="K288" s="4">
        <f>IF(I288&lt;=0,"NO DEMAND",IF(H288=0,"STOCKOUT",IF(J288&lt;Config!$B$5,"CRITICAL",IF(J288&lt;Config!$B$6,"LOW",IF(J288&gt;Config!$B$7,"EXCESS","HEALTHY")))))</f>
        <v/>
      </c>
      <c r="L288" s="11" t="n">
        <v>57</v>
      </c>
      <c r="M288" s="11" t="n">
        <v>70</v>
      </c>
      <c r="N288" s="11">
        <f>H288*L288</f>
        <v/>
      </c>
      <c r="O288" s="11">
        <f>IF(I288&gt;0,I288*(M288-L288),0)</f>
        <v/>
      </c>
      <c r="P288" s="11" t="n">
        <v>4044</v>
      </c>
    </row>
    <row r="289">
      <c r="A289" s="4" t="inlineStr">
        <is>
          <t>WH03</t>
        </is>
      </c>
      <c r="B289" s="4" t="inlineStr">
        <is>
          <t>Lucknow DC</t>
        </is>
      </c>
      <c r="C289" s="4" t="inlineStr">
        <is>
          <t>North</t>
        </is>
      </c>
      <c r="D289" s="4" t="inlineStr">
        <is>
          <t>SKU045</t>
        </is>
      </c>
      <c r="E289" s="4" t="inlineStr">
        <is>
          <t>Candy Pack 150g</t>
        </is>
      </c>
      <c r="F289" s="4" t="inlineStr">
        <is>
          <t>Snacks &amp; Confectionery</t>
        </is>
      </c>
      <c r="G289" s="4" t="inlineStr">
        <is>
          <t>C</t>
        </is>
      </c>
      <c r="H289" s="11" t="n">
        <v>2688</v>
      </c>
      <c r="I289" s="4" t="n">
        <v>592.5</v>
      </c>
      <c r="J289" s="13">
        <f>IF(I289&gt;0,H289/I289,"")</f>
        <v/>
      </c>
      <c r="K289" s="4">
        <f>IF(I289&lt;=0,"NO DEMAND",IF(H289=0,"STOCKOUT",IF(J289&lt;Config!$B$5,"CRITICAL",IF(J289&lt;Config!$B$6,"LOW",IF(J289&gt;Config!$B$7,"EXCESS","HEALTHY")))))</f>
        <v/>
      </c>
      <c r="L289" s="11" t="n">
        <v>22</v>
      </c>
      <c r="M289" s="11" t="n">
        <v>27</v>
      </c>
      <c r="N289" s="11">
        <f>H289*L289</f>
        <v/>
      </c>
      <c r="O289" s="11">
        <f>IF(I289&gt;0,I289*(M289-L289),0)</f>
        <v/>
      </c>
      <c r="P289" s="11" t="n">
        <v>0</v>
      </c>
    </row>
    <row r="290">
      <c r="A290" s="4" t="inlineStr">
        <is>
          <t>WH03</t>
        </is>
      </c>
      <c r="B290" s="4" t="inlineStr">
        <is>
          <t>Lucknow DC</t>
        </is>
      </c>
      <c r="C290" s="4" t="inlineStr">
        <is>
          <t>North</t>
        </is>
      </c>
      <c r="D290" s="4" t="inlineStr">
        <is>
          <t>SKU046</t>
        </is>
      </c>
      <c r="E290" s="4" t="inlineStr">
        <is>
          <t>Shampoo 340ml</t>
        </is>
      </c>
      <c r="F290" s="4" t="inlineStr">
        <is>
          <t>Personal Care</t>
        </is>
      </c>
      <c r="G290" s="4" t="inlineStr">
        <is>
          <t>C</t>
        </is>
      </c>
      <c r="H290" s="11" t="n">
        <v>847</v>
      </c>
      <c r="I290" s="4" t="n">
        <v>69.5</v>
      </c>
      <c r="J290" s="13">
        <f>IF(I290&gt;0,H290/I290,"")</f>
        <v/>
      </c>
      <c r="K290" s="4">
        <f>IF(I290&lt;=0,"NO DEMAND",IF(H290=0,"STOCKOUT",IF(J290&lt;Config!$B$5,"CRITICAL",IF(J290&lt;Config!$B$6,"LOW",IF(J290&gt;Config!$B$7,"EXCESS","HEALTHY")))))</f>
        <v/>
      </c>
      <c r="L290" s="11" t="n">
        <v>51</v>
      </c>
      <c r="M290" s="11" t="n">
        <v>67</v>
      </c>
      <c r="N290" s="11">
        <f>H290*L290</f>
        <v/>
      </c>
      <c r="O290" s="11">
        <f>IF(I290&gt;0,I290*(M290-L290),0)</f>
        <v/>
      </c>
      <c r="P290" s="11" t="n">
        <v>0</v>
      </c>
    </row>
    <row r="291">
      <c r="A291" s="4" t="inlineStr">
        <is>
          <t>WH03</t>
        </is>
      </c>
      <c r="B291" s="4" t="inlineStr">
        <is>
          <t>Lucknow DC</t>
        </is>
      </c>
      <c r="C291" s="4" t="inlineStr">
        <is>
          <t>North</t>
        </is>
      </c>
      <c r="D291" s="4" t="inlineStr">
        <is>
          <t>SKU047</t>
        </is>
      </c>
      <c r="E291" s="4" t="inlineStr">
        <is>
          <t>Soap 4-pack</t>
        </is>
      </c>
      <c r="F291" s="4" t="inlineStr">
        <is>
          <t>Personal Care</t>
        </is>
      </c>
      <c r="G291" s="4" t="inlineStr">
        <is>
          <t>C</t>
        </is>
      </c>
      <c r="H291" s="11" t="n">
        <v>1058</v>
      </c>
      <c r="I291" s="4" t="n">
        <v>590.75</v>
      </c>
      <c r="J291" s="13">
        <f>IF(I291&gt;0,H291/I291,"")</f>
        <v/>
      </c>
      <c r="K291" s="4">
        <f>IF(I291&lt;=0,"NO DEMAND",IF(H291=0,"STOCKOUT",IF(J291&lt;Config!$B$5,"CRITICAL",IF(J291&lt;Config!$B$6,"LOW",IF(J291&gt;Config!$B$7,"EXCESS","HEALTHY")))))</f>
        <v/>
      </c>
      <c r="L291" s="11" t="n">
        <v>37</v>
      </c>
      <c r="M291" s="11" t="n">
        <v>47</v>
      </c>
      <c r="N291" s="11">
        <f>H291*L291</f>
        <v/>
      </c>
      <c r="O291" s="11">
        <f>IF(I291&gt;0,I291*(M291-L291),0)</f>
        <v/>
      </c>
      <c r="P291" s="11" t="n">
        <v>1572</v>
      </c>
    </row>
    <row r="292">
      <c r="A292" s="4" t="inlineStr">
        <is>
          <t>WH03</t>
        </is>
      </c>
      <c r="B292" s="4" t="inlineStr">
        <is>
          <t>Lucknow DC</t>
        </is>
      </c>
      <c r="C292" s="4" t="inlineStr">
        <is>
          <t>North</t>
        </is>
      </c>
      <c r="D292" s="4" t="inlineStr">
        <is>
          <t>SKU048</t>
        </is>
      </c>
      <c r="E292" s="4" t="inlineStr">
        <is>
          <t>Toothpaste 150g</t>
        </is>
      </c>
      <c r="F292" s="4" t="inlineStr">
        <is>
          <t>Personal Care</t>
        </is>
      </c>
      <c r="G292" s="4" t="inlineStr">
        <is>
          <t>C</t>
        </is>
      </c>
      <c r="H292" s="11" t="n">
        <v>391</v>
      </c>
      <c r="I292" s="4" t="n">
        <v>179.5</v>
      </c>
      <c r="J292" s="13">
        <f>IF(I292&gt;0,H292/I292,"")</f>
        <v/>
      </c>
      <c r="K292" s="4">
        <f>IF(I292&lt;=0,"NO DEMAND",IF(H292=0,"STOCKOUT",IF(J292&lt;Config!$B$5,"CRITICAL",IF(J292&lt;Config!$B$6,"LOW",IF(J292&gt;Config!$B$7,"EXCESS","HEALTHY")))))</f>
        <v/>
      </c>
      <c r="L292" s="11" t="n">
        <v>51</v>
      </c>
      <c r="M292" s="11" t="n">
        <v>67</v>
      </c>
      <c r="N292" s="11">
        <f>H292*L292</f>
        <v/>
      </c>
      <c r="O292" s="11">
        <f>IF(I292&gt;0,I292*(M292-L292),0)</f>
        <v/>
      </c>
      <c r="P292" s="11" t="n">
        <v>900</v>
      </c>
    </row>
    <row r="293">
      <c r="A293" s="4" t="inlineStr">
        <is>
          <t>WH03</t>
        </is>
      </c>
      <c r="B293" s="4" t="inlineStr">
        <is>
          <t>Lucknow DC</t>
        </is>
      </c>
      <c r="C293" s="4" t="inlineStr">
        <is>
          <t>North</t>
        </is>
      </c>
      <c r="D293" s="4" t="inlineStr">
        <is>
          <t>SKU049</t>
        </is>
      </c>
      <c r="E293" s="4" t="inlineStr">
        <is>
          <t>Face Wash 100ml</t>
        </is>
      </c>
      <c r="F293" s="4" t="inlineStr">
        <is>
          <t>Personal Care</t>
        </is>
      </c>
      <c r="G293" s="4" t="inlineStr">
        <is>
          <t>C</t>
        </is>
      </c>
      <c r="H293" s="11" t="n">
        <v>353</v>
      </c>
      <c r="I293" s="4" t="n">
        <v>204.75</v>
      </c>
      <c r="J293" s="13">
        <f>IF(I293&gt;0,H293/I293,"")</f>
        <v/>
      </c>
      <c r="K293" s="4">
        <f>IF(I293&lt;=0,"NO DEMAND",IF(H293=0,"STOCKOUT",IF(J293&lt;Config!$B$5,"CRITICAL",IF(J293&lt;Config!$B$6,"LOW",IF(J293&gt;Config!$B$7,"EXCESS","HEALTHY")))))</f>
        <v/>
      </c>
      <c r="L293" s="11" t="n">
        <v>32</v>
      </c>
      <c r="M293" s="11" t="n">
        <v>41</v>
      </c>
      <c r="N293" s="11">
        <f>H293*L293</f>
        <v/>
      </c>
      <c r="O293" s="11">
        <f>IF(I293&gt;0,I293*(M293-L293),0)</f>
        <v/>
      </c>
      <c r="P293" s="11" t="n">
        <v>744</v>
      </c>
    </row>
    <row r="294">
      <c r="A294" s="4" t="inlineStr">
        <is>
          <t>WH03</t>
        </is>
      </c>
      <c r="B294" s="4" t="inlineStr">
        <is>
          <t>Lucknow DC</t>
        </is>
      </c>
      <c r="C294" s="4" t="inlineStr">
        <is>
          <t>North</t>
        </is>
      </c>
      <c r="D294" s="4" t="inlineStr">
        <is>
          <t>SKU050</t>
        </is>
      </c>
      <c r="E294" s="4" t="inlineStr">
        <is>
          <t>Body Lotion 400ml</t>
        </is>
      </c>
      <c r="F294" s="4" t="inlineStr">
        <is>
          <t>Personal Care</t>
        </is>
      </c>
      <c r="G294" s="4" t="inlineStr">
        <is>
          <t>B</t>
        </is>
      </c>
      <c r="H294" s="11" t="n">
        <v>595</v>
      </c>
      <c r="I294" s="4" t="n">
        <v>360.25</v>
      </c>
      <c r="J294" s="13">
        <f>IF(I294&gt;0,H294/I294,"")</f>
        <v/>
      </c>
      <c r="K294" s="4">
        <f>IF(I294&lt;=0,"NO DEMAND",IF(H294=0,"STOCKOUT",IF(J294&lt;Config!$B$5,"CRITICAL",IF(J294&lt;Config!$B$6,"LOW",IF(J294&gt;Config!$B$7,"EXCESS","HEALTHY")))))</f>
        <v/>
      </c>
      <c r="L294" s="11" t="n">
        <v>138</v>
      </c>
      <c r="M294" s="11" t="n">
        <v>175</v>
      </c>
      <c r="N294" s="11">
        <f>H294*L294</f>
        <v/>
      </c>
      <c r="O294" s="11">
        <f>IF(I294&gt;0,I294*(M294-L294),0)</f>
        <v/>
      </c>
      <c r="P294" s="11" t="n">
        <v>1236</v>
      </c>
    </row>
    <row r="295">
      <c r="A295" s="4" t="inlineStr">
        <is>
          <t>WH03</t>
        </is>
      </c>
      <c r="B295" s="4" t="inlineStr">
        <is>
          <t>Lucknow DC</t>
        </is>
      </c>
      <c r="C295" s="4" t="inlineStr">
        <is>
          <t>North</t>
        </is>
      </c>
      <c r="D295" s="4" t="inlineStr">
        <is>
          <t>SKU051</t>
        </is>
      </c>
      <c r="E295" s="4" t="inlineStr">
        <is>
          <t>Hair Oil 200ml</t>
        </is>
      </c>
      <c r="F295" s="4" t="inlineStr">
        <is>
          <t>Personal Care</t>
        </is>
      </c>
      <c r="G295" s="4" t="inlineStr">
        <is>
          <t>B</t>
        </is>
      </c>
      <c r="H295" s="11" t="n">
        <v>402</v>
      </c>
      <c r="I295" s="4" t="n">
        <v>266.75</v>
      </c>
      <c r="J295" s="13">
        <f>IF(I295&gt;0,H295/I295,"")</f>
        <v/>
      </c>
      <c r="K295" s="4">
        <f>IF(I295&lt;=0,"NO DEMAND",IF(H295=0,"STOCKOUT",IF(J295&lt;Config!$B$5,"CRITICAL",IF(J295&lt;Config!$B$6,"LOW",IF(J295&gt;Config!$B$7,"EXCESS","HEALTHY")))))</f>
        <v/>
      </c>
      <c r="L295" s="11" t="n">
        <v>156</v>
      </c>
      <c r="M295" s="11" t="n">
        <v>203</v>
      </c>
      <c r="N295" s="11">
        <f>H295*L295</f>
        <v/>
      </c>
      <c r="O295" s="11">
        <f>IF(I295&gt;0,I295*(M295-L295),0)</f>
        <v/>
      </c>
      <c r="P295" s="11" t="n">
        <v>900</v>
      </c>
    </row>
    <row r="296">
      <c r="A296" s="4" t="inlineStr">
        <is>
          <t>WH03</t>
        </is>
      </c>
      <c r="B296" s="4" t="inlineStr">
        <is>
          <t>Lucknow DC</t>
        </is>
      </c>
      <c r="C296" s="4" t="inlineStr">
        <is>
          <t>North</t>
        </is>
      </c>
      <c r="D296" s="4" t="inlineStr">
        <is>
          <t>SKU052</t>
        </is>
      </c>
      <c r="E296" s="4" t="inlineStr">
        <is>
          <t>Deodorant 150ml</t>
        </is>
      </c>
      <c r="F296" s="4" t="inlineStr">
        <is>
          <t>Personal Care</t>
        </is>
      </c>
      <c r="G296" s="4" t="inlineStr">
        <is>
          <t>B</t>
        </is>
      </c>
      <c r="H296" s="11" t="n">
        <v>171</v>
      </c>
      <c r="I296" s="4" t="n">
        <v>199.75</v>
      </c>
      <c r="J296" s="13">
        <f>IF(I296&gt;0,H296/I296,"")</f>
        <v/>
      </c>
      <c r="K296" s="4">
        <f>IF(I296&lt;=0,"NO DEMAND",IF(H296=0,"STOCKOUT",IF(J296&lt;Config!$B$5,"CRITICAL",IF(J296&lt;Config!$B$6,"LOW",IF(J296&gt;Config!$B$7,"EXCESS","HEALTHY")))))</f>
        <v/>
      </c>
      <c r="L296" s="11" t="n">
        <v>133</v>
      </c>
      <c r="M296" s="11" t="n">
        <v>179</v>
      </c>
      <c r="N296" s="11">
        <f>H296*L296</f>
        <v/>
      </c>
      <c r="O296" s="11">
        <f>IF(I296&gt;0,I296*(M296-L296),0)</f>
        <v/>
      </c>
      <c r="P296" s="11" t="n">
        <v>1032</v>
      </c>
    </row>
    <row r="297">
      <c r="A297" s="4" t="inlineStr">
        <is>
          <t>WH03</t>
        </is>
      </c>
      <c r="B297" s="4" t="inlineStr">
        <is>
          <t>Lucknow DC</t>
        </is>
      </c>
      <c r="C297" s="4" t="inlineStr">
        <is>
          <t>North</t>
        </is>
      </c>
      <c r="D297" s="4" t="inlineStr">
        <is>
          <t>SKU053</t>
        </is>
      </c>
      <c r="E297" s="4" t="inlineStr">
        <is>
          <t>Sanitary Pads 20pk</t>
        </is>
      </c>
      <c r="F297" s="4" t="inlineStr">
        <is>
          <t>Personal Care</t>
        </is>
      </c>
      <c r="G297" s="4" t="inlineStr">
        <is>
          <t>C</t>
        </is>
      </c>
      <c r="H297" s="11" t="n">
        <v>708</v>
      </c>
      <c r="I297" s="4" t="n">
        <v>350.75</v>
      </c>
      <c r="J297" s="13">
        <f>IF(I297&gt;0,H297/I297,"")</f>
        <v/>
      </c>
      <c r="K297" s="4">
        <f>IF(I297&lt;=0,"NO DEMAND",IF(H297=0,"STOCKOUT",IF(J297&lt;Config!$B$5,"CRITICAL",IF(J297&lt;Config!$B$6,"LOW",IF(J297&gt;Config!$B$7,"EXCESS","HEALTHY")))))</f>
        <v/>
      </c>
      <c r="L297" s="11" t="n">
        <v>31</v>
      </c>
      <c r="M297" s="11" t="n">
        <v>39</v>
      </c>
      <c r="N297" s="11">
        <f>H297*L297</f>
        <v/>
      </c>
      <c r="O297" s="11">
        <f>IF(I297&gt;0,I297*(M297-L297),0)</f>
        <v/>
      </c>
      <c r="P297" s="11" t="n">
        <v>1500</v>
      </c>
    </row>
    <row r="298">
      <c r="A298" s="4" t="inlineStr">
        <is>
          <t>WH03</t>
        </is>
      </c>
      <c r="B298" s="4" t="inlineStr">
        <is>
          <t>Lucknow DC</t>
        </is>
      </c>
      <c r="C298" s="4" t="inlineStr">
        <is>
          <t>North</t>
        </is>
      </c>
      <c r="D298" s="4" t="inlineStr">
        <is>
          <t>SKU054</t>
        </is>
      </c>
      <c r="E298" s="4" t="inlineStr">
        <is>
          <t>Razor 5pk</t>
        </is>
      </c>
      <c r="F298" s="4" t="inlineStr">
        <is>
          <t>Personal Care</t>
        </is>
      </c>
      <c r="G298" s="4" t="inlineStr">
        <is>
          <t>B</t>
        </is>
      </c>
      <c r="H298" s="11" t="n">
        <v>77</v>
      </c>
      <c r="I298" s="4" t="n">
        <v>172.75</v>
      </c>
      <c r="J298" s="13">
        <f>IF(I298&gt;0,H298/I298,"")</f>
        <v/>
      </c>
      <c r="K298" s="4">
        <f>IF(I298&lt;=0,"NO DEMAND",IF(H298=0,"STOCKOUT",IF(J298&lt;Config!$B$5,"CRITICAL",IF(J298&lt;Config!$B$6,"LOW",IF(J298&gt;Config!$B$7,"EXCESS","HEALTHY")))))</f>
        <v/>
      </c>
      <c r="L298" s="11" t="n">
        <v>106</v>
      </c>
      <c r="M298" s="11" t="n">
        <v>137</v>
      </c>
      <c r="N298" s="11">
        <f>H298*L298</f>
        <v/>
      </c>
      <c r="O298" s="11">
        <f>IF(I298&gt;0,I298*(M298-L298),0)</f>
        <v/>
      </c>
      <c r="P298" s="11" t="n">
        <v>768</v>
      </c>
    </row>
    <row r="299">
      <c r="A299" s="4" t="inlineStr">
        <is>
          <t>WH03</t>
        </is>
      </c>
      <c r="B299" s="4" t="inlineStr">
        <is>
          <t>Lucknow DC</t>
        </is>
      </c>
      <c r="C299" s="4" t="inlineStr">
        <is>
          <t>North</t>
        </is>
      </c>
      <c r="D299" s="4" t="inlineStr">
        <is>
          <t>SKU055</t>
        </is>
      </c>
      <c r="E299" s="4" t="inlineStr">
        <is>
          <t>Talc 300g</t>
        </is>
      </c>
      <c r="F299" s="4" t="inlineStr">
        <is>
          <t>Personal Care</t>
        </is>
      </c>
      <c r="G299" s="4" t="inlineStr">
        <is>
          <t>B</t>
        </is>
      </c>
      <c r="H299" s="11" t="n">
        <v>1667</v>
      </c>
      <c r="I299" s="4" t="n">
        <v>418</v>
      </c>
      <c r="J299" s="13">
        <f>IF(I299&gt;0,H299/I299,"")</f>
        <v/>
      </c>
      <c r="K299" s="4">
        <f>IF(I299&lt;=0,"NO DEMAND",IF(H299=0,"STOCKOUT",IF(J299&lt;Config!$B$5,"CRITICAL",IF(J299&lt;Config!$B$6,"LOW",IF(J299&gt;Config!$B$7,"EXCESS","HEALTHY")))))</f>
        <v/>
      </c>
      <c r="L299" s="11" t="n">
        <v>77</v>
      </c>
      <c r="M299" s="11" t="n">
        <v>100</v>
      </c>
      <c r="N299" s="11">
        <f>H299*L299</f>
        <v/>
      </c>
      <c r="O299" s="11">
        <f>IF(I299&gt;0,I299*(M299-L299),0)</f>
        <v/>
      </c>
      <c r="P299" s="11" t="n">
        <v>0</v>
      </c>
    </row>
    <row r="300">
      <c r="A300" s="4" t="inlineStr">
        <is>
          <t>WH03</t>
        </is>
      </c>
      <c r="B300" s="4" t="inlineStr">
        <is>
          <t>Lucknow DC</t>
        </is>
      </c>
      <c r="C300" s="4" t="inlineStr">
        <is>
          <t>North</t>
        </is>
      </c>
      <c r="D300" s="4" t="inlineStr">
        <is>
          <t>SKU056</t>
        </is>
      </c>
      <c r="E300" s="4" t="inlineStr">
        <is>
          <t>Sunscreen 50g</t>
        </is>
      </c>
      <c r="F300" s="4" t="inlineStr">
        <is>
          <t>Personal Care</t>
        </is>
      </c>
      <c r="G300" s="4" t="inlineStr">
        <is>
          <t>A</t>
        </is>
      </c>
      <c r="H300" s="11" t="n">
        <v>855</v>
      </c>
      <c r="I300" s="4" t="n">
        <v>228.5</v>
      </c>
      <c r="J300" s="13">
        <f>IF(I300&gt;0,H300/I300,"")</f>
        <v/>
      </c>
      <c r="K300" s="4">
        <f>IF(I300&lt;=0,"NO DEMAND",IF(H300=0,"STOCKOUT",IF(J300&lt;Config!$B$5,"CRITICAL",IF(J300&lt;Config!$B$6,"LOW",IF(J300&gt;Config!$B$7,"EXCESS","HEALTHY")))))</f>
        <v/>
      </c>
      <c r="L300" s="11" t="n">
        <v>393</v>
      </c>
      <c r="M300" s="11" t="n">
        <v>510</v>
      </c>
      <c r="N300" s="11">
        <f>H300*L300</f>
        <v/>
      </c>
      <c r="O300" s="11">
        <f>IF(I300&gt;0,I300*(M300-L300),0)</f>
        <v/>
      </c>
      <c r="P300" s="11" t="n">
        <v>0</v>
      </c>
    </row>
    <row r="301">
      <c r="A301" s="4" t="inlineStr">
        <is>
          <t>WH03</t>
        </is>
      </c>
      <c r="B301" s="4" t="inlineStr">
        <is>
          <t>Lucknow DC</t>
        </is>
      </c>
      <c r="C301" s="4" t="inlineStr">
        <is>
          <t>North</t>
        </is>
      </c>
      <c r="D301" s="4" t="inlineStr">
        <is>
          <t>SKU057</t>
        </is>
      </c>
      <c r="E301" s="4" t="inlineStr">
        <is>
          <t>Hand Wash 250ml</t>
        </is>
      </c>
      <c r="F301" s="4" t="inlineStr">
        <is>
          <t>Personal Care</t>
        </is>
      </c>
      <c r="G301" s="4" t="inlineStr">
        <is>
          <t>C</t>
        </is>
      </c>
      <c r="H301" s="11" t="n">
        <v>283</v>
      </c>
      <c r="I301" s="4" t="n">
        <v>168.75</v>
      </c>
      <c r="J301" s="13">
        <f>IF(I301&gt;0,H301/I301,"")</f>
        <v/>
      </c>
      <c r="K301" s="4">
        <f>IF(I301&lt;=0,"NO DEMAND",IF(H301=0,"STOCKOUT",IF(J301&lt;Config!$B$5,"CRITICAL",IF(J301&lt;Config!$B$6,"LOW",IF(J301&gt;Config!$B$7,"EXCESS","HEALTHY")))))</f>
        <v/>
      </c>
      <c r="L301" s="11" t="n">
        <v>108</v>
      </c>
      <c r="M301" s="11" t="n">
        <v>136</v>
      </c>
      <c r="N301" s="11">
        <f>H301*L301</f>
        <v/>
      </c>
      <c r="O301" s="11">
        <f>IF(I301&gt;0,I301*(M301-L301),0)</f>
        <v/>
      </c>
      <c r="P301" s="11" t="n">
        <v>0</v>
      </c>
    </row>
    <row r="302">
      <c r="A302" s="4" t="inlineStr">
        <is>
          <t>WH03</t>
        </is>
      </c>
      <c r="B302" s="4" t="inlineStr">
        <is>
          <t>Lucknow DC</t>
        </is>
      </c>
      <c r="C302" s="4" t="inlineStr">
        <is>
          <t>North</t>
        </is>
      </c>
      <c r="D302" s="4" t="inlineStr">
        <is>
          <t>SKU058</t>
        </is>
      </c>
      <c r="E302" s="4" t="inlineStr">
        <is>
          <t>Kajal Pack</t>
        </is>
      </c>
      <c r="F302" s="4" t="inlineStr">
        <is>
          <t>Personal Care</t>
        </is>
      </c>
      <c r="G302" s="4" t="inlineStr">
        <is>
          <t>A</t>
        </is>
      </c>
      <c r="H302" s="11" t="n">
        <v>163</v>
      </c>
      <c r="I302" s="4" t="n">
        <v>103.25</v>
      </c>
      <c r="J302" s="13">
        <f>IF(I302&gt;0,H302/I302,"")</f>
        <v/>
      </c>
      <c r="K302" s="4">
        <f>IF(I302&lt;=0,"NO DEMAND",IF(H302=0,"STOCKOUT",IF(J302&lt;Config!$B$5,"CRITICAL",IF(J302&lt;Config!$B$6,"LOW",IF(J302&gt;Config!$B$7,"EXCESS","HEALTHY")))))</f>
        <v/>
      </c>
      <c r="L302" s="11" t="n">
        <v>392</v>
      </c>
      <c r="M302" s="11" t="n">
        <v>498</v>
      </c>
      <c r="N302" s="11">
        <f>H302*L302</f>
        <v/>
      </c>
      <c r="O302" s="11">
        <f>IF(I302&gt;0,I302*(M302-L302),0)</f>
        <v/>
      </c>
      <c r="P302" s="11" t="n">
        <v>0</v>
      </c>
    </row>
    <row r="303">
      <c r="A303" s="4" t="inlineStr">
        <is>
          <t>WH03</t>
        </is>
      </c>
      <c r="B303" s="4" t="inlineStr">
        <is>
          <t>Lucknow DC</t>
        </is>
      </c>
      <c r="C303" s="4" t="inlineStr">
        <is>
          <t>North</t>
        </is>
      </c>
      <c r="D303" s="4" t="inlineStr">
        <is>
          <t>SKU059</t>
        </is>
      </c>
      <c r="E303" s="4" t="inlineStr">
        <is>
          <t>Lip Balm</t>
        </is>
      </c>
      <c r="F303" s="4" t="inlineStr">
        <is>
          <t>Personal Care</t>
        </is>
      </c>
      <c r="G303" s="4" t="inlineStr">
        <is>
          <t>B</t>
        </is>
      </c>
      <c r="H303" s="11" t="n">
        <v>0</v>
      </c>
      <c r="I303" s="4" t="n">
        <v>211.75</v>
      </c>
      <c r="J303" s="13">
        <f>IF(I303&gt;0,H303/I303,"")</f>
        <v/>
      </c>
      <c r="K303" s="4">
        <f>IF(I303&lt;=0,"NO DEMAND",IF(H303=0,"STOCKOUT",IF(J303&lt;Config!$B$5,"CRITICAL",IF(J303&lt;Config!$B$6,"LOW",IF(J303&gt;Config!$B$7,"EXCESS","HEALTHY")))))</f>
        <v/>
      </c>
      <c r="L303" s="11" t="n">
        <v>150</v>
      </c>
      <c r="M303" s="11" t="n">
        <v>198</v>
      </c>
      <c r="N303" s="11">
        <f>H303*L303</f>
        <v/>
      </c>
      <c r="O303" s="11">
        <f>IF(I303&gt;0,I303*(M303-L303),0)</f>
        <v/>
      </c>
      <c r="P303" s="11" t="n">
        <v>828</v>
      </c>
    </row>
    <row r="304">
      <c r="A304" s="4" t="inlineStr">
        <is>
          <t>WH03</t>
        </is>
      </c>
      <c r="B304" s="4" t="inlineStr">
        <is>
          <t>Lucknow DC</t>
        </is>
      </c>
      <c r="C304" s="4" t="inlineStr">
        <is>
          <t>North</t>
        </is>
      </c>
      <c r="D304" s="4" t="inlineStr">
        <is>
          <t>SKU060</t>
        </is>
      </c>
      <c r="E304" s="4" t="inlineStr">
        <is>
          <t>Mouthwash 250ml</t>
        </is>
      </c>
      <c r="F304" s="4" t="inlineStr">
        <is>
          <t>Personal Care</t>
        </is>
      </c>
      <c r="G304" s="4" t="inlineStr">
        <is>
          <t>A</t>
        </is>
      </c>
      <c r="H304" s="11" t="n">
        <v>1316</v>
      </c>
      <c r="I304" s="4" t="n">
        <v>457</v>
      </c>
      <c r="J304" s="13">
        <f>IF(I304&gt;0,H304/I304,"")</f>
        <v/>
      </c>
      <c r="K304" s="4">
        <f>IF(I304&lt;=0,"NO DEMAND",IF(H304=0,"STOCKOUT",IF(J304&lt;Config!$B$5,"CRITICAL",IF(J304&lt;Config!$B$6,"LOW",IF(J304&gt;Config!$B$7,"EXCESS","HEALTHY")))))</f>
        <v/>
      </c>
      <c r="L304" s="11" t="n">
        <v>376</v>
      </c>
      <c r="M304" s="11" t="n">
        <v>491</v>
      </c>
      <c r="N304" s="11">
        <f>H304*L304</f>
        <v/>
      </c>
      <c r="O304" s="11">
        <f>IF(I304&gt;0,I304*(M304-L304),0)</f>
        <v/>
      </c>
      <c r="P304" s="11" t="n">
        <v>1968</v>
      </c>
    </row>
    <row r="305">
      <c r="A305" s="4" t="inlineStr">
        <is>
          <t>WH03</t>
        </is>
      </c>
      <c r="B305" s="4" t="inlineStr">
        <is>
          <t>Lucknow DC</t>
        </is>
      </c>
      <c r="C305" s="4" t="inlineStr">
        <is>
          <t>North</t>
        </is>
      </c>
      <c r="D305" s="4" t="inlineStr">
        <is>
          <t>SKU061</t>
        </is>
      </c>
      <c r="E305" s="4" t="inlineStr">
        <is>
          <t>Detergent Powder 2kg</t>
        </is>
      </c>
      <c r="F305" s="4" t="inlineStr">
        <is>
          <t>Home Care</t>
        </is>
      </c>
      <c r="G305" s="4" t="inlineStr">
        <is>
          <t>B</t>
        </is>
      </c>
      <c r="H305" s="11" t="n">
        <v>551</v>
      </c>
      <c r="I305" s="4" t="n">
        <v>239</v>
      </c>
      <c r="J305" s="13">
        <f>IF(I305&gt;0,H305/I305,"")</f>
        <v/>
      </c>
      <c r="K305" s="4">
        <f>IF(I305&lt;=0,"NO DEMAND",IF(H305=0,"STOCKOUT",IF(J305&lt;Config!$B$5,"CRITICAL",IF(J305&lt;Config!$B$6,"LOW",IF(J305&gt;Config!$B$7,"EXCESS","HEALTHY")))))</f>
        <v/>
      </c>
      <c r="L305" s="11" t="n">
        <v>104</v>
      </c>
      <c r="M305" s="11" t="n">
        <v>132</v>
      </c>
      <c r="N305" s="11">
        <f>H305*L305</f>
        <v/>
      </c>
      <c r="O305" s="11">
        <f>IF(I305&gt;0,I305*(M305-L305),0)</f>
        <v/>
      </c>
      <c r="P305" s="11" t="n">
        <v>0</v>
      </c>
    </row>
    <row r="306">
      <c r="A306" s="4" t="inlineStr">
        <is>
          <t>WH03</t>
        </is>
      </c>
      <c r="B306" s="4" t="inlineStr">
        <is>
          <t>Lucknow DC</t>
        </is>
      </c>
      <c r="C306" s="4" t="inlineStr">
        <is>
          <t>North</t>
        </is>
      </c>
      <c r="D306" s="4" t="inlineStr">
        <is>
          <t>SKU062</t>
        </is>
      </c>
      <c r="E306" s="4" t="inlineStr">
        <is>
          <t>Dishwash Liquid 750ml</t>
        </is>
      </c>
      <c r="F306" s="4" t="inlineStr">
        <is>
          <t>Home Care</t>
        </is>
      </c>
      <c r="G306" s="4" t="inlineStr">
        <is>
          <t>A</t>
        </is>
      </c>
      <c r="H306" s="11" t="n">
        <v>1584</v>
      </c>
      <c r="I306" s="4" t="n">
        <v>453.5</v>
      </c>
      <c r="J306" s="13">
        <f>IF(I306&gt;0,H306/I306,"")</f>
        <v/>
      </c>
      <c r="K306" s="4">
        <f>IF(I306&lt;=0,"NO DEMAND",IF(H306=0,"STOCKOUT",IF(J306&lt;Config!$B$5,"CRITICAL",IF(J306&lt;Config!$B$6,"LOW",IF(J306&gt;Config!$B$7,"EXCESS","HEALTHY")))))</f>
        <v/>
      </c>
      <c r="L306" s="11" t="n">
        <v>122</v>
      </c>
      <c r="M306" s="11" t="n">
        <v>148</v>
      </c>
      <c r="N306" s="11">
        <f>H306*L306</f>
        <v/>
      </c>
      <c r="O306" s="11">
        <f>IF(I306&gt;0,I306*(M306-L306),0)</f>
        <v/>
      </c>
      <c r="P306" s="11" t="n">
        <v>0</v>
      </c>
    </row>
    <row r="307">
      <c r="A307" s="4" t="inlineStr">
        <is>
          <t>WH03</t>
        </is>
      </c>
      <c r="B307" s="4" t="inlineStr">
        <is>
          <t>Lucknow DC</t>
        </is>
      </c>
      <c r="C307" s="4" t="inlineStr">
        <is>
          <t>North</t>
        </is>
      </c>
      <c r="D307" s="4" t="inlineStr">
        <is>
          <t>SKU063</t>
        </is>
      </c>
      <c r="E307" s="4" t="inlineStr">
        <is>
          <t>Floor Cleaner 1L</t>
        </is>
      </c>
      <c r="F307" s="4" t="inlineStr">
        <is>
          <t>Home Care</t>
        </is>
      </c>
      <c r="G307" s="4" t="inlineStr">
        <is>
          <t>C</t>
        </is>
      </c>
      <c r="H307" s="11" t="n">
        <v>986</v>
      </c>
      <c r="I307" s="4" t="n">
        <v>437.5</v>
      </c>
      <c r="J307" s="13">
        <f>IF(I307&gt;0,H307/I307,"")</f>
        <v/>
      </c>
      <c r="K307" s="4">
        <f>IF(I307&lt;=0,"NO DEMAND",IF(H307=0,"STOCKOUT",IF(J307&lt;Config!$B$5,"CRITICAL",IF(J307&lt;Config!$B$6,"LOW",IF(J307&gt;Config!$B$7,"EXCESS","HEALTHY")))))</f>
        <v/>
      </c>
      <c r="L307" s="11" t="n">
        <v>44</v>
      </c>
      <c r="M307" s="11" t="n">
        <v>56</v>
      </c>
      <c r="N307" s="11">
        <f>H307*L307</f>
        <v/>
      </c>
      <c r="O307" s="11">
        <f>IF(I307&gt;0,I307*(M307-L307),0)</f>
        <v/>
      </c>
      <c r="P307" s="11" t="n">
        <v>0</v>
      </c>
    </row>
    <row r="308">
      <c r="A308" s="4" t="inlineStr">
        <is>
          <t>WH03</t>
        </is>
      </c>
      <c r="B308" s="4" t="inlineStr">
        <is>
          <t>Lucknow DC</t>
        </is>
      </c>
      <c r="C308" s="4" t="inlineStr">
        <is>
          <t>North</t>
        </is>
      </c>
      <c r="D308" s="4" t="inlineStr">
        <is>
          <t>SKU064</t>
        </is>
      </c>
      <c r="E308" s="4" t="inlineStr">
        <is>
          <t>Toilet Cleaner 500ml</t>
        </is>
      </c>
      <c r="F308" s="4" t="inlineStr">
        <is>
          <t>Home Care</t>
        </is>
      </c>
      <c r="G308" s="4" t="inlineStr">
        <is>
          <t>C</t>
        </is>
      </c>
      <c r="H308" s="11" t="n">
        <v>442</v>
      </c>
      <c r="I308" s="4" t="n">
        <v>153.5</v>
      </c>
      <c r="J308" s="13">
        <f>IF(I308&gt;0,H308/I308,"")</f>
        <v/>
      </c>
      <c r="K308" s="4">
        <f>IF(I308&lt;=0,"NO DEMAND",IF(H308=0,"STOCKOUT",IF(J308&lt;Config!$B$5,"CRITICAL",IF(J308&lt;Config!$B$6,"LOW",IF(J308&gt;Config!$B$7,"EXCESS","HEALTHY")))))</f>
        <v/>
      </c>
      <c r="L308" s="11" t="n">
        <v>102</v>
      </c>
      <c r="M308" s="11" t="n">
        <v>128</v>
      </c>
      <c r="N308" s="11">
        <f>H308*L308</f>
        <v/>
      </c>
      <c r="O308" s="11">
        <f>IF(I308&gt;0,I308*(M308-L308),0)</f>
        <v/>
      </c>
      <c r="P308" s="11" t="n">
        <v>0</v>
      </c>
    </row>
    <row r="309">
      <c r="A309" s="4" t="inlineStr">
        <is>
          <t>WH03</t>
        </is>
      </c>
      <c r="B309" s="4" t="inlineStr">
        <is>
          <t>Lucknow DC</t>
        </is>
      </c>
      <c r="C309" s="4" t="inlineStr">
        <is>
          <t>North</t>
        </is>
      </c>
      <c r="D309" s="4" t="inlineStr">
        <is>
          <t>SKU065</t>
        </is>
      </c>
      <c r="E309" s="4" t="inlineStr">
        <is>
          <t>Glass Cleaner 500ml</t>
        </is>
      </c>
      <c r="F309" s="4" t="inlineStr">
        <is>
          <t>Home Care</t>
        </is>
      </c>
      <c r="G309" s="4" t="inlineStr">
        <is>
          <t>B</t>
        </is>
      </c>
      <c r="H309" s="11" t="n">
        <v>1010</v>
      </c>
      <c r="I309" s="4" t="n">
        <v>94.25</v>
      </c>
      <c r="J309" s="13">
        <f>IF(I309&gt;0,H309/I309,"")</f>
        <v/>
      </c>
      <c r="K309" s="4">
        <f>IF(I309&lt;=0,"NO DEMAND",IF(H309=0,"STOCKOUT",IF(J309&lt;Config!$B$5,"CRITICAL",IF(J309&lt;Config!$B$6,"LOW",IF(J309&gt;Config!$B$7,"EXCESS","HEALTHY")))))</f>
        <v/>
      </c>
      <c r="L309" s="11" t="n">
        <v>82</v>
      </c>
      <c r="M309" s="11" t="n">
        <v>102</v>
      </c>
      <c r="N309" s="11">
        <f>H309*L309</f>
        <v/>
      </c>
      <c r="O309" s="11">
        <f>IF(I309&gt;0,I309*(M309-L309),0)</f>
        <v/>
      </c>
      <c r="P309" s="11" t="n">
        <v>0</v>
      </c>
    </row>
    <row r="310">
      <c r="A310" s="4" t="inlineStr">
        <is>
          <t>WH03</t>
        </is>
      </c>
      <c r="B310" s="4" t="inlineStr">
        <is>
          <t>Lucknow DC</t>
        </is>
      </c>
      <c r="C310" s="4" t="inlineStr">
        <is>
          <t>North</t>
        </is>
      </c>
      <c r="D310" s="4" t="inlineStr">
        <is>
          <t>SKU066</t>
        </is>
      </c>
      <c r="E310" s="4" t="inlineStr">
        <is>
          <t>Fabric Softener 1L</t>
        </is>
      </c>
      <c r="F310" s="4" t="inlineStr">
        <is>
          <t>Home Care</t>
        </is>
      </c>
      <c r="G310" s="4" t="inlineStr">
        <is>
          <t>B</t>
        </is>
      </c>
      <c r="H310" s="11" t="n">
        <v>1535</v>
      </c>
      <c r="I310" s="4" t="n">
        <v>308.75</v>
      </c>
      <c r="J310" s="13">
        <f>IF(I310&gt;0,H310/I310,"")</f>
        <v/>
      </c>
      <c r="K310" s="4">
        <f>IF(I310&lt;=0,"NO DEMAND",IF(H310=0,"STOCKOUT",IF(J310&lt;Config!$B$5,"CRITICAL",IF(J310&lt;Config!$B$6,"LOW",IF(J310&gt;Config!$B$7,"EXCESS","HEALTHY")))))</f>
        <v/>
      </c>
      <c r="L310" s="11" t="n">
        <v>51</v>
      </c>
      <c r="M310" s="11" t="n">
        <v>65</v>
      </c>
      <c r="N310" s="11">
        <f>H310*L310</f>
        <v/>
      </c>
      <c r="O310" s="11">
        <f>IF(I310&gt;0,I310*(M310-L310),0)</f>
        <v/>
      </c>
      <c r="P310" s="11" t="n">
        <v>0</v>
      </c>
    </row>
    <row r="311">
      <c r="A311" s="4" t="inlineStr">
        <is>
          <t>WH03</t>
        </is>
      </c>
      <c r="B311" s="4" t="inlineStr">
        <is>
          <t>Lucknow DC</t>
        </is>
      </c>
      <c r="C311" s="4" t="inlineStr">
        <is>
          <t>North</t>
        </is>
      </c>
      <c r="D311" s="4" t="inlineStr">
        <is>
          <t>SKU067</t>
        </is>
      </c>
      <c r="E311" s="4" t="inlineStr">
        <is>
          <t>Mosquito Coil 10pk</t>
        </is>
      </c>
      <c r="F311" s="4" t="inlineStr">
        <is>
          <t>Home Care</t>
        </is>
      </c>
      <c r="G311" s="4" t="inlineStr">
        <is>
          <t>A</t>
        </is>
      </c>
      <c r="H311" s="11" t="n">
        <v>790</v>
      </c>
      <c r="I311" s="4" t="n">
        <v>255.25</v>
      </c>
      <c r="J311" s="13">
        <f>IF(I311&gt;0,H311/I311,"")</f>
        <v/>
      </c>
      <c r="K311" s="4">
        <f>IF(I311&lt;=0,"NO DEMAND",IF(H311=0,"STOCKOUT",IF(J311&lt;Config!$B$5,"CRITICAL",IF(J311&lt;Config!$B$6,"LOW",IF(J311&gt;Config!$B$7,"EXCESS","HEALTHY")))))</f>
        <v/>
      </c>
      <c r="L311" s="11" t="n">
        <v>200</v>
      </c>
      <c r="M311" s="11" t="n">
        <v>257</v>
      </c>
      <c r="N311" s="11">
        <f>H311*L311</f>
        <v/>
      </c>
      <c r="O311" s="11">
        <f>IF(I311&gt;0,I311*(M311-L311),0)</f>
        <v/>
      </c>
      <c r="P311" s="11" t="n">
        <v>0</v>
      </c>
    </row>
    <row r="312">
      <c r="A312" s="4" t="inlineStr">
        <is>
          <t>WH03</t>
        </is>
      </c>
      <c r="B312" s="4" t="inlineStr">
        <is>
          <t>Lucknow DC</t>
        </is>
      </c>
      <c r="C312" s="4" t="inlineStr">
        <is>
          <t>North</t>
        </is>
      </c>
      <c r="D312" s="4" t="inlineStr">
        <is>
          <t>SKU068</t>
        </is>
      </c>
      <c r="E312" s="4" t="inlineStr">
        <is>
          <t>Air Freshener 250ml</t>
        </is>
      </c>
      <c r="F312" s="4" t="inlineStr">
        <is>
          <t>Home Care</t>
        </is>
      </c>
      <c r="G312" s="4" t="inlineStr">
        <is>
          <t>A</t>
        </is>
      </c>
      <c r="H312" s="11" t="n">
        <v>1262</v>
      </c>
      <c r="I312" s="4" t="n">
        <v>63</v>
      </c>
      <c r="J312" s="13">
        <f>IF(I312&gt;0,H312/I312,"")</f>
        <v/>
      </c>
      <c r="K312" s="4">
        <f>IF(I312&lt;=0,"NO DEMAND",IF(H312=0,"STOCKOUT",IF(J312&lt;Config!$B$5,"CRITICAL",IF(J312&lt;Config!$B$6,"LOW",IF(J312&gt;Config!$B$7,"EXCESS","HEALTHY")))))</f>
        <v/>
      </c>
      <c r="L312" s="11" t="n">
        <v>99</v>
      </c>
      <c r="M312" s="11" t="n">
        <v>123</v>
      </c>
      <c r="N312" s="11">
        <f>H312*L312</f>
        <v/>
      </c>
      <c r="O312" s="11">
        <f>IF(I312&gt;0,I312*(M312-L312),0)</f>
        <v/>
      </c>
      <c r="P312" s="11" t="n">
        <v>0</v>
      </c>
    </row>
    <row r="313">
      <c r="A313" s="4" t="inlineStr">
        <is>
          <t>WH03</t>
        </is>
      </c>
      <c r="B313" s="4" t="inlineStr">
        <is>
          <t>Lucknow DC</t>
        </is>
      </c>
      <c r="C313" s="4" t="inlineStr">
        <is>
          <t>North</t>
        </is>
      </c>
      <c r="D313" s="4" t="inlineStr">
        <is>
          <t>SKU069</t>
        </is>
      </c>
      <c r="E313" s="4" t="inlineStr">
        <is>
          <t>Garbage Bags 30pk</t>
        </is>
      </c>
      <c r="F313" s="4" t="inlineStr">
        <is>
          <t>Home Care</t>
        </is>
      </c>
      <c r="G313" s="4" t="inlineStr">
        <is>
          <t>B</t>
        </is>
      </c>
      <c r="H313" s="11" t="n">
        <v>229</v>
      </c>
      <c r="I313" s="4" t="n">
        <v>38.5</v>
      </c>
      <c r="J313" s="13">
        <f>IF(I313&gt;0,H313/I313,"")</f>
        <v/>
      </c>
      <c r="K313" s="4">
        <f>IF(I313&lt;=0,"NO DEMAND",IF(H313=0,"STOCKOUT",IF(J313&lt;Config!$B$5,"CRITICAL",IF(J313&lt;Config!$B$6,"LOW",IF(J313&gt;Config!$B$7,"EXCESS","HEALTHY")))))</f>
        <v/>
      </c>
      <c r="L313" s="11" t="n">
        <v>202</v>
      </c>
      <c r="M313" s="11" t="n">
        <v>252</v>
      </c>
      <c r="N313" s="11">
        <f>H313*L313</f>
        <v/>
      </c>
      <c r="O313" s="11">
        <f>IF(I313&gt;0,I313*(M313-L313),0)</f>
        <v/>
      </c>
      <c r="P313" s="11" t="n">
        <v>0</v>
      </c>
    </row>
    <row r="314">
      <c r="A314" s="4" t="inlineStr">
        <is>
          <t>WH03</t>
        </is>
      </c>
      <c r="B314" s="4" t="inlineStr">
        <is>
          <t>Lucknow DC</t>
        </is>
      </c>
      <c r="C314" s="4" t="inlineStr">
        <is>
          <t>North</t>
        </is>
      </c>
      <c r="D314" s="4" t="inlineStr">
        <is>
          <t>SKU070</t>
        </is>
      </c>
      <c r="E314" s="4" t="inlineStr">
        <is>
          <t>Scrub Pad 3pk</t>
        </is>
      </c>
      <c r="F314" s="4" t="inlineStr">
        <is>
          <t>Home Care</t>
        </is>
      </c>
      <c r="G314" s="4" t="inlineStr">
        <is>
          <t>A</t>
        </is>
      </c>
      <c r="H314" s="11" t="n">
        <v>790</v>
      </c>
      <c r="I314" s="4" t="n">
        <v>83</v>
      </c>
      <c r="J314" s="13">
        <f>IF(I314&gt;0,H314/I314,"")</f>
        <v/>
      </c>
      <c r="K314" s="4">
        <f>IF(I314&lt;=0,"NO DEMAND",IF(H314=0,"STOCKOUT",IF(J314&lt;Config!$B$5,"CRITICAL",IF(J314&lt;Config!$B$6,"LOW",IF(J314&gt;Config!$B$7,"EXCESS","HEALTHY")))))</f>
        <v/>
      </c>
      <c r="L314" s="11" t="n">
        <v>121</v>
      </c>
      <c r="M314" s="11" t="n">
        <v>153</v>
      </c>
      <c r="N314" s="11">
        <f>H314*L314</f>
        <v/>
      </c>
      <c r="O314" s="11">
        <f>IF(I314&gt;0,I314*(M314-L314),0)</f>
        <v/>
      </c>
      <c r="P314" s="11" t="n">
        <v>0</v>
      </c>
    </row>
    <row r="315">
      <c r="A315" s="4" t="inlineStr">
        <is>
          <t>WH03</t>
        </is>
      </c>
      <c r="B315" s="4" t="inlineStr">
        <is>
          <t>Lucknow DC</t>
        </is>
      </c>
      <c r="C315" s="4" t="inlineStr">
        <is>
          <t>North</t>
        </is>
      </c>
      <c r="D315" s="4" t="inlineStr">
        <is>
          <t>SKU071</t>
        </is>
      </c>
      <c r="E315" s="4" t="inlineStr">
        <is>
          <t>Bleach 500ml</t>
        </is>
      </c>
      <c r="F315" s="4" t="inlineStr">
        <is>
          <t>Home Care</t>
        </is>
      </c>
      <c r="G315" s="4" t="inlineStr">
        <is>
          <t>C</t>
        </is>
      </c>
      <c r="H315" s="11" t="n">
        <v>109</v>
      </c>
      <c r="I315" s="4" t="n">
        <v>180.25</v>
      </c>
      <c r="J315" s="13">
        <f>IF(I315&gt;0,H315/I315,"")</f>
        <v/>
      </c>
      <c r="K315" s="4">
        <f>IF(I315&lt;=0,"NO DEMAND",IF(H315=0,"STOCKOUT",IF(J315&lt;Config!$B$5,"CRITICAL",IF(J315&lt;Config!$B$6,"LOW",IF(J315&gt;Config!$B$7,"EXCESS","HEALTHY")))))</f>
        <v/>
      </c>
      <c r="L315" s="11" t="n">
        <v>41</v>
      </c>
      <c r="M315" s="11" t="n">
        <v>51</v>
      </c>
      <c r="N315" s="11">
        <f>H315*L315</f>
        <v/>
      </c>
      <c r="O315" s="11">
        <f>IF(I315&gt;0,I315*(M315-L315),0)</f>
        <v/>
      </c>
      <c r="P315" s="11" t="n">
        <v>780</v>
      </c>
    </row>
    <row r="316">
      <c r="A316" s="4" t="inlineStr">
        <is>
          <t>WH03</t>
        </is>
      </c>
      <c r="B316" s="4" t="inlineStr">
        <is>
          <t>Lucknow DC</t>
        </is>
      </c>
      <c r="C316" s="4" t="inlineStr">
        <is>
          <t>North</t>
        </is>
      </c>
      <c r="D316" s="4" t="inlineStr">
        <is>
          <t>SKU072</t>
        </is>
      </c>
      <c r="E316" s="4" t="inlineStr">
        <is>
          <t>Phenyl 1L</t>
        </is>
      </c>
      <c r="F316" s="4" t="inlineStr">
        <is>
          <t>Home Care</t>
        </is>
      </c>
      <c r="G316" s="4" t="inlineStr">
        <is>
          <t>B</t>
        </is>
      </c>
      <c r="H316" s="11" t="n">
        <v>625</v>
      </c>
      <c r="I316" s="4" t="n">
        <v>273.5</v>
      </c>
      <c r="J316" s="13">
        <f>IF(I316&gt;0,H316/I316,"")</f>
        <v/>
      </c>
      <c r="K316" s="4">
        <f>IF(I316&lt;=0,"NO DEMAND",IF(H316=0,"STOCKOUT",IF(J316&lt;Config!$B$5,"CRITICAL",IF(J316&lt;Config!$B$6,"LOW",IF(J316&gt;Config!$B$7,"EXCESS","HEALTHY")))))</f>
        <v/>
      </c>
      <c r="L316" s="11" t="n">
        <v>137</v>
      </c>
      <c r="M316" s="11" t="n">
        <v>170</v>
      </c>
      <c r="N316" s="11">
        <f>H316*L316</f>
        <v/>
      </c>
      <c r="O316" s="11">
        <f>IF(I316&gt;0,I316*(M316-L316),0)</f>
        <v/>
      </c>
      <c r="P316" s="11" t="n">
        <v>0</v>
      </c>
    </row>
    <row r="317">
      <c r="A317" s="4" t="inlineStr">
        <is>
          <t>WH03</t>
        </is>
      </c>
      <c r="B317" s="4" t="inlineStr">
        <is>
          <t>Lucknow DC</t>
        </is>
      </c>
      <c r="C317" s="4" t="inlineStr">
        <is>
          <t>North</t>
        </is>
      </c>
      <c r="D317" s="4" t="inlineStr">
        <is>
          <t>SKU073</t>
        </is>
      </c>
      <c r="E317" s="4" t="inlineStr">
        <is>
          <t>Agarbatti 100pk</t>
        </is>
      </c>
      <c r="F317" s="4" t="inlineStr">
        <is>
          <t>Home Care</t>
        </is>
      </c>
      <c r="G317" s="4" t="inlineStr">
        <is>
          <t>C</t>
        </is>
      </c>
      <c r="H317" s="11" t="n">
        <v>53</v>
      </c>
      <c r="I317" s="4" t="n">
        <v>52.75</v>
      </c>
      <c r="J317" s="13">
        <f>IF(I317&gt;0,H317/I317,"")</f>
        <v/>
      </c>
      <c r="K317" s="4">
        <f>IF(I317&lt;=0,"NO DEMAND",IF(H317=0,"STOCKOUT",IF(J317&lt;Config!$B$5,"CRITICAL",IF(J317&lt;Config!$B$6,"LOW",IF(J317&gt;Config!$B$7,"EXCESS","HEALTHY")))))</f>
        <v/>
      </c>
      <c r="L317" s="11" t="n">
        <v>59</v>
      </c>
      <c r="M317" s="11" t="n">
        <v>75</v>
      </c>
      <c r="N317" s="11">
        <f>H317*L317</f>
        <v/>
      </c>
      <c r="O317" s="11">
        <f>IF(I317&gt;0,I317*(M317-L317),0)</f>
        <v/>
      </c>
      <c r="P317" s="11" t="n">
        <v>912</v>
      </c>
    </row>
    <row r="318">
      <c r="A318" s="4" t="inlineStr">
        <is>
          <t>WH03</t>
        </is>
      </c>
      <c r="B318" s="4" t="inlineStr">
        <is>
          <t>Lucknow DC</t>
        </is>
      </c>
      <c r="C318" s="4" t="inlineStr">
        <is>
          <t>North</t>
        </is>
      </c>
      <c r="D318" s="4" t="inlineStr">
        <is>
          <t>SKU074</t>
        </is>
      </c>
      <c r="E318" s="4" t="inlineStr">
        <is>
          <t>Matchbox 10pk</t>
        </is>
      </c>
      <c r="F318" s="4" t="inlineStr">
        <is>
          <t>Home Care</t>
        </is>
      </c>
      <c r="G318" s="4" t="inlineStr">
        <is>
          <t>A</t>
        </is>
      </c>
      <c r="H318" s="11" t="n">
        <v>626</v>
      </c>
      <c r="I318" s="4" t="n">
        <v>303</v>
      </c>
      <c r="J318" s="13">
        <f>IF(I318&gt;0,H318/I318,"")</f>
        <v/>
      </c>
      <c r="K318" s="4">
        <f>IF(I318&lt;=0,"NO DEMAND",IF(H318=0,"STOCKOUT",IF(J318&lt;Config!$B$5,"CRITICAL",IF(J318&lt;Config!$B$6,"LOW",IF(J318&gt;Config!$B$7,"EXCESS","HEALTHY")))))</f>
        <v/>
      </c>
      <c r="L318" s="11" t="n">
        <v>257</v>
      </c>
      <c r="M318" s="11" t="n">
        <v>315</v>
      </c>
      <c r="N318" s="11">
        <f>H318*L318</f>
        <v/>
      </c>
      <c r="O318" s="11">
        <f>IF(I318&gt;0,I318*(M318-L318),0)</f>
        <v/>
      </c>
      <c r="P318" s="11" t="n">
        <v>0</v>
      </c>
    </row>
    <row r="319">
      <c r="A319" s="4" t="inlineStr">
        <is>
          <t>WH03</t>
        </is>
      </c>
      <c r="B319" s="4" t="inlineStr">
        <is>
          <t>Lucknow DC</t>
        </is>
      </c>
      <c r="C319" s="4" t="inlineStr">
        <is>
          <t>North</t>
        </is>
      </c>
      <c r="D319" s="4" t="inlineStr">
        <is>
          <t>SKU075</t>
        </is>
      </c>
      <c r="E319" s="4" t="inlineStr">
        <is>
          <t>Naphthalene Balls 200g</t>
        </is>
      </c>
      <c r="F319" s="4" t="inlineStr">
        <is>
          <t>Home Care</t>
        </is>
      </c>
      <c r="G319" s="4" t="inlineStr">
        <is>
          <t>C</t>
        </is>
      </c>
      <c r="H319" s="11" t="n">
        <v>441</v>
      </c>
      <c r="I319" s="4" t="n">
        <v>50.75</v>
      </c>
      <c r="J319" s="13">
        <f>IF(I319&gt;0,H319/I319,"")</f>
        <v/>
      </c>
      <c r="K319" s="4">
        <f>IF(I319&lt;=0,"NO DEMAND",IF(H319=0,"STOCKOUT",IF(J319&lt;Config!$B$5,"CRITICAL",IF(J319&lt;Config!$B$6,"LOW",IF(J319&gt;Config!$B$7,"EXCESS","HEALTHY")))))</f>
        <v/>
      </c>
      <c r="L319" s="11" t="n">
        <v>49</v>
      </c>
      <c r="M319" s="11" t="n">
        <v>60</v>
      </c>
      <c r="N319" s="11">
        <f>H319*L319</f>
        <v/>
      </c>
      <c r="O319" s="11">
        <f>IF(I319&gt;0,I319*(M319-L319),0)</f>
        <v/>
      </c>
      <c r="P319" s="11" t="n">
        <v>0</v>
      </c>
    </row>
    <row r="320">
      <c r="A320" s="4" t="inlineStr">
        <is>
          <t>WH03</t>
        </is>
      </c>
      <c r="B320" s="4" t="inlineStr">
        <is>
          <t>Lucknow DC</t>
        </is>
      </c>
      <c r="C320" s="4" t="inlineStr">
        <is>
          <t>North</t>
        </is>
      </c>
      <c r="D320" s="4" t="inlineStr">
        <is>
          <t>SKU076</t>
        </is>
      </c>
      <c r="E320" s="4" t="inlineStr">
        <is>
          <t>USB-C Cable 1m</t>
        </is>
      </c>
      <c r="F320" s="4" t="inlineStr">
        <is>
          <t>Electronics Accessories</t>
        </is>
      </c>
      <c r="G320" s="4" t="inlineStr">
        <is>
          <t>A</t>
        </is>
      </c>
      <c r="H320" s="11" t="n">
        <v>2</v>
      </c>
      <c r="I320" s="4" t="n">
        <v>59</v>
      </c>
      <c r="J320" s="13">
        <f>IF(I320&gt;0,H320/I320,"")</f>
        <v/>
      </c>
      <c r="K320" s="4">
        <f>IF(I320&lt;=0,"NO DEMAND",IF(H320=0,"STOCKOUT",IF(J320&lt;Config!$B$5,"CRITICAL",IF(J320&lt;Config!$B$6,"LOW",IF(J320&gt;Config!$B$7,"EXCESS","HEALTHY")))))</f>
        <v/>
      </c>
      <c r="L320" s="11" t="n">
        <v>441</v>
      </c>
      <c r="M320" s="11" t="n">
        <v>572</v>
      </c>
      <c r="N320" s="11">
        <f>H320*L320</f>
        <v/>
      </c>
      <c r="O320" s="11">
        <f>IF(I320&gt;0,I320*(M320-L320),0)</f>
        <v/>
      </c>
      <c r="P320" s="11" t="n">
        <v>310</v>
      </c>
    </row>
    <row r="321">
      <c r="A321" s="4" t="inlineStr">
        <is>
          <t>WH03</t>
        </is>
      </c>
      <c r="B321" s="4" t="inlineStr">
        <is>
          <t>Lucknow DC</t>
        </is>
      </c>
      <c r="C321" s="4" t="inlineStr">
        <is>
          <t>North</t>
        </is>
      </c>
      <c r="D321" s="4" t="inlineStr">
        <is>
          <t>SKU077</t>
        </is>
      </c>
      <c r="E321" s="4" t="inlineStr">
        <is>
          <t>Fast Charger 25W</t>
        </is>
      </c>
      <c r="F321" s="4" t="inlineStr">
        <is>
          <t>Electronics Accessories</t>
        </is>
      </c>
      <c r="G321" s="4" t="inlineStr">
        <is>
          <t>B</t>
        </is>
      </c>
      <c r="H321" s="11" t="n">
        <v>152</v>
      </c>
      <c r="I321" s="4" t="n">
        <v>103.5</v>
      </c>
      <c r="J321" s="13">
        <f>IF(I321&gt;0,H321/I321,"")</f>
        <v/>
      </c>
      <c r="K321" s="4">
        <f>IF(I321&lt;=0,"NO DEMAND",IF(H321=0,"STOCKOUT",IF(J321&lt;Config!$B$5,"CRITICAL",IF(J321&lt;Config!$B$6,"LOW",IF(J321&gt;Config!$B$7,"EXCESS","HEALTHY")))))</f>
        <v/>
      </c>
      <c r="L321" s="11" t="n">
        <v>364</v>
      </c>
      <c r="M321" s="11" t="n">
        <v>465</v>
      </c>
      <c r="N321" s="11">
        <f>H321*L321</f>
        <v/>
      </c>
      <c r="O321" s="11">
        <f>IF(I321&gt;0,I321*(M321-L321),0)</f>
        <v/>
      </c>
      <c r="P321" s="11" t="n">
        <v>450</v>
      </c>
    </row>
    <row r="322">
      <c r="A322" s="4" t="inlineStr">
        <is>
          <t>WH03</t>
        </is>
      </c>
      <c r="B322" s="4" t="inlineStr">
        <is>
          <t>Lucknow DC</t>
        </is>
      </c>
      <c r="C322" s="4" t="inlineStr">
        <is>
          <t>North</t>
        </is>
      </c>
      <c r="D322" s="4" t="inlineStr">
        <is>
          <t>SKU078</t>
        </is>
      </c>
      <c r="E322" s="4" t="inlineStr">
        <is>
          <t>Power Bank 10000mAh</t>
        </is>
      </c>
      <c r="F322" s="4" t="inlineStr">
        <is>
          <t>Electronics Accessories</t>
        </is>
      </c>
      <c r="G322" s="4" t="inlineStr">
        <is>
          <t>B</t>
        </is>
      </c>
      <c r="H322" s="11" t="n">
        <v>348</v>
      </c>
      <c r="I322" s="4" t="n">
        <v>75.5</v>
      </c>
      <c r="J322" s="13">
        <f>IF(I322&gt;0,H322/I322,"")</f>
        <v/>
      </c>
      <c r="K322" s="4">
        <f>IF(I322&lt;=0,"NO DEMAND",IF(H322=0,"STOCKOUT",IF(J322&lt;Config!$B$5,"CRITICAL",IF(J322&lt;Config!$B$6,"LOW",IF(J322&gt;Config!$B$7,"EXCESS","HEALTHY")))))</f>
        <v/>
      </c>
      <c r="L322" s="11" t="n">
        <v>359</v>
      </c>
      <c r="M322" s="11" t="n">
        <v>471</v>
      </c>
      <c r="N322" s="11">
        <f>H322*L322</f>
        <v/>
      </c>
      <c r="O322" s="11">
        <f>IF(I322&gt;0,I322*(M322-L322),0)</f>
        <v/>
      </c>
      <c r="P322" s="11" t="n">
        <v>0</v>
      </c>
    </row>
    <row r="323">
      <c r="A323" s="4" t="inlineStr">
        <is>
          <t>WH03</t>
        </is>
      </c>
      <c r="B323" s="4" t="inlineStr">
        <is>
          <t>Lucknow DC</t>
        </is>
      </c>
      <c r="C323" s="4" t="inlineStr">
        <is>
          <t>North</t>
        </is>
      </c>
      <c r="D323" s="4" t="inlineStr">
        <is>
          <t>SKU079</t>
        </is>
      </c>
      <c r="E323" s="4" t="inlineStr">
        <is>
          <t>Wired Earphones</t>
        </is>
      </c>
      <c r="F323" s="4" t="inlineStr">
        <is>
          <t>Electronics Accessories</t>
        </is>
      </c>
      <c r="G323" s="4" t="inlineStr">
        <is>
          <t>A</t>
        </is>
      </c>
      <c r="H323" s="11" t="n">
        <v>434</v>
      </c>
      <c r="I323" s="4" t="n">
        <v>107.5</v>
      </c>
      <c r="J323" s="13">
        <f>IF(I323&gt;0,H323/I323,"")</f>
        <v/>
      </c>
      <c r="K323" s="4">
        <f>IF(I323&lt;=0,"NO DEMAND",IF(H323=0,"STOCKOUT",IF(J323&lt;Config!$B$5,"CRITICAL",IF(J323&lt;Config!$B$6,"LOW",IF(J323&gt;Config!$B$7,"EXCESS","HEALTHY")))))</f>
        <v/>
      </c>
      <c r="L323" s="11" t="n">
        <v>1110</v>
      </c>
      <c r="M323" s="11" t="n">
        <v>1412</v>
      </c>
      <c r="N323" s="11">
        <f>H323*L323</f>
        <v/>
      </c>
      <c r="O323" s="11">
        <f>IF(I323&gt;0,I323*(M323-L323),0)</f>
        <v/>
      </c>
      <c r="P323" s="11" t="n">
        <v>490</v>
      </c>
    </row>
    <row r="324">
      <c r="A324" s="4" t="inlineStr">
        <is>
          <t>WH03</t>
        </is>
      </c>
      <c r="B324" s="4" t="inlineStr">
        <is>
          <t>Lucknow DC</t>
        </is>
      </c>
      <c r="C324" s="4" t="inlineStr">
        <is>
          <t>North</t>
        </is>
      </c>
      <c r="D324" s="4" t="inlineStr">
        <is>
          <t>SKU080</t>
        </is>
      </c>
      <c r="E324" s="4" t="inlineStr">
        <is>
          <t>TWS Earbuds</t>
        </is>
      </c>
      <c r="F324" s="4" t="inlineStr">
        <is>
          <t>Electronics Accessories</t>
        </is>
      </c>
      <c r="G324" s="4" t="inlineStr">
        <is>
          <t>A</t>
        </is>
      </c>
      <c r="H324" s="11" t="n">
        <v>171</v>
      </c>
      <c r="I324" s="4" t="n">
        <v>112.25</v>
      </c>
      <c r="J324" s="13">
        <f>IF(I324&gt;0,H324/I324,"")</f>
        <v/>
      </c>
      <c r="K324" s="4">
        <f>IF(I324&lt;=0,"NO DEMAND",IF(H324=0,"STOCKOUT",IF(J324&lt;Config!$B$5,"CRITICAL",IF(J324&lt;Config!$B$6,"LOW",IF(J324&gt;Config!$B$7,"EXCESS","HEALTHY")))))</f>
        <v/>
      </c>
      <c r="L324" s="11" t="n">
        <v>2238</v>
      </c>
      <c r="M324" s="11" t="n">
        <v>2947</v>
      </c>
      <c r="N324" s="11">
        <f>H324*L324</f>
        <v/>
      </c>
      <c r="O324" s="11">
        <f>IF(I324&gt;0,I324*(M324-L324),0)</f>
        <v/>
      </c>
      <c r="P324" s="11" t="n">
        <v>510</v>
      </c>
    </row>
    <row r="325">
      <c r="A325" s="4" t="inlineStr">
        <is>
          <t>WH03</t>
        </is>
      </c>
      <c r="B325" s="4" t="inlineStr">
        <is>
          <t>Lucknow DC</t>
        </is>
      </c>
      <c r="C325" s="4" t="inlineStr">
        <is>
          <t>North</t>
        </is>
      </c>
      <c r="D325" s="4" t="inlineStr">
        <is>
          <t>SKU081</t>
        </is>
      </c>
      <c r="E325" s="4" t="inlineStr">
        <is>
          <t>Bluetooth Speaker</t>
        </is>
      </c>
      <c r="F325" s="4" t="inlineStr">
        <is>
          <t>Electronics Accessories</t>
        </is>
      </c>
      <c r="G325" s="4" t="inlineStr">
        <is>
          <t>B</t>
        </is>
      </c>
      <c r="H325" s="11" t="n">
        <v>319</v>
      </c>
      <c r="I325" s="4" t="n">
        <v>115.5</v>
      </c>
      <c r="J325" s="13">
        <f>IF(I325&gt;0,H325/I325,"")</f>
        <v/>
      </c>
      <c r="K325" s="4">
        <f>IF(I325&lt;=0,"NO DEMAND",IF(H325=0,"STOCKOUT",IF(J325&lt;Config!$B$5,"CRITICAL",IF(J325&lt;Config!$B$6,"LOW",IF(J325&gt;Config!$B$7,"EXCESS","HEALTHY")))))</f>
        <v/>
      </c>
      <c r="L325" s="11" t="n">
        <v>227</v>
      </c>
      <c r="M325" s="11" t="n">
        <v>293</v>
      </c>
      <c r="N325" s="11">
        <f>H325*L325</f>
        <v/>
      </c>
      <c r="O325" s="11">
        <f>IF(I325&gt;0,I325*(M325-L325),0)</f>
        <v/>
      </c>
      <c r="P325" s="11" t="n">
        <v>490</v>
      </c>
    </row>
    <row r="326">
      <c r="A326" s="4" t="inlineStr">
        <is>
          <t>WH03</t>
        </is>
      </c>
      <c r="B326" s="4" t="inlineStr">
        <is>
          <t>Lucknow DC</t>
        </is>
      </c>
      <c r="C326" s="4" t="inlineStr">
        <is>
          <t>North</t>
        </is>
      </c>
      <c r="D326" s="4" t="inlineStr">
        <is>
          <t>SKU082</t>
        </is>
      </c>
      <c r="E326" s="4" t="inlineStr">
        <is>
          <t>Phone Case</t>
        </is>
      </c>
      <c r="F326" s="4" t="inlineStr">
        <is>
          <t>Electronics Accessories</t>
        </is>
      </c>
      <c r="G326" s="4" t="inlineStr">
        <is>
          <t>B</t>
        </is>
      </c>
      <c r="H326" s="11" t="n">
        <v>0</v>
      </c>
      <c r="I326" s="4" t="n">
        <v>59.5</v>
      </c>
      <c r="J326" s="13">
        <f>IF(I326&gt;0,H326/I326,"")</f>
        <v/>
      </c>
      <c r="K326" s="4">
        <f>IF(I326&lt;=0,"NO DEMAND",IF(H326=0,"STOCKOUT",IF(J326&lt;Config!$B$5,"CRITICAL",IF(J326&lt;Config!$B$6,"LOW",IF(J326&gt;Config!$B$7,"EXCESS","HEALTHY")))))</f>
        <v/>
      </c>
      <c r="L326" s="11" t="n">
        <v>665</v>
      </c>
      <c r="M326" s="11" t="n">
        <v>835</v>
      </c>
      <c r="N326" s="11">
        <f>H326*L326</f>
        <v/>
      </c>
      <c r="O326" s="11">
        <f>IF(I326&gt;0,I326*(M326-L326),0)</f>
        <v/>
      </c>
      <c r="P326" s="11" t="n">
        <v>500</v>
      </c>
    </row>
    <row r="327">
      <c r="A327" s="4" t="inlineStr">
        <is>
          <t>WH03</t>
        </is>
      </c>
      <c r="B327" s="4" t="inlineStr">
        <is>
          <t>Lucknow DC</t>
        </is>
      </c>
      <c r="C327" s="4" t="inlineStr">
        <is>
          <t>North</t>
        </is>
      </c>
      <c r="D327" s="4" t="inlineStr">
        <is>
          <t>SKU083</t>
        </is>
      </c>
      <c r="E327" s="4" t="inlineStr">
        <is>
          <t>Screen Guard</t>
        </is>
      </c>
      <c r="F327" s="4" t="inlineStr">
        <is>
          <t>Electronics Accessories</t>
        </is>
      </c>
      <c r="G327" s="4" t="inlineStr">
        <is>
          <t>C</t>
        </is>
      </c>
      <c r="H327" s="11" t="n">
        <v>77</v>
      </c>
      <c r="I327" s="4" t="n">
        <v>46.75</v>
      </c>
      <c r="J327" s="13">
        <f>IF(I327&gt;0,H327/I327,"")</f>
        <v/>
      </c>
      <c r="K327" s="4">
        <f>IF(I327&lt;=0,"NO DEMAND",IF(H327=0,"STOCKOUT",IF(J327&lt;Config!$B$5,"CRITICAL",IF(J327&lt;Config!$B$6,"LOW",IF(J327&gt;Config!$B$7,"EXCESS","HEALTHY")))))</f>
        <v/>
      </c>
      <c r="L327" s="11" t="n">
        <v>229</v>
      </c>
      <c r="M327" s="11" t="n">
        <v>298</v>
      </c>
      <c r="N327" s="11">
        <f>H327*L327</f>
        <v/>
      </c>
      <c r="O327" s="11">
        <f>IF(I327&gt;0,I327*(M327-L327),0)</f>
        <v/>
      </c>
      <c r="P327" s="11" t="n">
        <v>170</v>
      </c>
    </row>
    <row r="328">
      <c r="A328" s="4" t="inlineStr">
        <is>
          <t>WH03</t>
        </is>
      </c>
      <c r="B328" s="4" t="inlineStr">
        <is>
          <t>Lucknow DC</t>
        </is>
      </c>
      <c r="C328" s="4" t="inlineStr">
        <is>
          <t>North</t>
        </is>
      </c>
      <c r="D328" s="4" t="inlineStr">
        <is>
          <t>SKU084</t>
        </is>
      </c>
      <c r="E328" s="4" t="inlineStr">
        <is>
          <t>LED Bulb 9W</t>
        </is>
      </c>
      <c r="F328" s="4" t="inlineStr">
        <is>
          <t>Electronics Accessories</t>
        </is>
      </c>
      <c r="G328" s="4" t="inlineStr">
        <is>
          <t>C</t>
        </is>
      </c>
      <c r="H328" s="11" t="n">
        <v>71</v>
      </c>
      <c r="I328" s="4" t="n">
        <v>20.75</v>
      </c>
      <c r="J328" s="13">
        <f>IF(I328&gt;0,H328/I328,"")</f>
        <v/>
      </c>
      <c r="K328" s="4">
        <f>IF(I328&lt;=0,"NO DEMAND",IF(H328=0,"STOCKOUT",IF(J328&lt;Config!$B$5,"CRITICAL",IF(J328&lt;Config!$B$6,"LOW",IF(J328&gt;Config!$B$7,"EXCESS","HEALTHY")))))</f>
        <v/>
      </c>
      <c r="L328" s="11" t="n">
        <v>160</v>
      </c>
      <c r="M328" s="11" t="n">
        <v>207</v>
      </c>
      <c r="N328" s="11">
        <f>H328*L328</f>
        <v/>
      </c>
      <c r="O328" s="11">
        <f>IF(I328&gt;0,I328*(M328-L328),0)</f>
        <v/>
      </c>
      <c r="P328" s="11" t="n">
        <v>0</v>
      </c>
    </row>
    <row r="329">
      <c r="A329" s="4" t="inlineStr">
        <is>
          <t>WH03</t>
        </is>
      </c>
      <c r="B329" s="4" t="inlineStr">
        <is>
          <t>Lucknow DC</t>
        </is>
      </c>
      <c r="C329" s="4" t="inlineStr">
        <is>
          <t>North</t>
        </is>
      </c>
      <c r="D329" s="4" t="inlineStr">
        <is>
          <t>SKU085</t>
        </is>
      </c>
      <c r="E329" s="4" t="inlineStr">
        <is>
          <t>Extension Board 4-socket</t>
        </is>
      </c>
      <c r="F329" s="4" t="inlineStr">
        <is>
          <t>Electronics Accessories</t>
        </is>
      </c>
      <c r="G329" s="4" t="inlineStr">
        <is>
          <t>B</t>
        </is>
      </c>
      <c r="H329" s="11" t="n">
        <v>271</v>
      </c>
      <c r="I329" s="4" t="n">
        <v>125.25</v>
      </c>
      <c r="J329" s="13">
        <f>IF(I329&gt;0,H329/I329,"")</f>
        <v/>
      </c>
      <c r="K329" s="4">
        <f>IF(I329&lt;=0,"NO DEMAND",IF(H329=0,"STOCKOUT",IF(J329&lt;Config!$B$5,"CRITICAL",IF(J329&lt;Config!$B$6,"LOW",IF(J329&gt;Config!$B$7,"EXCESS","HEALTHY")))))</f>
        <v/>
      </c>
      <c r="L329" s="11" t="n">
        <v>336</v>
      </c>
      <c r="M329" s="11" t="n">
        <v>431</v>
      </c>
      <c r="N329" s="11">
        <f>H329*L329</f>
        <v/>
      </c>
      <c r="O329" s="11">
        <f>IF(I329&gt;0,I329*(M329-L329),0)</f>
        <v/>
      </c>
      <c r="P329" s="11" t="n">
        <v>0</v>
      </c>
    </row>
    <row r="330">
      <c r="A330" s="4" t="inlineStr">
        <is>
          <t>WH03</t>
        </is>
      </c>
      <c r="B330" s="4" t="inlineStr">
        <is>
          <t>Lucknow DC</t>
        </is>
      </c>
      <c r="C330" s="4" t="inlineStr">
        <is>
          <t>North</t>
        </is>
      </c>
      <c r="D330" s="4" t="inlineStr">
        <is>
          <t>SKU086</t>
        </is>
      </c>
      <c r="E330" s="4" t="inlineStr">
        <is>
          <t>AA Batteries 10pk</t>
        </is>
      </c>
      <c r="F330" s="4" t="inlineStr">
        <is>
          <t>Electronics Accessories</t>
        </is>
      </c>
      <c r="G330" s="4" t="inlineStr">
        <is>
          <t>A</t>
        </is>
      </c>
      <c r="H330" s="11" t="n">
        <v>608</v>
      </c>
      <c r="I330" s="4" t="n">
        <v>139.75</v>
      </c>
      <c r="J330" s="13">
        <f>IF(I330&gt;0,H330/I330,"")</f>
        <v/>
      </c>
      <c r="K330" s="4">
        <f>IF(I330&lt;=0,"NO DEMAND",IF(H330=0,"STOCKOUT",IF(J330&lt;Config!$B$5,"CRITICAL",IF(J330&lt;Config!$B$6,"LOW",IF(J330&gt;Config!$B$7,"EXCESS","HEALTHY")))))</f>
        <v/>
      </c>
      <c r="L330" s="11" t="n">
        <v>1335</v>
      </c>
      <c r="M330" s="11" t="n">
        <v>1740</v>
      </c>
      <c r="N330" s="11">
        <f>H330*L330</f>
        <v/>
      </c>
      <c r="O330" s="11">
        <f>IF(I330&gt;0,I330*(M330-L330),0)</f>
        <v/>
      </c>
      <c r="P330" s="11" t="n">
        <v>530</v>
      </c>
    </row>
    <row r="331">
      <c r="A331" s="4" t="inlineStr">
        <is>
          <t>WH03</t>
        </is>
      </c>
      <c r="B331" s="4" t="inlineStr">
        <is>
          <t>Lucknow DC</t>
        </is>
      </c>
      <c r="C331" s="4" t="inlineStr">
        <is>
          <t>North</t>
        </is>
      </c>
      <c r="D331" s="4" t="inlineStr">
        <is>
          <t>SKU087</t>
        </is>
      </c>
      <c r="E331" s="4" t="inlineStr">
        <is>
          <t>SD Card 64GB</t>
        </is>
      </c>
      <c r="F331" s="4" t="inlineStr">
        <is>
          <t>Electronics Accessories</t>
        </is>
      </c>
      <c r="G331" s="4" t="inlineStr">
        <is>
          <t>A</t>
        </is>
      </c>
      <c r="H331" s="11" t="n">
        <v>291</v>
      </c>
      <c r="I331" s="4" t="n">
        <v>26.5</v>
      </c>
      <c r="J331" s="13">
        <f>IF(I331&gt;0,H331/I331,"")</f>
        <v/>
      </c>
      <c r="K331" s="4">
        <f>IF(I331&lt;=0,"NO DEMAND",IF(H331=0,"STOCKOUT",IF(J331&lt;Config!$B$5,"CRITICAL",IF(J331&lt;Config!$B$6,"LOW",IF(J331&gt;Config!$B$7,"EXCESS","HEALTHY")))))</f>
        <v/>
      </c>
      <c r="L331" s="11" t="n">
        <v>1750</v>
      </c>
      <c r="M331" s="11" t="n">
        <v>2180</v>
      </c>
      <c r="N331" s="11">
        <f>H331*L331</f>
        <v/>
      </c>
      <c r="O331" s="11">
        <f>IF(I331&gt;0,I331*(M331-L331),0)</f>
        <v/>
      </c>
      <c r="P331" s="11" t="n">
        <v>0</v>
      </c>
    </row>
    <row r="332">
      <c r="A332" s="4" t="inlineStr">
        <is>
          <t>WH03</t>
        </is>
      </c>
      <c r="B332" s="4" t="inlineStr">
        <is>
          <t>Lucknow DC</t>
        </is>
      </c>
      <c r="C332" s="4" t="inlineStr">
        <is>
          <t>North</t>
        </is>
      </c>
      <c r="D332" s="4" t="inlineStr">
        <is>
          <t>SKU088</t>
        </is>
      </c>
      <c r="E332" s="4" t="inlineStr">
        <is>
          <t>Wireless Mouse</t>
        </is>
      </c>
      <c r="F332" s="4" t="inlineStr">
        <is>
          <t>Electronics Accessories</t>
        </is>
      </c>
      <c r="G332" s="4" t="inlineStr">
        <is>
          <t>A</t>
        </is>
      </c>
      <c r="H332" s="11" t="n">
        <v>402</v>
      </c>
      <c r="I332" s="4" t="n">
        <v>87.5</v>
      </c>
      <c r="J332" s="13">
        <f>IF(I332&gt;0,H332/I332,"")</f>
        <v/>
      </c>
      <c r="K332" s="4">
        <f>IF(I332&lt;=0,"NO DEMAND",IF(H332=0,"STOCKOUT",IF(J332&lt;Config!$B$5,"CRITICAL",IF(J332&lt;Config!$B$6,"LOW",IF(J332&gt;Config!$B$7,"EXCESS","HEALTHY")))))</f>
        <v/>
      </c>
      <c r="L332" s="11" t="n">
        <v>429</v>
      </c>
      <c r="M332" s="11" t="n">
        <v>534</v>
      </c>
      <c r="N332" s="11">
        <f>H332*L332</f>
        <v/>
      </c>
      <c r="O332" s="11">
        <f>IF(I332&gt;0,I332*(M332-L332),0)</f>
        <v/>
      </c>
      <c r="P332" s="11" t="n">
        <v>420</v>
      </c>
    </row>
    <row r="333">
      <c r="A333" s="4" t="inlineStr">
        <is>
          <t>WH03</t>
        </is>
      </c>
      <c r="B333" s="4" t="inlineStr">
        <is>
          <t>Lucknow DC</t>
        </is>
      </c>
      <c r="C333" s="4" t="inlineStr">
        <is>
          <t>North</t>
        </is>
      </c>
      <c r="D333" s="4" t="inlineStr">
        <is>
          <t>SKU089</t>
        </is>
      </c>
      <c r="E333" s="4" t="inlineStr">
        <is>
          <t>USB Keyboard</t>
        </is>
      </c>
      <c r="F333" s="4" t="inlineStr">
        <is>
          <t>Electronics Accessories</t>
        </is>
      </c>
      <c r="G333" s="4" t="inlineStr">
        <is>
          <t>A</t>
        </is>
      </c>
      <c r="H333" s="11" t="n">
        <v>296</v>
      </c>
      <c r="I333" s="4" t="n">
        <v>27.5</v>
      </c>
      <c r="J333" s="13">
        <f>IF(I333&gt;0,H333/I333,"")</f>
        <v/>
      </c>
      <c r="K333" s="4">
        <f>IF(I333&lt;=0,"NO DEMAND",IF(H333=0,"STOCKOUT",IF(J333&lt;Config!$B$5,"CRITICAL",IF(J333&lt;Config!$B$6,"LOW",IF(J333&gt;Config!$B$7,"EXCESS","HEALTHY")))))</f>
        <v/>
      </c>
      <c r="L333" s="11" t="n">
        <v>2249</v>
      </c>
      <c r="M333" s="11" t="n">
        <v>2812</v>
      </c>
      <c r="N333" s="11">
        <f>H333*L333</f>
        <v/>
      </c>
      <c r="O333" s="11">
        <f>IF(I333&gt;0,I333*(M333-L333),0)</f>
        <v/>
      </c>
      <c r="P333" s="11" t="n">
        <v>0</v>
      </c>
    </row>
    <row r="334">
      <c r="A334" s="4" t="inlineStr">
        <is>
          <t>WH03</t>
        </is>
      </c>
      <c r="B334" s="4" t="inlineStr">
        <is>
          <t>Lucknow DC</t>
        </is>
      </c>
      <c r="C334" s="4" t="inlineStr">
        <is>
          <t>North</t>
        </is>
      </c>
      <c r="D334" s="4" t="inlineStr">
        <is>
          <t>SKU090</t>
        </is>
      </c>
      <c r="E334" s="4" t="inlineStr">
        <is>
          <t>HDMI Cable 2m</t>
        </is>
      </c>
      <c r="F334" s="4" t="inlineStr">
        <is>
          <t>Electronics Accessories</t>
        </is>
      </c>
      <c r="G334" s="4" t="inlineStr">
        <is>
          <t>C</t>
        </is>
      </c>
      <c r="H334" s="11" t="n">
        <v>74</v>
      </c>
      <c r="I334" s="4" t="n">
        <v>32.5</v>
      </c>
      <c r="J334" s="13">
        <f>IF(I334&gt;0,H334/I334,"")</f>
        <v/>
      </c>
      <c r="K334" s="4">
        <f>IF(I334&lt;=0,"NO DEMAND",IF(H334=0,"STOCKOUT",IF(J334&lt;Config!$B$5,"CRITICAL",IF(J334&lt;Config!$B$6,"LOW",IF(J334&gt;Config!$B$7,"EXCESS","HEALTHY")))))</f>
        <v/>
      </c>
      <c r="L334" s="11" t="n">
        <v>292</v>
      </c>
      <c r="M334" s="11" t="n">
        <v>378</v>
      </c>
      <c r="N334" s="11">
        <f>H334*L334</f>
        <v/>
      </c>
      <c r="O334" s="11">
        <f>IF(I334&gt;0,I334*(M334-L334),0)</f>
        <v/>
      </c>
      <c r="P334" s="11" t="n">
        <v>140</v>
      </c>
    </row>
    <row r="335">
      <c r="A335" s="4" t="inlineStr">
        <is>
          <t>WH03</t>
        </is>
      </c>
      <c r="B335" s="4" t="inlineStr">
        <is>
          <t>Lucknow DC</t>
        </is>
      </c>
      <c r="C335" s="4" t="inlineStr">
        <is>
          <t>North</t>
        </is>
      </c>
      <c r="D335" s="4" t="inlineStr">
        <is>
          <t>SKU091</t>
        </is>
      </c>
      <c r="E335" s="4" t="inlineStr">
        <is>
          <t>Paracetamol 500mg 15s</t>
        </is>
      </c>
      <c r="F335" s="4" t="inlineStr">
        <is>
          <t>OTC Pharma &amp; Wellness</t>
        </is>
      </c>
      <c r="G335" s="4" t="inlineStr">
        <is>
          <t>C</t>
        </is>
      </c>
      <c r="H335" s="11" t="n">
        <v>1159</v>
      </c>
      <c r="I335" s="4" t="n">
        <v>271</v>
      </c>
      <c r="J335" s="13">
        <f>IF(I335&gt;0,H335/I335,"")</f>
        <v/>
      </c>
      <c r="K335" s="4">
        <f>IF(I335&lt;=0,"NO DEMAND",IF(H335=0,"STOCKOUT",IF(J335&lt;Config!$B$5,"CRITICAL",IF(J335&lt;Config!$B$6,"LOW",IF(J335&gt;Config!$B$7,"EXCESS","HEALTHY")))))</f>
        <v/>
      </c>
      <c r="L335" s="11" t="n">
        <v>113</v>
      </c>
      <c r="M335" s="11" t="n">
        <v>144</v>
      </c>
      <c r="N335" s="11">
        <f>H335*L335</f>
        <v/>
      </c>
      <c r="O335" s="11">
        <f>IF(I335&gt;0,I335*(M335-L335),0)</f>
        <v/>
      </c>
      <c r="P335" s="11" t="n">
        <v>0</v>
      </c>
    </row>
    <row r="336">
      <c r="A336" s="4" t="inlineStr">
        <is>
          <t>WH03</t>
        </is>
      </c>
      <c r="B336" s="4" t="inlineStr">
        <is>
          <t>Lucknow DC</t>
        </is>
      </c>
      <c r="C336" s="4" t="inlineStr">
        <is>
          <t>North</t>
        </is>
      </c>
      <c r="D336" s="4" t="inlineStr">
        <is>
          <t>SKU092</t>
        </is>
      </c>
      <c r="E336" s="4" t="inlineStr">
        <is>
          <t>ORS Sachets 10pk</t>
        </is>
      </c>
      <c r="F336" s="4" t="inlineStr">
        <is>
          <t>OTC Pharma &amp; Wellness</t>
        </is>
      </c>
      <c r="G336" s="4" t="inlineStr">
        <is>
          <t>C</t>
        </is>
      </c>
      <c r="H336" s="11" t="n">
        <v>1093</v>
      </c>
      <c r="I336" s="4" t="n">
        <v>395</v>
      </c>
      <c r="J336" s="13">
        <f>IF(I336&gt;0,H336/I336,"")</f>
        <v/>
      </c>
      <c r="K336" s="4">
        <f>IF(I336&lt;=0,"NO DEMAND",IF(H336=0,"STOCKOUT",IF(J336&lt;Config!$B$5,"CRITICAL",IF(J336&lt;Config!$B$6,"LOW",IF(J336&gt;Config!$B$7,"EXCESS","HEALTHY")))))</f>
        <v/>
      </c>
      <c r="L336" s="11" t="n">
        <v>55</v>
      </c>
      <c r="M336" s="11" t="n">
        <v>75</v>
      </c>
      <c r="N336" s="11">
        <f>H336*L336</f>
        <v/>
      </c>
      <c r="O336" s="11">
        <f>IF(I336&gt;0,I336*(M336-L336),0)</f>
        <v/>
      </c>
      <c r="P336" s="11" t="n">
        <v>1356</v>
      </c>
    </row>
    <row r="337">
      <c r="A337" s="4" t="inlineStr">
        <is>
          <t>WH03</t>
        </is>
      </c>
      <c r="B337" s="4" t="inlineStr">
        <is>
          <t>Lucknow DC</t>
        </is>
      </c>
      <c r="C337" s="4" t="inlineStr">
        <is>
          <t>North</t>
        </is>
      </c>
      <c r="D337" s="4" t="inlineStr">
        <is>
          <t>SKU093</t>
        </is>
      </c>
      <c r="E337" s="4" t="inlineStr">
        <is>
          <t>Antacid Syrup 200ml</t>
        </is>
      </c>
      <c r="F337" s="4" t="inlineStr">
        <is>
          <t>OTC Pharma &amp; Wellness</t>
        </is>
      </c>
      <c r="G337" s="4" t="inlineStr">
        <is>
          <t>A</t>
        </is>
      </c>
      <c r="H337" s="11" t="n">
        <v>622</v>
      </c>
      <c r="I337" s="4" t="n">
        <v>195.25</v>
      </c>
      <c r="J337" s="13">
        <f>IF(I337&gt;0,H337/I337,"")</f>
        <v/>
      </c>
      <c r="K337" s="4">
        <f>IF(I337&lt;=0,"NO DEMAND",IF(H337=0,"STOCKOUT",IF(J337&lt;Config!$B$5,"CRITICAL",IF(J337&lt;Config!$B$6,"LOW",IF(J337&gt;Config!$B$7,"EXCESS","HEALTHY")))))</f>
        <v/>
      </c>
      <c r="L337" s="11" t="n">
        <v>277</v>
      </c>
      <c r="M337" s="11" t="n">
        <v>362</v>
      </c>
      <c r="N337" s="11">
        <f>H337*L337</f>
        <v/>
      </c>
      <c r="O337" s="11">
        <f>IF(I337&gt;0,I337*(M337-L337),0)</f>
        <v/>
      </c>
      <c r="P337" s="11" t="n">
        <v>0</v>
      </c>
    </row>
    <row r="338">
      <c r="A338" s="4" t="inlineStr">
        <is>
          <t>WH03</t>
        </is>
      </c>
      <c r="B338" s="4" t="inlineStr">
        <is>
          <t>Lucknow DC</t>
        </is>
      </c>
      <c r="C338" s="4" t="inlineStr">
        <is>
          <t>North</t>
        </is>
      </c>
      <c r="D338" s="4" t="inlineStr">
        <is>
          <t>SKU094</t>
        </is>
      </c>
      <c r="E338" s="4" t="inlineStr">
        <is>
          <t>Cough Syrup 100ml</t>
        </is>
      </c>
      <c r="F338" s="4" t="inlineStr">
        <is>
          <t>OTC Pharma &amp; Wellness</t>
        </is>
      </c>
      <c r="G338" s="4" t="inlineStr">
        <is>
          <t>B</t>
        </is>
      </c>
      <c r="H338" s="11" t="n">
        <v>36</v>
      </c>
      <c r="I338" s="4" t="n">
        <v>28.75</v>
      </c>
      <c r="J338" s="13">
        <f>IF(I338&gt;0,H338/I338,"")</f>
        <v/>
      </c>
      <c r="K338" s="4">
        <f>IF(I338&lt;=0,"NO DEMAND",IF(H338=0,"STOCKOUT",IF(J338&lt;Config!$B$5,"CRITICAL",IF(J338&lt;Config!$B$6,"LOW",IF(J338&gt;Config!$B$7,"EXCESS","HEALTHY")))))</f>
        <v/>
      </c>
      <c r="L338" s="11" t="n">
        <v>190</v>
      </c>
      <c r="M338" s="11" t="n">
        <v>254</v>
      </c>
      <c r="N338" s="11">
        <f>H338*L338</f>
        <v/>
      </c>
      <c r="O338" s="11">
        <f>IF(I338&gt;0,I338*(M338-L338),0)</f>
        <v/>
      </c>
      <c r="P338" s="11" t="n">
        <v>432</v>
      </c>
    </row>
    <row r="339">
      <c r="A339" s="4" t="inlineStr">
        <is>
          <t>WH03</t>
        </is>
      </c>
      <c r="B339" s="4" t="inlineStr">
        <is>
          <t>Lucknow DC</t>
        </is>
      </c>
      <c r="C339" s="4" t="inlineStr">
        <is>
          <t>North</t>
        </is>
      </c>
      <c r="D339" s="4" t="inlineStr">
        <is>
          <t>SKU095</t>
        </is>
      </c>
      <c r="E339" s="4" t="inlineStr">
        <is>
          <t>Multivitamin 30s</t>
        </is>
      </c>
      <c r="F339" s="4" t="inlineStr">
        <is>
          <t>OTC Pharma &amp; Wellness</t>
        </is>
      </c>
      <c r="G339" s="4" t="inlineStr">
        <is>
          <t>B</t>
        </is>
      </c>
      <c r="H339" s="11" t="n">
        <v>475</v>
      </c>
      <c r="I339" s="4" t="n">
        <v>153.25</v>
      </c>
      <c r="J339" s="13">
        <f>IF(I339&gt;0,H339/I339,"")</f>
        <v/>
      </c>
      <c r="K339" s="4">
        <f>IF(I339&lt;=0,"NO DEMAND",IF(H339=0,"STOCKOUT",IF(J339&lt;Config!$B$5,"CRITICAL",IF(J339&lt;Config!$B$6,"LOW",IF(J339&gt;Config!$B$7,"EXCESS","HEALTHY")))))</f>
        <v/>
      </c>
      <c r="L339" s="11" t="n">
        <v>178</v>
      </c>
      <c r="M339" s="11" t="n">
        <v>237</v>
      </c>
      <c r="N339" s="11">
        <f>H339*L339</f>
        <v/>
      </c>
      <c r="O339" s="11">
        <f>IF(I339&gt;0,I339*(M339-L339),0)</f>
        <v/>
      </c>
      <c r="P339" s="11" t="n">
        <v>528</v>
      </c>
    </row>
    <row r="340">
      <c r="A340" s="4" t="inlineStr">
        <is>
          <t>WH03</t>
        </is>
      </c>
      <c r="B340" s="4" t="inlineStr">
        <is>
          <t>Lucknow DC</t>
        </is>
      </c>
      <c r="C340" s="4" t="inlineStr">
        <is>
          <t>North</t>
        </is>
      </c>
      <c r="D340" s="4" t="inlineStr">
        <is>
          <t>SKU096</t>
        </is>
      </c>
      <c r="E340" s="4" t="inlineStr">
        <is>
          <t>Antiseptic Liquid 250ml</t>
        </is>
      </c>
      <c r="F340" s="4" t="inlineStr">
        <is>
          <t>OTC Pharma &amp; Wellness</t>
        </is>
      </c>
      <c r="G340" s="4" t="inlineStr">
        <is>
          <t>C</t>
        </is>
      </c>
      <c r="H340" s="11" t="n">
        <v>303</v>
      </c>
      <c r="I340" s="4" t="n">
        <v>16</v>
      </c>
      <c r="J340" s="13">
        <f>IF(I340&gt;0,H340/I340,"")</f>
        <v/>
      </c>
      <c r="K340" s="4">
        <f>IF(I340&lt;=0,"NO DEMAND",IF(H340=0,"STOCKOUT",IF(J340&lt;Config!$B$5,"CRITICAL",IF(J340&lt;Config!$B$6,"LOW",IF(J340&gt;Config!$B$7,"EXCESS","HEALTHY")))))</f>
        <v/>
      </c>
      <c r="L340" s="11" t="n">
        <v>88</v>
      </c>
      <c r="M340" s="11" t="n">
        <v>112</v>
      </c>
      <c r="N340" s="11">
        <f>H340*L340</f>
        <v/>
      </c>
      <c r="O340" s="11">
        <f>IF(I340&gt;0,I340*(M340-L340),0)</f>
        <v/>
      </c>
      <c r="P340" s="11" t="n">
        <v>0</v>
      </c>
    </row>
    <row r="341">
      <c r="A341" s="4" t="inlineStr">
        <is>
          <t>WH03</t>
        </is>
      </c>
      <c r="B341" s="4" t="inlineStr">
        <is>
          <t>Lucknow DC</t>
        </is>
      </c>
      <c r="C341" s="4" t="inlineStr">
        <is>
          <t>North</t>
        </is>
      </c>
      <c r="D341" s="4" t="inlineStr">
        <is>
          <t>SKU097</t>
        </is>
      </c>
      <c r="E341" s="4" t="inlineStr">
        <is>
          <t>Pain Balm 50g</t>
        </is>
      </c>
      <c r="F341" s="4" t="inlineStr">
        <is>
          <t>OTC Pharma &amp; Wellness</t>
        </is>
      </c>
      <c r="G341" s="4" t="inlineStr">
        <is>
          <t>C</t>
        </is>
      </c>
      <c r="H341" s="11" t="n">
        <v>636</v>
      </c>
      <c r="I341" s="4" t="n">
        <v>155.25</v>
      </c>
      <c r="J341" s="13">
        <f>IF(I341&gt;0,H341/I341,"")</f>
        <v/>
      </c>
      <c r="K341" s="4">
        <f>IF(I341&lt;=0,"NO DEMAND",IF(H341=0,"STOCKOUT",IF(J341&lt;Config!$B$5,"CRITICAL",IF(J341&lt;Config!$B$6,"LOW",IF(J341&gt;Config!$B$7,"EXCESS","HEALTHY")))))</f>
        <v/>
      </c>
      <c r="L341" s="11" t="n">
        <v>68</v>
      </c>
      <c r="M341" s="11" t="n">
        <v>91</v>
      </c>
      <c r="N341" s="11">
        <f>H341*L341</f>
        <v/>
      </c>
      <c r="O341" s="11">
        <f>IF(I341&gt;0,I341*(M341-L341),0)</f>
        <v/>
      </c>
      <c r="P341" s="11" t="n">
        <v>0</v>
      </c>
    </row>
    <row r="342">
      <c r="A342" s="4" t="inlineStr">
        <is>
          <t>WH03</t>
        </is>
      </c>
      <c r="B342" s="4" t="inlineStr">
        <is>
          <t>Lucknow DC</t>
        </is>
      </c>
      <c r="C342" s="4" t="inlineStr">
        <is>
          <t>North</t>
        </is>
      </c>
      <c r="D342" s="4" t="inlineStr">
        <is>
          <t>SKU098</t>
        </is>
      </c>
      <c r="E342" s="4" t="inlineStr">
        <is>
          <t>Bandage Pack</t>
        </is>
      </c>
      <c r="F342" s="4" t="inlineStr">
        <is>
          <t>OTC Pharma &amp; Wellness</t>
        </is>
      </c>
      <c r="G342" s="4" t="inlineStr">
        <is>
          <t>C</t>
        </is>
      </c>
      <c r="H342" s="11" t="n">
        <v>377</v>
      </c>
      <c r="I342" s="4" t="n">
        <v>73.25</v>
      </c>
      <c r="J342" s="13">
        <f>IF(I342&gt;0,H342/I342,"")</f>
        <v/>
      </c>
      <c r="K342" s="4">
        <f>IF(I342&lt;=0,"NO DEMAND",IF(H342=0,"STOCKOUT",IF(J342&lt;Config!$B$5,"CRITICAL",IF(J342&lt;Config!$B$6,"LOW",IF(J342&gt;Config!$B$7,"EXCESS","HEALTHY")))))</f>
        <v/>
      </c>
      <c r="L342" s="11" t="n">
        <v>49</v>
      </c>
      <c r="M342" s="11" t="n">
        <v>66</v>
      </c>
      <c r="N342" s="11">
        <f>H342*L342</f>
        <v/>
      </c>
      <c r="O342" s="11">
        <f>IF(I342&gt;0,I342*(M342-L342),0)</f>
        <v/>
      </c>
      <c r="P342" s="11" t="n">
        <v>0</v>
      </c>
    </row>
    <row r="343">
      <c r="A343" s="4" t="inlineStr">
        <is>
          <t>WH03</t>
        </is>
      </c>
      <c r="B343" s="4" t="inlineStr">
        <is>
          <t>Lucknow DC</t>
        </is>
      </c>
      <c r="C343" s="4" t="inlineStr">
        <is>
          <t>North</t>
        </is>
      </c>
      <c r="D343" s="4" t="inlineStr">
        <is>
          <t>SKU099</t>
        </is>
      </c>
      <c r="E343" s="4" t="inlineStr">
        <is>
          <t>Digital Thermometer</t>
        </is>
      </c>
      <c r="F343" s="4" t="inlineStr">
        <is>
          <t>OTC Pharma &amp; Wellness</t>
        </is>
      </c>
      <c r="G343" s="4" t="inlineStr">
        <is>
          <t>B</t>
        </is>
      </c>
      <c r="H343" s="11" t="n">
        <v>654</v>
      </c>
      <c r="I343" s="4" t="n">
        <v>334.5</v>
      </c>
      <c r="J343" s="13">
        <f>IF(I343&gt;0,H343/I343,"")</f>
        <v/>
      </c>
      <c r="K343" s="4">
        <f>IF(I343&lt;=0,"NO DEMAND",IF(H343=0,"STOCKOUT",IF(J343&lt;Config!$B$5,"CRITICAL",IF(J343&lt;Config!$B$6,"LOW",IF(J343&gt;Config!$B$7,"EXCESS","HEALTHY")))))</f>
        <v/>
      </c>
      <c r="L343" s="11" t="n">
        <v>88</v>
      </c>
      <c r="M343" s="11" t="n">
        <v>112</v>
      </c>
      <c r="N343" s="11">
        <f>H343*L343</f>
        <v/>
      </c>
      <c r="O343" s="11">
        <f>IF(I343&gt;0,I343*(M343-L343),0)</f>
        <v/>
      </c>
      <c r="P343" s="11" t="n">
        <v>1200</v>
      </c>
    </row>
    <row r="344">
      <c r="A344" s="4" t="inlineStr">
        <is>
          <t>WH03</t>
        </is>
      </c>
      <c r="B344" s="4" t="inlineStr">
        <is>
          <t>Lucknow DC</t>
        </is>
      </c>
      <c r="C344" s="4" t="inlineStr">
        <is>
          <t>North</t>
        </is>
      </c>
      <c r="D344" s="4" t="inlineStr">
        <is>
          <t>SKU100</t>
        </is>
      </c>
      <c r="E344" s="4" t="inlineStr">
        <is>
          <t>Glucose Powder 500g</t>
        </is>
      </c>
      <c r="F344" s="4" t="inlineStr">
        <is>
          <t>OTC Pharma &amp; Wellness</t>
        </is>
      </c>
      <c r="G344" s="4" t="inlineStr">
        <is>
          <t>C</t>
        </is>
      </c>
      <c r="H344" s="11" t="n">
        <v>197</v>
      </c>
      <c r="I344" s="4" t="n">
        <v>66.5</v>
      </c>
      <c r="J344" s="13">
        <f>IF(I344&gt;0,H344/I344,"")</f>
        <v/>
      </c>
      <c r="K344" s="4">
        <f>IF(I344&lt;=0,"NO DEMAND",IF(H344=0,"STOCKOUT",IF(J344&lt;Config!$B$5,"CRITICAL",IF(J344&lt;Config!$B$6,"LOW",IF(J344&gt;Config!$B$7,"EXCESS","HEALTHY")))))</f>
        <v/>
      </c>
      <c r="L344" s="11" t="n">
        <v>32</v>
      </c>
      <c r="M344" s="11" t="n">
        <v>42</v>
      </c>
      <c r="N344" s="11">
        <f>H344*L344</f>
        <v/>
      </c>
      <c r="O344" s="11">
        <f>IF(I344&gt;0,I344*(M344-L344),0)</f>
        <v/>
      </c>
      <c r="P344" s="11" t="n">
        <v>0</v>
      </c>
    </row>
    <row r="345">
      <c r="A345" s="4" t="inlineStr">
        <is>
          <t>WH03</t>
        </is>
      </c>
      <c r="B345" s="4" t="inlineStr">
        <is>
          <t>Lucknow DC</t>
        </is>
      </c>
      <c r="C345" s="4" t="inlineStr">
        <is>
          <t>North</t>
        </is>
      </c>
      <c r="D345" s="4" t="inlineStr">
        <is>
          <t>SKU101</t>
        </is>
      </c>
      <c r="E345" s="4" t="inlineStr">
        <is>
          <t>Vitamin C 30s</t>
        </is>
      </c>
      <c r="F345" s="4" t="inlineStr">
        <is>
          <t>OTC Pharma &amp; Wellness</t>
        </is>
      </c>
      <c r="G345" s="4" t="inlineStr">
        <is>
          <t>B</t>
        </is>
      </c>
      <c r="H345" s="11" t="n">
        <v>942</v>
      </c>
      <c r="I345" s="4" t="n">
        <v>223.5</v>
      </c>
      <c r="J345" s="13">
        <f>IF(I345&gt;0,H345/I345,"")</f>
        <v/>
      </c>
      <c r="K345" s="4">
        <f>IF(I345&lt;=0,"NO DEMAND",IF(H345=0,"STOCKOUT",IF(J345&lt;Config!$B$5,"CRITICAL",IF(J345&lt;Config!$B$6,"LOW",IF(J345&gt;Config!$B$7,"EXCESS","HEALTHY")))))</f>
        <v/>
      </c>
      <c r="L345" s="11" t="n">
        <v>176</v>
      </c>
      <c r="M345" s="11" t="n">
        <v>237</v>
      </c>
      <c r="N345" s="11">
        <f>H345*L345</f>
        <v/>
      </c>
      <c r="O345" s="11">
        <f>IF(I345&gt;0,I345*(M345-L345),0)</f>
        <v/>
      </c>
      <c r="P345" s="11" t="n">
        <v>0</v>
      </c>
    </row>
    <row r="346">
      <c r="A346" s="4" t="inlineStr">
        <is>
          <t>WH03</t>
        </is>
      </c>
      <c r="B346" s="4" t="inlineStr">
        <is>
          <t>Lucknow DC</t>
        </is>
      </c>
      <c r="C346" s="4" t="inlineStr">
        <is>
          <t>North</t>
        </is>
      </c>
      <c r="D346" s="4" t="inlineStr">
        <is>
          <t>SKU102</t>
        </is>
      </c>
      <c r="E346" s="4" t="inlineStr">
        <is>
          <t>Eye Drops 10ml</t>
        </is>
      </c>
      <c r="F346" s="4" t="inlineStr">
        <is>
          <t>OTC Pharma &amp; Wellness</t>
        </is>
      </c>
      <c r="G346" s="4" t="inlineStr">
        <is>
          <t>C</t>
        </is>
      </c>
      <c r="H346" s="11" t="n">
        <v>548</v>
      </c>
      <c r="I346" s="4" t="n">
        <v>288.5</v>
      </c>
      <c r="J346" s="13">
        <f>IF(I346&gt;0,H346/I346,"")</f>
        <v/>
      </c>
      <c r="K346" s="4">
        <f>IF(I346&lt;=0,"NO DEMAND",IF(H346=0,"STOCKOUT",IF(J346&lt;Config!$B$5,"CRITICAL",IF(J346&lt;Config!$B$6,"LOW",IF(J346&gt;Config!$B$7,"EXCESS","HEALTHY")))))</f>
        <v/>
      </c>
      <c r="L346" s="11" t="n">
        <v>72</v>
      </c>
      <c r="M346" s="11" t="n">
        <v>92</v>
      </c>
      <c r="N346" s="11">
        <f>H346*L346</f>
        <v/>
      </c>
      <c r="O346" s="11">
        <f>IF(I346&gt;0,I346*(M346-L346),0)</f>
        <v/>
      </c>
      <c r="P346" s="11" t="n">
        <v>1008</v>
      </c>
    </row>
    <row r="347">
      <c r="A347" s="4" t="inlineStr">
        <is>
          <t>WH03</t>
        </is>
      </c>
      <c r="B347" s="4" t="inlineStr">
        <is>
          <t>Lucknow DC</t>
        </is>
      </c>
      <c r="C347" s="4" t="inlineStr">
        <is>
          <t>North</t>
        </is>
      </c>
      <c r="D347" s="4" t="inlineStr">
        <is>
          <t>SKU103</t>
        </is>
      </c>
      <c r="E347" s="4" t="inlineStr">
        <is>
          <t>Zinc Tablets 20s</t>
        </is>
      </c>
      <c r="F347" s="4" t="inlineStr">
        <is>
          <t>OTC Pharma &amp; Wellness</t>
        </is>
      </c>
      <c r="G347" s="4" t="inlineStr">
        <is>
          <t>C</t>
        </is>
      </c>
      <c r="H347" s="11" t="n">
        <v>443</v>
      </c>
      <c r="I347" s="4" t="n">
        <v>108</v>
      </c>
      <c r="J347" s="13">
        <f>IF(I347&gt;0,H347/I347,"")</f>
        <v/>
      </c>
      <c r="K347" s="4">
        <f>IF(I347&lt;=0,"NO DEMAND",IF(H347=0,"STOCKOUT",IF(J347&lt;Config!$B$5,"CRITICAL",IF(J347&lt;Config!$B$6,"LOW",IF(J347&gt;Config!$B$7,"EXCESS","HEALTHY")))))</f>
        <v/>
      </c>
      <c r="L347" s="11" t="n">
        <v>169</v>
      </c>
      <c r="M347" s="11" t="n">
        <v>216</v>
      </c>
      <c r="N347" s="11">
        <f>H347*L347</f>
        <v/>
      </c>
      <c r="O347" s="11">
        <f>IF(I347&gt;0,I347*(M347-L347),0)</f>
        <v/>
      </c>
      <c r="P347" s="11" t="n">
        <v>0</v>
      </c>
    </row>
    <row r="348">
      <c r="A348" s="4" t="inlineStr">
        <is>
          <t>WH03</t>
        </is>
      </c>
      <c r="B348" s="4" t="inlineStr">
        <is>
          <t>Lucknow DC</t>
        </is>
      </c>
      <c r="C348" s="4" t="inlineStr">
        <is>
          <t>North</t>
        </is>
      </c>
      <c r="D348" s="4" t="inlineStr">
        <is>
          <t>SKU104</t>
        </is>
      </c>
      <c r="E348" s="4" t="inlineStr">
        <is>
          <t>Hand Sanitizer 500ml</t>
        </is>
      </c>
      <c r="F348" s="4" t="inlineStr">
        <is>
          <t>OTC Pharma &amp; Wellness</t>
        </is>
      </c>
      <c r="G348" s="4" t="inlineStr">
        <is>
          <t>C</t>
        </is>
      </c>
      <c r="H348" s="11" t="n">
        <v>1423</v>
      </c>
      <c r="I348" s="4" t="n">
        <v>242.25</v>
      </c>
      <c r="J348" s="13">
        <f>IF(I348&gt;0,H348/I348,"")</f>
        <v/>
      </c>
      <c r="K348" s="4">
        <f>IF(I348&lt;=0,"NO DEMAND",IF(H348=0,"STOCKOUT",IF(J348&lt;Config!$B$5,"CRITICAL",IF(J348&lt;Config!$B$6,"LOW",IF(J348&gt;Config!$B$7,"EXCESS","HEALTHY")))))</f>
        <v/>
      </c>
      <c r="L348" s="11" t="n">
        <v>37</v>
      </c>
      <c r="M348" s="11" t="n">
        <v>48</v>
      </c>
      <c r="N348" s="11">
        <f>H348*L348</f>
        <v/>
      </c>
      <c r="O348" s="11">
        <f>IF(I348&gt;0,I348*(M348-L348),0)</f>
        <v/>
      </c>
      <c r="P348" s="11" t="n">
        <v>0</v>
      </c>
    </row>
    <row r="349">
      <c r="A349" s="4" t="inlineStr">
        <is>
          <t>WH03</t>
        </is>
      </c>
      <c r="B349" s="4" t="inlineStr">
        <is>
          <t>Lucknow DC</t>
        </is>
      </c>
      <c r="C349" s="4" t="inlineStr">
        <is>
          <t>North</t>
        </is>
      </c>
      <c r="D349" s="4" t="inlineStr">
        <is>
          <t>SKU105</t>
        </is>
      </c>
      <c r="E349" s="4" t="inlineStr">
        <is>
          <t>Face Masks 50pk</t>
        </is>
      </c>
      <c r="F349" s="4" t="inlineStr">
        <is>
          <t>OTC Pharma &amp; Wellness</t>
        </is>
      </c>
      <c r="G349" s="4" t="inlineStr">
        <is>
          <t>C</t>
        </is>
      </c>
      <c r="H349" s="11" t="n">
        <v>1197</v>
      </c>
      <c r="I349" s="4" t="n">
        <v>333</v>
      </c>
      <c r="J349" s="13">
        <f>IF(I349&gt;0,H349/I349,"")</f>
        <v/>
      </c>
      <c r="K349" s="4">
        <f>IF(I349&lt;=0,"NO DEMAND",IF(H349=0,"STOCKOUT",IF(J349&lt;Config!$B$5,"CRITICAL",IF(J349&lt;Config!$B$6,"LOW",IF(J349&gt;Config!$B$7,"EXCESS","HEALTHY")))))</f>
        <v/>
      </c>
      <c r="L349" s="11" t="n">
        <v>92</v>
      </c>
      <c r="M349" s="11" t="n">
        <v>121</v>
      </c>
      <c r="N349" s="11">
        <f>H349*L349</f>
        <v/>
      </c>
      <c r="O349" s="11">
        <f>IF(I349&gt;0,I349*(M349-L349),0)</f>
        <v/>
      </c>
      <c r="P349" s="11" t="n">
        <v>1212</v>
      </c>
    </row>
    <row r="350">
      <c r="A350" s="4" t="inlineStr">
        <is>
          <t>WH03</t>
        </is>
      </c>
      <c r="B350" s="4" t="inlineStr">
        <is>
          <t>Lucknow DC</t>
        </is>
      </c>
      <c r="C350" s="4" t="inlineStr">
        <is>
          <t>North</t>
        </is>
      </c>
      <c r="D350" s="4" t="inlineStr">
        <is>
          <t>SKU106</t>
        </is>
      </c>
      <c r="E350" s="4" t="inlineStr">
        <is>
          <t>Corrugated Box 12x12</t>
        </is>
      </c>
      <c r="F350" s="4" t="inlineStr">
        <is>
          <t>Packaging &amp; Supplies</t>
        </is>
      </c>
      <c r="G350" s="4" t="inlineStr">
        <is>
          <t>B</t>
        </is>
      </c>
      <c r="H350" s="11" t="n">
        <v>20</v>
      </c>
      <c r="I350" s="4" t="n">
        <v>173.5</v>
      </c>
      <c r="J350" s="13">
        <f>IF(I350&gt;0,H350/I350,"")</f>
        <v/>
      </c>
      <c r="K350" s="4">
        <f>IF(I350&lt;=0,"NO DEMAND",IF(H350=0,"STOCKOUT",IF(J350&lt;Config!$B$5,"CRITICAL",IF(J350&lt;Config!$B$6,"LOW",IF(J350&gt;Config!$B$7,"EXCESS","HEALTHY")))))</f>
        <v/>
      </c>
      <c r="L350" s="11" t="n">
        <v>400</v>
      </c>
      <c r="M350" s="11" t="n">
        <v>480</v>
      </c>
      <c r="N350" s="11">
        <f>H350*L350</f>
        <v/>
      </c>
      <c r="O350" s="11">
        <f>IF(I350&gt;0,I350*(M350-L350),0)</f>
        <v/>
      </c>
      <c r="P350" s="11" t="n">
        <v>540</v>
      </c>
    </row>
    <row r="351">
      <c r="A351" s="4" t="inlineStr">
        <is>
          <t>WH03</t>
        </is>
      </c>
      <c r="B351" s="4" t="inlineStr">
        <is>
          <t>Lucknow DC</t>
        </is>
      </c>
      <c r="C351" s="4" t="inlineStr">
        <is>
          <t>North</t>
        </is>
      </c>
      <c r="D351" s="4" t="inlineStr">
        <is>
          <t>SKU107</t>
        </is>
      </c>
      <c r="E351" s="4" t="inlineStr">
        <is>
          <t>Stretch Film 500mm</t>
        </is>
      </c>
      <c r="F351" s="4" t="inlineStr">
        <is>
          <t>Packaging &amp; Supplies</t>
        </is>
      </c>
      <c r="G351" s="4" t="inlineStr">
        <is>
          <t>A</t>
        </is>
      </c>
      <c r="H351" s="11" t="n">
        <v>103</v>
      </c>
      <c r="I351" s="4" t="n">
        <v>75.75</v>
      </c>
      <c r="J351" s="13">
        <f>IF(I351&gt;0,H351/I351,"")</f>
        <v/>
      </c>
      <c r="K351" s="4">
        <f>IF(I351&lt;=0,"NO DEMAND",IF(H351=0,"STOCKOUT",IF(J351&lt;Config!$B$5,"CRITICAL",IF(J351&lt;Config!$B$6,"LOW",IF(J351&gt;Config!$B$7,"EXCESS","HEALTHY")))))</f>
        <v/>
      </c>
      <c r="L351" s="11" t="n">
        <v>324</v>
      </c>
      <c r="M351" s="11" t="n">
        <v>383</v>
      </c>
      <c r="N351" s="11">
        <f>H351*L351</f>
        <v/>
      </c>
      <c r="O351" s="11">
        <f>IF(I351&gt;0,I351*(M351-L351),0)</f>
        <v/>
      </c>
      <c r="P351" s="11" t="n">
        <v>540</v>
      </c>
    </row>
    <row r="352">
      <c r="A352" s="4" t="inlineStr">
        <is>
          <t>WH03</t>
        </is>
      </c>
      <c r="B352" s="4" t="inlineStr">
        <is>
          <t>Lucknow DC</t>
        </is>
      </c>
      <c r="C352" s="4" t="inlineStr">
        <is>
          <t>North</t>
        </is>
      </c>
      <c r="D352" s="4" t="inlineStr">
        <is>
          <t>SKU108</t>
        </is>
      </c>
      <c r="E352" s="4" t="inlineStr">
        <is>
          <t>BOPP Tape 48mm</t>
        </is>
      </c>
      <c r="F352" s="4" t="inlineStr">
        <is>
          <t>Packaging &amp; Supplies</t>
        </is>
      </c>
      <c r="G352" s="4" t="inlineStr">
        <is>
          <t>A</t>
        </is>
      </c>
      <c r="H352" s="11" t="n">
        <v>255</v>
      </c>
      <c r="I352" s="4" t="n">
        <v>92</v>
      </c>
      <c r="J352" s="13">
        <f>IF(I352&gt;0,H352/I352,"")</f>
        <v/>
      </c>
      <c r="K352" s="4">
        <f>IF(I352&lt;=0,"NO DEMAND",IF(H352=0,"STOCKOUT",IF(J352&lt;Config!$B$5,"CRITICAL",IF(J352&lt;Config!$B$6,"LOW",IF(J352&gt;Config!$B$7,"EXCESS","HEALTHY")))))</f>
        <v/>
      </c>
      <c r="L352" s="11" t="n">
        <v>699</v>
      </c>
      <c r="M352" s="11" t="n">
        <v>822</v>
      </c>
      <c r="N352" s="11">
        <f>H352*L352</f>
        <v/>
      </c>
      <c r="O352" s="11">
        <f>IF(I352&gt;0,I352*(M352-L352),0)</f>
        <v/>
      </c>
      <c r="P352" s="11" t="n">
        <v>300</v>
      </c>
    </row>
    <row r="353">
      <c r="A353" s="4" t="inlineStr">
        <is>
          <t>WH03</t>
        </is>
      </c>
      <c r="B353" s="4" t="inlineStr">
        <is>
          <t>Lucknow DC</t>
        </is>
      </c>
      <c r="C353" s="4" t="inlineStr">
        <is>
          <t>North</t>
        </is>
      </c>
      <c r="D353" s="4" t="inlineStr">
        <is>
          <t>SKU109</t>
        </is>
      </c>
      <c r="E353" s="4" t="inlineStr">
        <is>
          <t>Bubble Wrap Roll</t>
        </is>
      </c>
      <c r="F353" s="4" t="inlineStr">
        <is>
          <t>Packaging &amp; Supplies</t>
        </is>
      </c>
      <c r="G353" s="4" t="inlineStr">
        <is>
          <t>C</t>
        </is>
      </c>
      <c r="H353" s="11" t="n">
        <v>432</v>
      </c>
      <c r="I353" s="4" t="n">
        <v>216.5</v>
      </c>
      <c r="J353" s="13">
        <f>IF(I353&gt;0,H353/I353,"")</f>
        <v/>
      </c>
      <c r="K353" s="4">
        <f>IF(I353&lt;=0,"NO DEMAND",IF(H353=0,"STOCKOUT",IF(J353&lt;Config!$B$5,"CRITICAL",IF(J353&lt;Config!$B$6,"LOW",IF(J353&gt;Config!$B$7,"EXCESS","HEALTHY")))))</f>
        <v/>
      </c>
      <c r="L353" s="11" t="n">
        <v>68</v>
      </c>
      <c r="M353" s="11" t="n">
        <v>80</v>
      </c>
      <c r="N353" s="11">
        <f>H353*L353</f>
        <v/>
      </c>
      <c r="O353" s="11">
        <f>IF(I353&gt;0,I353*(M353-L353),0)</f>
        <v/>
      </c>
      <c r="P353" s="11" t="n">
        <v>740</v>
      </c>
    </row>
    <row r="354">
      <c r="A354" s="4" t="inlineStr">
        <is>
          <t>WH03</t>
        </is>
      </c>
      <c r="B354" s="4" t="inlineStr">
        <is>
          <t>Lucknow DC</t>
        </is>
      </c>
      <c r="C354" s="4" t="inlineStr">
        <is>
          <t>North</t>
        </is>
      </c>
      <c r="D354" s="4" t="inlineStr">
        <is>
          <t>SKU110</t>
        </is>
      </c>
      <c r="E354" s="4" t="inlineStr">
        <is>
          <t>Pallet Strapping Roll</t>
        </is>
      </c>
      <c r="F354" s="4" t="inlineStr">
        <is>
          <t>Packaging &amp; Supplies</t>
        </is>
      </c>
      <c r="G354" s="4" t="inlineStr">
        <is>
          <t>C</t>
        </is>
      </c>
      <c r="H354" s="11" t="n">
        <v>100</v>
      </c>
      <c r="I354" s="4" t="n">
        <v>205.25</v>
      </c>
      <c r="J354" s="13">
        <f>IF(I354&gt;0,H354/I354,"")</f>
        <v/>
      </c>
      <c r="K354" s="4">
        <f>IF(I354&lt;=0,"NO DEMAND",IF(H354=0,"STOCKOUT",IF(J354&lt;Config!$B$5,"CRITICAL",IF(J354&lt;Config!$B$6,"LOW",IF(J354&gt;Config!$B$7,"EXCESS","HEALTHY")))))</f>
        <v/>
      </c>
      <c r="L354" s="11" t="n">
        <v>45</v>
      </c>
      <c r="M354" s="11" t="n">
        <v>53</v>
      </c>
      <c r="N354" s="11">
        <f>H354*L354</f>
        <v/>
      </c>
      <c r="O354" s="11">
        <f>IF(I354&gt;0,I354*(M354-L354),0)</f>
        <v/>
      </c>
      <c r="P354" s="11" t="n">
        <v>740</v>
      </c>
    </row>
    <row r="355">
      <c r="A355" s="4" t="inlineStr">
        <is>
          <t>WH03</t>
        </is>
      </c>
      <c r="B355" s="4" t="inlineStr">
        <is>
          <t>Lucknow DC</t>
        </is>
      </c>
      <c r="C355" s="4" t="inlineStr">
        <is>
          <t>North</t>
        </is>
      </c>
      <c r="D355" s="4" t="inlineStr">
        <is>
          <t>SKU111</t>
        </is>
      </c>
      <c r="E355" s="4" t="inlineStr">
        <is>
          <t>Shipping Labels 1000</t>
        </is>
      </c>
      <c r="F355" s="4" t="inlineStr">
        <is>
          <t>Packaging &amp; Supplies</t>
        </is>
      </c>
      <c r="G355" s="4" t="inlineStr">
        <is>
          <t>A</t>
        </is>
      </c>
      <c r="H355" s="11" t="n">
        <v>152</v>
      </c>
      <c r="I355" s="4" t="n">
        <v>144</v>
      </c>
      <c r="J355" s="13">
        <f>IF(I355&gt;0,H355/I355,"")</f>
        <v/>
      </c>
      <c r="K355" s="4">
        <f>IF(I355&lt;=0,"NO DEMAND",IF(H355=0,"STOCKOUT",IF(J355&lt;Config!$B$5,"CRITICAL",IF(J355&lt;Config!$B$6,"LOW",IF(J355&gt;Config!$B$7,"EXCESS","HEALTHY")))))</f>
        <v/>
      </c>
      <c r="L355" s="11" t="n">
        <v>617</v>
      </c>
      <c r="M355" s="11" t="n">
        <v>741</v>
      </c>
      <c r="N355" s="11">
        <f>H355*L355</f>
        <v/>
      </c>
      <c r="O355" s="11">
        <f>IF(I355&gt;0,I355*(M355-L355),0)</f>
        <v/>
      </c>
      <c r="P355" s="11" t="n">
        <v>640</v>
      </c>
    </row>
    <row r="356">
      <c r="A356" s="4" t="inlineStr">
        <is>
          <t>WH03</t>
        </is>
      </c>
      <c r="B356" s="4" t="inlineStr">
        <is>
          <t>Lucknow DC</t>
        </is>
      </c>
      <c r="C356" s="4" t="inlineStr">
        <is>
          <t>North</t>
        </is>
      </c>
      <c r="D356" s="4" t="inlineStr">
        <is>
          <t>SKU112</t>
        </is>
      </c>
      <c r="E356" s="4" t="inlineStr">
        <is>
          <t>Poly Mailer 100pk</t>
        </is>
      </c>
      <c r="F356" s="4" t="inlineStr">
        <is>
          <t>Packaging &amp; Supplies</t>
        </is>
      </c>
      <c r="G356" s="4" t="inlineStr">
        <is>
          <t>C</t>
        </is>
      </c>
      <c r="H356" s="11" t="n">
        <v>91</v>
      </c>
      <c r="I356" s="4" t="n">
        <v>57.75</v>
      </c>
      <c r="J356" s="13">
        <f>IF(I356&gt;0,H356/I356,"")</f>
        <v/>
      </c>
      <c r="K356" s="4">
        <f>IF(I356&lt;=0,"NO DEMAND",IF(H356=0,"STOCKOUT",IF(J356&lt;Config!$B$5,"CRITICAL",IF(J356&lt;Config!$B$6,"LOW",IF(J356&gt;Config!$B$7,"EXCESS","HEALTHY")))))</f>
        <v/>
      </c>
      <c r="L356" s="11" t="n">
        <v>93</v>
      </c>
      <c r="M356" s="11" t="n">
        <v>113</v>
      </c>
      <c r="N356" s="11">
        <f>H356*L356</f>
        <v/>
      </c>
      <c r="O356" s="11">
        <f>IF(I356&gt;0,I356*(M356-L356),0)</f>
        <v/>
      </c>
      <c r="P356" s="11" t="n">
        <v>0</v>
      </c>
    </row>
    <row r="357">
      <c r="A357" s="4" t="inlineStr">
        <is>
          <t>WH03</t>
        </is>
      </c>
      <c r="B357" s="4" t="inlineStr">
        <is>
          <t>Lucknow DC</t>
        </is>
      </c>
      <c r="C357" s="4" t="inlineStr">
        <is>
          <t>North</t>
        </is>
      </c>
      <c r="D357" s="4" t="inlineStr">
        <is>
          <t>SKU113</t>
        </is>
      </c>
      <c r="E357" s="4" t="inlineStr">
        <is>
          <t>Void Fill Paper</t>
        </is>
      </c>
      <c r="F357" s="4" t="inlineStr">
        <is>
          <t>Packaging &amp; Supplies</t>
        </is>
      </c>
      <c r="G357" s="4" t="inlineStr">
        <is>
          <t>C</t>
        </is>
      </c>
      <c r="H357" s="11" t="n">
        <v>87</v>
      </c>
      <c r="I357" s="4" t="n">
        <v>173.75</v>
      </c>
      <c r="J357" s="13">
        <f>IF(I357&gt;0,H357/I357,"")</f>
        <v/>
      </c>
      <c r="K357" s="4">
        <f>IF(I357&lt;=0,"NO DEMAND",IF(H357=0,"STOCKOUT",IF(J357&lt;Config!$B$5,"CRITICAL",IF(J357&lt;Config!$B$6,"LOW",IF(J357&gt;Config!$B$7,"EXCESS","HEALTHY")))))</f>
        <v/>
      </c>
      <c r="L357" s="11" t="n">
        <v>89</v>
      </c>
      <c r="M357" s="11" t="n">
        <v>108</v>
      </c>
      <c r="N357" s="11">
        <f>H357*L357</f>
        <v/>
      </c>
      <c r="O357" s="11">
        <f>IF(I357&gt;0,I357*(M357-L357),0)</f>
        <v/>
      </c>
      <c r="P357" s="11" t="n">
        <v>520</v>
      </c>
    </row>
    <row r="358">
      <c r="A358" s="4" t="inlineStr">
        <is>
          <t>WH03</t>
        </is>
      </c>
      <c r="B358" s="4" t="inlineStr">
        <is>
          <t>Lucknow DC</t>
        </is>
      </c>
      <c r="C358" s="4" t="inlineStr">
        <is>
          <t>North</t>
        </is>
      </c>
      <c r="D358" s="4" t="inlineStr">
        <is>
          <t>SKU114</t>
        </is>
      </c>
      <c r="E358" s="4" t="inlineStr">
        <is>
          <t>Cable Ties 100pk</t>
        </is>
      </c>
      <c r="F358" s="4" t="inlineStr">
        <is>
          <t>Packaging &amp; Supplies</t>
        </is>
      </c>
      <c r="G358" s="4" t="inlineStr">
        <is>
          <t>C</t>
        </is>
      </c>
      <c r="H358" s="11" t="n">
        <v>122</v>
      </c>
      <c r="I358" s="4" t="n">
        <v>58.75</v>
      </c>
      <c r="J358" s="13">
        <f>IF(I358&gt;0,H358/I358,"")</f>
        <v/>
      </c>
      <c r="K358" s="4">
        <f>IF(I358&lt;=0,"NO DEMAND",IF(H358=0,"STOCKOUT",IF(J358&lt;Config!$B$5,"CRITICAL",IF(J358&lt;Config!$B$6,"LOW",IF(J358&gt;Config!$B$7,"EXCESS","HEALTHY")))))</f>
        <v/>
      </c>
      <c r="L358" s="11" t="n">
        <v>66</v>
      </c>
      <c r="M358" s="11" t="n">
        <v>80</v>
      </c>
      <c r="N358" s="11">
        <f>H358*L358</f>
        <v/>
      </c>
      <c r="O358" s="11">
        <f>IF(I358&gt;0,I358*(M358-L358),0)</f>
        <v/>
      </c>
      <c r="P358" s="11" t="n">
        <v>660</v>
      </c>
    </row>
    <row r="359">
      <c r="A359" s="4" t="inlineStr">
        <is>
          <t>WH03</t>
        </is>
      </c>
      <c r="B359" s="4" t="inlineStr">
        <is>
          <t>Lucknow DC</t>
        </is>
      </c>
      <c r="C359" s="4" t="inlineStr">
        <is>
          <t>North</t>
        </is>
      </c>
      <c r="D359" s="4" t="inlineStr">
        <is>
          <t>SKU115</t>
        </is>
      </c>
      <c r="E359" s="4" t="inlineStr">
        <is>
          <t>Edge Protectors 50pk</t>
        </is>
      </c>
      <c r="F359" s="4" t="inlineStr">
        <is>
          <t>Packaging &amp; Supplies</t>
        </is>
      </c>
      <c r="G359" s="4" t="inlineStr">
        <is>
          <t>C</t>
        </is>
      </c>
      <c r="H359" s="11" t="n">
        <v>42</v>
      </c>
      <c r="I359" s="4" t="n">
        <v>204</v>
      </c>
      <c r="J359" s="13">
        <f>IF(I359&gt;0,H359/I359,"")</f>
        <v/>
      </c>
      <c r="K359" s="4">
        <f>IF(I359&lt;=0,"NO DEMAND",IF(H359=0,"STOCKOUT",IF(J359&lt;Config!$B$5,"CRITICAL",IF(J359&lt;Config!$B$6,"LOW",IF(J359&gt;Config!$B$7,"EXCESS","HEALTHY")))))</f>
        <v/>
      </c>
      <c r="L359" s="11" t="n">
        <v>52</v>
      </c>
      <c r="M359" s="11" t="n">
        <v>63</v>
      </c>
      <c r="N359" s="11">
        <f>H359*L359</f>
        <v/>
      </c>
      <c r="O359" s="11">
        <f>IF(I359&gt;0,I359*(M359-L359),0)</f>
        <v/>
      </c>
      <c r="P359" s="11" t="n">
        <v>820</v>
      </c>
    </row>
    <row r="360">
      <c r="A360" s="4" t="inlineStr">
        <is>
          <t>WH03</t>
        </is>
      </c>
      <c r="B360" s="4" t="inlineStr">
        <is>
          <t>Lucknow DC</t>
        </is>
      </c>
      <c r="C360" s="4" t="inlineStr">
        <is>
          <t>North</t>
        </is>
      </c>
      <c r="D360" s="4" t="inlineStr">
        <is>
          <t>SKU116</t>
        </is>
      </c>
      <c r="E360" s="4" t="inlineStr">
        <is>
          <t>Pallet Wrap Hand</t>
        </is>
      </c>
      <c r="F360" s="4" t="inlineStr">
        <is>
          <t>Packaging &amp; Supplies</t>
        </is>
      </c>
      <c r="G360" s="4" t="inlineStr">
        <is>
          <t>C</t>
        </is>
      </c>
      <c r="H360" s="11" t="n">
        <v>208</v>
      </c>
      <c r="I360" s="4" t="n">
        <v>70</v>
      </c>
      <c r="J360" s="13">
        <f>IF(I360&gt;0,H360/I360,"")</f>
        <v/>
      </c>
      <c r="K360" s="4">
        <f>IF(I360&lt;=0,"NO DEMAND",IF(H360=0,"STOCKOUT",IF(J360&lt;Config!$B$5,"CRITICAL",IF(J360&lt;Config!$B$6,"LOW",IF(J360&gt;Config!$B$7,"EXCESS","HEALTHY")))))</f>
        <v/>
      </c>
      <c r="L360" s="11" t="n">
        <v>39</v>
      </c>
      <c r="M360" s="11" t="n">
        <v>47</v>
      </c>
      <c r="N360" s="11">
        <f>H360*L360</f>
        <v/>
      </c>
      <c r="O360" s="11">
        <f>IF(I360&gt;0,I360*(M360-L360),0)</f>
        <v/>
      </c>
      <c r="P360" s="11" t="n">
        <v>0</v>
      </c>
    </row>
    <row r="361">
      <c r="A361" s="4" t="inlineStr">
        <is>
          <t>WH03</t>
        </is>
      </c>
      <c r="B361" s="4" t="inlineStr">
        <is>
          <t>Lucknow DC</t>
        </is>
      </c>
      <c r="C361" s="4" t="inlineStr">
        <is>
          <t>North</t>
        </is>
      </c>
      <c r="D361" s="4" t="inlineStr">
        <is>
          <t>SKU117</t>
        </is>
      </c>
      <c r="E361" s="4" t="inlineStr">
        <is>
          <t>Courier Bags 100pk</t>
        </is>
      </c>
      <c r="F361" s="4" t="inlineStr">
        <is>
          <t>Packaging &amp; Supplies</t>
        </is>
      </c>
      <c r="G361" s="4" t="inlineStr">
        <is>
          <t>C</t>
        </is>
      </c>
      <c r="H361" s="11" t="n">
        <v>1300</v>
      </c>
      <c r="I361" s="4" t="n">
        <v>344.5</v>
      </c>
      <c r="J361" s="13">
        <f>IF(I361&gt;0,H361/I361,"")</f>
        <v/>
      </c>
      <c r="K361" s="4">
        <f>IF(I361&lt;=0,"NO DEMAND",IF(H361=0,"STOCKOUT",IF(J361&lt;Config!$B$5,"CRITICAL",IF(J361&lt;Config!$B$6,"LOW",IF(J361&gt;Config!$B$7,"EXCESS","HEALTHY")))))</f>
        <v/>
      </c>
      <c r="L361" s="11" t="n">
        <v>21</v>
      </c>
      <c r="M361" s="11" t="n">
        <v>25</v>
      </c>
      <c r="N361" s="11">
        <f>H361*L361</f>
        <v/>
      </c>
      <c r="O361" s="11">
        <f>IF(I361&gt;0,I361*(M361-L361),0)</f>
        <v/>
      </c>
      <c r="P361" s="11" t="n">
        <v>0</v>
      </c>
    </row>
    <row r="362">
      <c r="A362" s="4" t="inlineStr">
        <is>
          <t>WH03</t>
        </is>
      </c>
      <c r="B362" s="4" t="inlineStr">
        <is>
          <t>Lucknow DC</t>
        </is>
      </c>
      <c r="C362" s="4" t="inlineStr">
        <is>
          <t>North</t>
        </is>
      </c>
      <c r="D362" s="4" t="inlineStr">
        <is>
          <t>SKU118</t>
        </is>
      </c>
      <c r="E362" s="4" t="inlineStr">
        <is>
          <t>Thermal Paper Roll 20pk</t>
        </is>
      </c>
      <c r="F362" s="4" t="inlineStr">
        <is>
          <t>Packaging &amp; Supplies</t>
        </is>
      </c>
      <c r="G362" s="4" t="inlineStr">
        <is>
          <t>B</t>
        </is>
      </c>
      <c r="H362" s="11" t="n">
        <v>516</v>
      </c>
      <c r="I362" s="4" t="n">
        <v>223.5</v>
      </c>
      <c r="J362" s="13">
        <f>IF(I362&gt;0,H362/I362,"")</f>
        <v/>
      </c>
      <c r="K362" s="4">
        <f>IF(I362&lt;=0,"NO DEMAND",IF(H362=0,"STOCKOUT",IF(J362&lt;Config!$B$5,"CRITICAL",IF(J362&lt;Config!$B$6,"LOW",IF(J362&gt;Config!$B$7,"EXCESS","HEALTHY")))))</f>
        <v/>
      </c>
      <c r="L362" s="11" t="n">
        <v>181</v>
      </c>
      <c r="M362" s="11" t="n">
        <v>218</v>
      </c>
      <c r="N362" s="11">
        <f>H362*L362</f>
        <v/>
      </c>
      <c r="O362" s="11">
        <f>IF(I362&gt;0,I362*(M362-L362),0)</f>
        <v/>
      </c>
      <c r="P362" s="11" t="n">
        <v>760</v>
      </c>
    </row>
    <row r="363">
      <c r="A363" s="4" t="inlineStr">
        <is>
          <t>WH03</t>
        </is>
      </c>
      <c r="B363" s="4" t="inlineStr">
        <is>
          <t>Lucknow DC</t>
        </is>
      </c>
      <c r="C363" s="4" t="inlineStr">
        <is>
          <t>North</t>
        </is>
      </c>
      <c r="D363" s="4" t="inlineStr">
        <is>
          <t>SKU119</t>
        </is>
      </c>
      <c r="E363" s="4" t="inlineStr">
        <is>
          <t>Safety Gloves 12pk</t>
        </is>
      </c>
      <c r="F363" s="4" t="inlineStr">
        <is>
          <t>Packaging &amp; Supplies</t>
        </is>
      </c>
      <c r="G363" s="4" t="inlineStr">
        <is>
          <t>A</t>
        </is>
      </c>
      <c r="H363" s="11" t="n">
        <v>214</v>
      </c>
      <c r="I363" s="4" t="n">
        <v>177.5</v>
      </c>
      <c r="J363" s="13">
        <f>IF(I363&gt;0,H363/I363,"")</f>
        <v/>
      </c>
      <c r="K363" s="4">
        <f>IF(I363&lt;=0,"NO DEMAND",IF(H363=0,"STOCKOUT",IF(J363&lt;Config!$B$5,"CRITICAL",IF(J363&lt;Config!$B$6,"LOW",IF(J363&gt;Config!$B$7,"EXCESS","HEALTHY")))))</f>
        <v/>
      </c>
      <c r="L363" s="11" t="n">
        <v>420</v>
      </c>
      <c r="M363" s="11" t="n">
        <v>511</v>
      </c>
      <c r="N363" s="11">
        <f>H363*L363</f>
        <v/>
      </c>
      <c r="O363" s="11">
        <f>IF(I363&gt;0,I363*(M363-L363),0)</f>
        <v/>
      </c>
      <c r="P363" s="11" t="n">
        <v>640</v>
      </c>
    </row>
    <row r="364">
      <c r="A364" s="4" t="inlineStr">
        <is>
          <t>WH03</t>
        </is>
      </c>
      <c r="B364" s="4" t="inlineStr">
        <is>
          <t>Lucknow DC</t>
        </is>
      </c>
      <c r="C364" s="4" t="inlineStr">
        <is>
          <t>North</t>
        </is>
      </c>
      <c r="D364" s="4" t="inlineStr">
        <is>
          <t>SKU120</t>
        </is>
      </c>
      <c r="E364" s="4" t="inlineStr">
        <is>
          <t>Cutter Blades 10pk</t>
        </is>
      </c>
      <c r="F364" s="4" t="inlineStr">
        <is>
          <t>Packaging &amp; Supplies</t>
        </is>
      </c>
      <c r="G364" s="4" t="inlineStr">
        <is>
          <t>C</t>
        </is>
      </c>
      <c r="H364" s="11" t="n">
        <v>432</v>
      </c>
      <c r="I364" s="4" t="n">
        <v>208.75</v>
      </c>
      <c r="J364" s="13">
        <f>IF(I364&gt;0,H364/I364,"")</f>
        <v/>
      </c>
      <c r="K364" s="4">
        <f>IF(I364&lt;=0,"NO DEMAND",IF(H364=0,"STOCKOUT",IF(J364&lt;Config!$B$5,"CRITICAL",IF(J364&lt;Config!$B$6,"LOW",IF(J364&gt;Config!$B$7,"EXCESS","HEALTHY")))))</f>
        <v/>
      </c>
      <c r="L364" s="11" t="n">
        <v>30</v>
      </c>
      <c r="M364" s="11" t="n">
        <v>35</v>
      </c>
      <c r="N364" s="11">
        <f>H364*L364</f>
        <v/>
      </c>
      <c r="O364" s="11">
        <f>IF(I364&gt;0,I364*(M364-L364),0)</f>
        <v/>
      </c>
      <c r="P364" s="11" t="n">
        <v>880</v>
      </c>
    </row>
    <row r="365">
      <c r="A365" s="4" t="inlineStr">
        <is>
          <t>WH04</t>
        </is>
      </c>
      <c r="B365" s="4" t="inlineStr">
        <is>
          <t>Bhiwandi DC</t>
        </is>
      </c>
      <c r="C365" s="4" t="inlineStr">
        <is>
          <t>West</t>
        </is>
      </c>
      <c r="D365" s="4" t="inlineStr">
        <is>
          <t>SKU001</t>
        </is>
      </c>
      <c r="E365" s="4" t="inlineStr">
        <is>
          <t>Atta 5kg</t>
        </is>
      </c>
      <c r="F365" s="4" t="inlineStr">
        <is>
          <t>Packaged Staples</t>
        </is>
      </c>
      <c r="G365" s="4" t="inlineStr">
        <is>
          <t>A</t>
        </is>
      </c>
      <c r="H365" s="11" t="n">
        <v>9004</v>
      </c>
      <c r="I365" s="4" t="n">
        <v>1343</v>
      </c>
      <c r="J365" s="13">
        <f>IF(I365&gt;0,H365/I365,"")</f>
        <v/>
      </c>
      <c r="K365" s="4">
        <f>IF(I365&lt;=0,"NO DEMAND",IF(H365=0,"STOCKOUT",IF(J365&lt;Config!$B$5,"CRITICAL",IF(J365&lt;Config!$B$6,"LOW",IF(J365&gt;Config!$B$7,"EXCESS","HEALTHY")))))</f>
        <v/>
      </c>
      <c r="L365" s="11" t="n">
        <v>152</v>
      </c>
      <c r="M365" s="11" t="n">
        <v>168</v>
      </c>
      <c r="N365" s="11">
        <f>H365*L365</f>
        <v/>
      </c>
      <c r="O365" s="11">
        <f>IF(I365&gt;0,I365*(M365-L365),0)</f>
        <v/>
      </c>
      <c r="P365" s="11" t="n">
        <v>0</v>
      </c>
    </row>
    <row r="366">
      <c r="A366" s="4" t="inlineStr">
        <is>
          <t>WH04</t>
        </is>
      </c>
      <c r="B366" s="4" t="inlineStr">
        <is>
          <t>Bhiwandi DC</t>
        </is>
      </c>
      <c r="C366" s="4" t="inlineStr">
        <is>
          <t>West</t>
        </is>
      </c>
      <c r="D366" s="4" t="inlineStr">
        <is>
          <t>SKU002</t>
        </is>
      </c>
      <c r="E366" s="4" t="inlineStr">
        <is>
          <t>Basmati Rice 5kg</t>
        </is>
      </c>
      <c r="F366" s="4" t="inlineStr">
        <is>
          <t>Packaged Staples</t>
        </is>
      </c>
      <c r="G366" s="4" t="inlineStr">
        <is>
          <t>B</t>
        </is>
      </c>
      <c r="H366" s="11" t="n">
        <v>5176</v>
      </c>
      <c r="I366" s="4" t="n">
        <v>1494.75</v>
      </c>
      <c r="J366" s="13">
        <f>IF(I366&gt;0,H366/I366,"")</f>
        <v/>
      </c>
      <c r="K366" s="4">
        <f>IF(I366&lt;=0,"NO DEMAND",IF(H366=0,"STOCKOUT",IF(J366&lt;Config!$B$5,"CRITICAL",IF(J366&lt;Config!$B$6,"LOW",IF(J366&gt;Config!$B$7,"EXCESS","HEALTHY")))))</f>
        <v/>
      </c>
      <c r="L366" s="11" t="n">
        <v>59</v>
      </c>
      <c r="M366" s="11" t="n">
        <v>66</v>
      </c>
      <c r="N366" s="11">
        <f>H366*L366</f>
        <v/>
      </c>
      <c r="O366" s="11">
        <f>IF(I366&gt;0,I366*(M366-L366),0)</f>
        <v/>
      </c>
      <c r="P366" s="11" t="n">
        <v>8832</v>
      </c>
    </row>
    <row r="367">
      <c r="A367" s="4" t="inlineStr">
        <is>
          <t>WH04</t>
        </is>
      </c>
      <c r="B367" s="4" t="inlineStr">
        <is>
          <t>Bhiwandi DC</t>
        </is>
      </c>
      <c r="C367" s="4" t="inlineStr">
        <is>
          <t>West</t>
        </is>
      </c>
      <c r="D367" s="4" t="inlineStr">
        <is>
          <t>SKU003</t>
        </is>
      </c>
      <c r="E367" s="4" t="inlineStr">
        <is>
          <t>Toor Dal 1kg</t>
        </is>
      </c>
      <c r="F367" s="4" t="inlineStr">
        <is>
          <t>Packaged Staples</t>
        </is>
      </c>
      <c r="G367" s="4" t="inlineStr">
        <is>
          <t>A</t>
        </is>
      </c>
      <c r="H367" s="11" t="n">
        <v>9533</v>
      </c>
      <c r="I367" s="4" t="n">
        <v>1556.75</v>
      </c>
      <c r="J367" s="13">
        <f>IF(I367&gt;0,H367/I367,"")</f>
        <v/>
      </c>
      <c r="K367" s="4">
        <f>IF(I367&lt;=0,"NO DEMAND",IF(H367=0,"STOCKOUT",IF(J367&lt;Config!$B$5,"CRITICAL",IF(J367&lt;Config!$B$6,"LOW",IF(J367&gt;Config!$B$7,"EXCESS","HEALTHY")))))</f>
        <v/>
      </c>
      <c r="L367" s="11" t="n">
        <v>61</v>
      </c>
      <c r="M367" s="11" t="n">
        <v>69</v>
      </c>
      <c r="N367" s="11">
        <f>H367*L367</f>
        <v/>
      </c>
      <c r="O367" s="11">
        <f>IF(I367&gt;0,I367*(M367-L367),0)</f>
        <v/>
      </c>
      <c r="P367" s="11" t="n">
        <v>0</v>
      </c>
    </row>
    <row r="368">
      <c r="A368" s="4" t="inlineStr">
        <is>
          <t>WH04</t>
        </is>
      </c>
      <c r="B368" s="4" t="inlineStr">
        <is>
          <t>Bhiwandi DC</t>
        </is>
      </c>
      <c r="C368" s="4" t="inlineStr">
        <is>
          <t>West</t>
        </is>
      </c>
      <c r="D368" s="4" t="inlineStr">
        <is>
          <t>SKU004</t>
        </is>
      </c>
      <c r="E368" s="4" t="inlineStr">
        <is>
          <t>Moong Dal 1kg</t>
        </is>
      </c>
      <c r="F368" s="4" t="inlineStr">
        <is>
          <t>Packaged Staples</t>
        </is>
      </c>
      <c r="G368" s="4" t="inlineStr">
        <is>
          <t>B</t>
        </is>
      </c>
      <c r="H368" s="11" t="n">
        <v>20075</v>
      </c>
      <c r="I368" s="4" t="n">
        <v>1960</v>
      </c>
      <c r="J368" s="13">
        <f>IF(I368&gt;0,H368/I368,"")</f>
        <v/>
      </c>
      <c r="K368" s="4">
        <f>IF(I368&lt;=0,"NO DEMAND",IF(H368=0,"STOCKOUT",IF(J368&lt;Config!$B$5,"CRITICAL",IF(J368&lt;Config!$B$6,"LOW",IF(J368&gt;Config!$B$7,"EXCESS","HEALTHY")))))</f>
        <v/>
      </c>
      <c r="L368" s="11" t="n">
        <v>80</v>
      </c>
      <c r="M368" s="11" t="n">
        <v>91</v>
      </c>
      <c r="N368" s="11">
        <f>H368*L368</f>
        <v/>
      </c>
      <c r="O368" s="11">
        <f>IF(I368&gt;0,I368*(M368-L368),0)</f>
        <v/>
      </c>
      <c r="P368" s="11" t="n">
        <v>0</v>
      </c>
    </row>
    <row r="369">
      <c r="A369" s="4" t="inlineStr">
        <is>
          <t>WH04</t>
        </is>
      </c>
      <c r="B369" s="4" t="inlineStr">
        <is>
          <t>Bhiwandi DC</t>
        </is>
      </c>
      <c r="C369" s="4" t="inlineStr">
        <is>
          <t>West</t>
        </is>
      </c>
      <c r="D369" s="4" t="inlineStr">
        <is>
          <t>SKU005</t>
        </is>
      </c>
      <c r="E369" s="4" t="inlineStr">
        <is>
          <t>Sunflower Oil 1L</t>
        </is>
      </c>
      <c r="F369" s="4" t="inlineStr">
        <is>
          <t>Packaged Staples</t>
        </is>
      </c>
      <c r="G369" s="4" t="inlineStr">
        <is>
          <t>A</t>
        </is>
      </c>
      <c r="H369" s="11" t="n">
        <v>4088</v>
      </c>
      <c r="I369" s="4" t="n">
        <v>1052</v>
      </c>
      <c r="J369" s="13">
        <f>IF(I369&gt;0,H369/I369,"")</f>
        <v/>
      </c>
      <c r="K369" s="4">
        <f>IF(I369&lt;=0,"NO DEMAND",IF(H369=0,"STOCKOUT",IF(J369&lt;Config!$B$5,"CRITICAL",IF(J369&lt;Config!$B$6,"LOW",IF(J369&gt;Config!$B$7,"EXCESS","HEALTHY")))))</f>
        <v/>
      </c>
      <c r="L369" s="11" t="n">
        <v>245</v>
      </c>
      <c r="M369" s="11" t="n">
        <v>273</v>
      </c>
      <c r="N369" s="11">
        <f>H369*L369</f>
        <v/>
      </c>
      <c r="O369" s="11">
        <f>IF(I369&gt;0,I369*(M369-L369),0)</f>
        <v/>
      </c>
      <c r="P369" s="11" t="n">
        <v>0</v>
      </c>
    </row>
    <row r="370">
      <c r="A370" s="4" t="inlineStr">
        <is>
          <t>WH04</t>
        </is>
      </c>
      <c r="B370" s="4" t="inlineStr">
        <is>
          <t>Bhiwandi DC</t>
        </is>
      </c>
      <c r="C370" s="4" t="inlineStr">
        <is>
          <t>West</t>
        </is>
      </c>
      <c r="D370" s="4" t="inlineStr">
        <is>
          <t>SKU006</t>
        </is>
      </c>
      <c r="E370" s="4" t="inlineStr">
        <is>
          <t>Mustard Oil 1L</t>
        </is>
      </c>
      <c r="F370" s="4" t="inlineStr">
        <is>
          <t>Packaged Staples</t>
        </is>
      </c>
      <c r="G370" s="4" t="inlineStr">
        <is>
          <t>B</t>
        </is>
      </c>
      <c r="H370" s="11" t="n">
        <v>4005</v>
      </c>
      <c r="I370" s="4" t="n">
        <v>917</v>
      </c>
      <c r="J370" s="13">
        <f>IF(I370&gt;0,H370/I370,"")</f>
        <v/>
      </c>
      <c r="K370" s="4">
        <f>IF(I370&lt;=0,"NO DEMAND",IF(H370=0,"STOCKOUT",IF(J370&lt;Config!$B$5,"CRITICAL",IF(J370&lt;Config!$B$6,"LOW",IF(J370&gt;Config!$B$7,"EXCESS","HEALTHY")))))</f>
        <v/>
      </c>
      <c r="L370" s="11" t="n">
        <v>68</v>
      </c>
      <c r="M370" s="11" t="n">
        <v>77</v>
      </c>
      <c r="N370" s="11">
        <f>H370*L370</f>
        <v/>
      </c>
      <c r="O370" s="11">
        <f>IF(I370&gt;0,I370*(M370-L370),0)</f>
        <v/>
      </c>
      <c r="P370" s="11" t="n">
        <v>5832</v>
      </c>
    </row>
    <row r="371">
      <c r="A371" s="4" t="inlineStr">
        <is>
          <t>WH04</t>
        </is>
      </c>
      <c r="B371" s="4" t="inlineStr">
        <is>
          <t>Bhiwandi DC</t>
        </is>
      </c>
      <c r="C371" s="4" t="inlineStr">
        <is>
          <t>West</t>
        </is>
      </c>
      <c r="D371" s="4" t="inlineStr">
        <is>
          <t>SKU007</t>
        </is>
      </c>
      <c r="E371" s="4" t="inlineStr">
        <is>
          <t>Sugar 1kg</t>
        </is>
      </c>
      <c r="F371" s="4" t="inlineStr">
        <is>
          <t>Packaged Staples</t>
        </is>
      </c>
      <c r="G371" s="4" t="inlineStr">
        <is>
          <t>A</t>
        </is>
      </c>
      <c r="H371" s="11" t="n">
        <v>8415</v>
      </c>
      <c r="I371" s="4" t="n">
        <v>1073.25</v>
      </c>
      <c r="J371" s="13">
        <f>IF(I371&gt;0,H371/I371,"")</f>
        <v/>
      </c>
      <c r="K371" s="4">
        <f>IF(I371&lt;=0,"NO DEMAND",IF(H371=0,"STOCKOUT",IF(J371&lt;Config!$B$5,"CRITICAL",IF(J371&lt;Config!$B$6,"LOW",IF(J371&gt;Config!$B$7,"EXCESS","HEALTHY")))))</f>
        <v/>
      </c>
      <c r="L371" s="11" t="n">
        <v>129</v>
      </c>
      <c r="M371" s="11" t="n">
        <v>143</v>
      </c>
      <c r="N371" s="11">
        <f>H371*L371</f>
        <v/>
      </c>
      <c r="O371" s="11">
        <f>IF(I371&gt;0,I371*(M371-L371),0)</f>
        <v/>
      </c>
      <c r="P371" s="11" t="n">
        <v>0</v>
      </c>
    </row>
    <row r="372">
      <c r="A372" s="4" t="inlineStr">
        <is>
          <t>WH04</t>
        </is>
      </c>
      <c r="B372" s="4" t="inlineStr">
        <is>
          <t>Bhiwandi DC</t>
        </is>
      </c>
      <c r="C372" s="4" t="inlineStr">
        <is>
          <t>West</t>
        </is>
      </c>
      <c r="D372" s="4" t="inlineStr">
        <is>
          <t>SKU008</t>
        </is>
      </c>
      <c r="E372" s="4" t="inlineStr">
        <is>
          <t>Iodized Salt 1kg</t>
        </is>
      </c>
      <c r="F372" s="4" t="inlineStr">
        <is>
          <t>Packaged Staples</t>
        </is>
      </c>
      <c r="G372" s="4" t="inlineStr">
        <is>
          <t>A</t>
        </is>
      </c>
      <c r="H372" s="11" t="n">
        <v>6827</v>
      </c>
      <c r="I372" s="4" t="n">
        <v>1703.75</v>
      </c>
      <c r="J372" s="13">
        <f>IF(I372&gt;0,H372/I372,"")</f>
        <v/>
      </c>
      <c r="K372" s="4">
        <f>IF(I372&lt;=0,"NO DEMAND",IF(H372=0,"STOCKOUT",IF(J372&lt;Config!$B$5,"CRITICAL",IF(J372&lt;Config!$B$6,"LOW",IF(J372&gt;Config!$B$7,"EXCESS","HEALTHY")))))</f>
        <v/>
      </c>
      <c r="L372" s="11" t="n">
        <v>140</v>
      </c>
      <c r="M372" s="11" t="n">
        <v>156</v>
      </c>
      <c r="N372" s="11">
        <f>H372*L372</f>
        <v/>
      </c>
      <c r="O372" s="11">
        <f>IF(I372&gt;0,I372*(M372-L372),0)</f>
        <v/>
      </c>
      <c r="P372" s="11" t="n">
        <v>12816</v>
      </c>
    </row>
    <row r="373">
      <c r="A373" s="4" t="inlineStr">
        <is>
          <t>WH04</t>
        </is>
      </c>
      <c r="B373" s="4" t="inlineStr">
        <is>
          <t>Bhiwandi DC</t>
        </is>
      </c>
      <c r="C373" s="4" t="inlineStr">
        <is>
          <t>West</t>
        </is>
      </c>
      <c r="D373" s="4" t="inlineStr">
        <is>
          <t>SKU009</t>
        </is>
      </c>
      <c r="E373" s="4" t="inlineStr">
        <is>
          <t>Tea Leaves 500g</t>
        </is>
      </c>
      <c r="F373" s="4" t="inlineStr">
        <is>
          <t>Packaged Staples</t>
        </is>
      </c>
      <c r="G373" s="4" t="inlineStr">
        <is>
          <t>A</t>
        </is>
      </c>
      <c r="H373" s="11" t="n">
        <v>8767</v>
      </c>
      <c r="I373" s="4" t="n">
        <v>1611.5</v>
      </c>
      <c r="J373" s="13">
        <f>IF(I373&gt;0,H373/I373,"")</f>
        <v/>
      </c>
      <c r="K373" s="4">
        <f>IF(I373&lt;=0,"NO DEMAND",IF(H373=0,"STOCKOUT",IF(J373&lt;Config!$B$5,"CRITICAL",IF(J373&lt;Config!$B$6,"LOW",IF(J373&gt;Config!$B$7,"EXCESS","HEALTHY")))))</f>
        <v/>
      </c>
      <c r="L373" s="11" t="n">
        <v>103</v>
      </c>
      <c r="M373" s="11" t="n">
        <v>116</v>
      </c>
      <c r="N373" s="11">
        <f>H373*L373</f>
        <v/>
      </c>
      <c r="O373" s="11">
        <f>IF(I373&gt;0,I373*(M373-L373),0)</f>
        <v/>
      </c>
      <c r="P373" s="11" t="n">
        <v>0</v>
      </c>
    </row>
    <row r="374">
      <c r="A374" s="4" t="inlineStr">
        <is>
          <t>WH04</t>
        </is>
      </c>
      <c r="B374" s="4" t="inlineStr">
        <is>
          <t>Bhiwandi DC</t>
        </is>
      </c>
      <c r="C374" s="4" t="inlineStr">
        <is>
          <t>West</t>
        </is>
      </c>
      <c r="D374" s="4" t="inlineStr">
        <is>
          <t>SKU010</t>
        </is>
      </c>
      <c r="E374" s="4" t="inlineStr">
        <is>
          <t>Poha 500g</t>
        </is>
      </c>
      <c r="F374" s="4" t="inlineStr">
        <is>
          <t>Packaged Staples</t>
        </is>
      </c>
      <c r="G374" s="4" t="inlineStr">
        <is>
          <t>B</t>
        </is>
      </c>
      <c r="H374" s="11" t="n">
        <v>10029</v>
      </c>
      <c r="I374" s="4" t="n">
        <v>1492.25</v>
      </c>
      <c r="J374" s="13">
        <f>IF(I374&gt;0,H374/I374,"")</f>
        <v/>
      </c>
      <c r="K374" s="4">
        <f>IF(I374&lt;=0,"NO DEMAND",IF(H374=0,"STOCKOUT",IF(J374&lt;Config!$B$5,"CRITICAL",IF(J374&lt;Config!$B$6,"LOW",IF(J374&gt;Config!$B$7,"EXCESS","HEALTHY")))))</f>
        <v/>
      </c>
      <c r="L374" s="11" t="n">
        <v>40</v>
      </c>
      <c r="M374" s="11" t="n">
        <v>45</v>
      </c>
      <c r="N374" s="11">
        <f>H374*L374</f>
        <v/>
      </c>
      <c r="O374" s="11">
        <f>IF(I374&gt;0,I374*(M374-L374),0)</f>
        <v/>
      </c>
      <c r="P374" s="11" t="n">
        <v>0</v>
      </c>
    </row>
    <row r="375">
      <c r="A375" s="4" t="inlineStr">
        <is>
          <t>WH04</t>
        </is>
      </c>
      <c r="B375" s="4" t="inlineStr">
        <is>
          <t>Bhiwandi DC</t>
        </is>
      </c>
      <c r="C375" s="4" t="inlineStr">
        <is>
          <t>West</t>
        </is>
      </c>
      <c r="D375" s="4" t="inlineStr">
        <is>
          <t>SKU011</t>
        </is>
      </c>
      <c r="E375" s="4" t="inlineStr">
        <is>
          <t>Besan 1kg</t>
        </is>
      </c>
      <c r="F375" s="4" t="inlineStr">
        <is>
          <t>Packaged Staples</t>
        </is>
      </c>
      <c r="G375" s="4" t="inlineStr">
        <is>
          <t>A</t>
        </is>
      </c>
      <c r="H375" s="11" t="n">
        <v>9661</v>
      </c>
      <c r="I375" s="4" t="n">
        <v>1460.75</v>
      </c>
      <c r="J375" s="13">
        <f>IF(I375&gt;0,H375/I375,"")</f>
        <v/>
      </c>
      <c r="K375" s="4">
        <f>IF(I375&lt;=0,"NO DEMAND",IF(H375=0,"STOCKOUT",IF(J375&lt;Config!$B$5,"CRITICAL",IF(J375&lt;Config!$B$6,"LOW",IF(J375&gt;Config!$B$7,"EXCESS","HEALTHY")))))</f>
        <v/>
      </c>
      <c r="L375" s="11" t="n">
        <v>110</v>
      </c>
      <c r="M375" s="11" t="n">
        <v>122</v>
      </c>
      <c r="N375" s="11">
        <f>H375*L375</f>
        <v/>
      </c>
      <c r="O375" s="11">
        <f>IF(I375&gt;0,I375*(M375-L375),0)</f>
        <v/>
      </c>
      <c r="P375" s="11" t="n">
        <v>0</v>
      </c>
    </row>
    <row r="376">
      <c r="A376" s="4" t="inlineStr">
        <is>
          <t>WH04</t>
        </is>
      </c>
      <c r="B376" s="4" t="inlineStr">
        <is>
          <t>Bhiwandi DC</t>
        </is>
      </c>
      <c r="C376" s="4" t="inlineStr">
        <is>
          <t>West</t>
        </is>
      </c>
      <c r="D376" s="4" t="inlineStr">
        <is>
          <t>SKU012</t>
        </is>
      </c>
      <c r="E376" s="4" t="inlineStr">
        <is>
          <t>Rajma 1kg</t>
        </is>
      </c>
      <c r="F376" s="4" t="inlineStr">
        <is>
          <t>Packaged Staples</t>
        </is>
      </c>
      <c r="G376" s="4" t="inlineStr">
        <is>
          <t>B</t>
        </is>
      </c>
      <c r="H376" s="11" t="n">
        <v>10306</v>
      </c>
      <c r="I376" s="4" t="n">
        <v>1679</v>
      </c>
      <c r="J376" s="13">
        <f>IF(I376&gt;0,H376/I376,"")</f>
        <v/>
      </c>
      <c r="K376" s="4">
        <f>IF(I376&lt;=0,"NO DEMAND",IF(H376=0,"STOCKOUT",IF(J376&lt;Config!$B$5,"CRITICAL",IF(J376&lt;Config!$B$6,"LOW",IF(J376&gt;Config!$B$7,"EXCESS","HEALTHY")))))</f>
        <v/>
      </c>
      <c r="L376" s="11" t="n">
        <v>45</v>
      </c>
      <c r="M376" s="11" t="n">
        <v>50</v>
      </c>
      <c r="N376" s="11">
        <f>H376*L376</f>
        <v/>
      </c>
      <c r="O376" s="11">
        <f>IF(I376&gt;0,I376*(M376-L376),0)</f>
        <v/>
      </c>
      <c r="P376" s="11" t="n">
        <v>0</v>
      </c>
    </row>
    <row r="377">
      <c r="A377" s="4" t="inlineStr">
        <is>
          <t>WH04</t>
        </is>
      </c>
      <c r="B377" s="4" t="inlineStr">
        <is>
          <t>Bhiwandi DC</t>
        </is>
      </c>
      <c r="C377" s="4" t="inlineStr">
        <is>
          <t>West</t>
        </is>
      </c>
      <c r="D377" s="4" t="inlineStr">
        <is>
          <t>SKU013</t>
        </is>
      </c>
      <c r="E377" s="4" t="inlineStr">
        <is>
          <t>Jaggery 1kg</t>
        </is>
      </c>
      <c r="F377" s="4" t="inlineStr">
        <is>
          <t>Packaged Staples</t>
        </is>
      </c>
      <c r="G377" s="4" t="inlineStr">
        <is>
          <t>A</t>
        </is>
      </c>
      <c r="H377" s="11" t="n">
        <v>3417</v>
      </c>
      <c r="I377" s="4" t="n">
        <v>1911.5</v>
      </c>
      <c r="J377" s="13">
        <f>IF(I377&gt;0,H377/I377,"")</f>
        <v/>
      </c>
      <c r="K377" s="4">
        <f>IF(I377&lt;=0,"NO DEMAND",IF(H377=0,"STOCKOUT",IF(J377&lt;Config!$B$5,"CRITICAL",IF(J377&lt;Config!$B$6,"LOW",IF(J377&gt;Config!$B$7,"EXCESS","HEALTHY")))))</f>
        <v/>
      </c>
      <c r="L377" s="11" t="n">
        <v>125</v>
      </c>
      <c r="M377" s="11" t="n">
        <v>140</v>
      </c>
      <c r="N377" s="11">
        <f>H377*L377</f>
        <v/>
      </c>
      <c r="O377" s="11">
        <f>IF(I377&gt;0,I377*(M377-L377),0)</f>
        <v/>
      </c>
      <c r="P377" s="11" t="n">
        <v>10908</v>
      </c>
    </row>
    <row r="378">
      <c r="A378" s="4" t="inlineStr">
        <is>
          <t>WH04</t>
        </is>
      </c>
      <c r="B378" s="4" t="inlineStr">
        <is>
          <t>Bhiwandi DC</t>
        </is>
      </c>
      <c r="C378" s="4" t="inlineStr">
        <is>
          <t>West</t>
        </is>
      </c>
      <c r="D378" s="4" t="inlineStr">
        <is>
          <t>SKU014</t>
        </is>
      </c>
      <c r="E378" s="4" t="inlineStr">
        <is>
          <t>Ghee 500ml</t>
        </is>
      </c>
      <c r="F378" s="4" t="inlineStr">
        <is>
          <t>Packaged Staples</t>
        </is>
      </c>
      <c r="G378" s="4" t="inlineStr">
        <is>
          <t>A</t>
        </is>
      </c>
      <c r="H378" s="11" t="n">
        <v>8296</v>
      </c>
      <c r="I378" s="4" t="n">
        <v>1098.5</v>
      </c>
      <c r="J378" s="13">
        <f>IF(I378&gt;0,H378/I378,"")</f>
        <v/>
      </c>
      <c r="K378" s="4">
        <f>IF(I378&lt;=0,"NO DEMAND",IF(H378=0,"STOCKOUT",IF(J378&lt;Config!$B$5,"CRITICAL",IF(J378&lt;Config!$B$6,"LOW",IF(J378&gt;Config!$B$7,"EXCESS","HEALTHY")))))</f>
        <v/>
      </c>
      <c r="L378" s="11" t="n">
        <v>240</v>
      </c>
      <c r="M378" s="11" t="n">
        <v>270</v>
      </c>
      <c r="N378" s="11">
        <f>H378*L378</f>
        <v/>
      </c>
      <c r="O378" s="11">
        <f>IF(I378&gt;0,I378*(M378-L378),0)</f>
        <v/>
      </c>
      <c r="P378" s="11" t="n">
        <v>0</v>
      </c>
    </row>
    <row r="379">
      <c r="A379" s="4" t="inlineStr">
        <is>
          <t>WH04</t>
        </is>
      </c>
      <c r="B379" s="4" t="inlineStr">
        <is>
          <t>Bhiwandi DC</t>
        </is>
      </c>
      <c r="C379" s="4" t="inlineStr">
        <is>
          <t>West</t>
        </is>
      </c>
      <c r="D379" s="4" t="inlineStr">
        <is>
          <t>SKU015</t>
        </is>
      </c>
      <c r="E379" s="4" t="inlineStr">
        <is>
          <t>Suji 1kg</t>
        </is>
      </c>
      <c r="F379" s="4" t="inlineStr">
        <is>
          <t>Packaged Staples</t>
        </is>
      </c>
      <c r="G379" s="4" t="inlineStr">
        <is>
          <t>C</t>
        </is>
      </c>
      <c r="H379" s="11" t="n">
        <v>2986</v>
      </c>
      <c r="I379" s="4" t="n">
        <v>632.25</v>
      </c>
      <c r="J379" s="13">
        <f>IF(I379&gt;0,H379/I379,"")</f>
        <v/>
      </c>
      <c r="K379" s="4">
        <f>IF(I379&lt;=0,"NO DEMAND",IF(H379=0,"STOCKOUT",IF(J379&lt;Config!$B$5,"CRITICAL",IF(J379&lt;Config!$B$6,"LOW",IF(J379&gt;Config!$B$7,"EXCESS","HEALTHY")))))</f>
        <v/>
      </c>
      <c r="L379" s="11" t="n">
        <v>42</v>
      </c>
      <c r="M379" s="11" t="n">
        <v>47</v>
      </c>
      <c r="N379" s="11">
        <f>H379*L379</f>
        <v/>
      </c>
      <c r="O379" s="11">
        <f>IF(I379&gt;0,I379*(M379-L379),0)</f>
        <v/>
      </c>
      <c r="P379" s="11" t="n">
        <v>0</v>
      </c>
    </row>
    <row r="380">
      <c r="A380" s="4" t="inlineStr">
        <is>
          <t>WH04</t>
        </is>
      </c>
      <c r="B380" s="4" t="inlineStr">
        <is>
          <t>Bhiwandi DC</t>
        </is>
      </c>
      <c r="C380" s="4" t="inlineStr">
        <is>
          <t>West</t>
        </is>
      </c>
      <c r="D380" s="4" t="inlineStr">
        <is>
          <t>SKU016</t>
        </is>
      </c>
      <c r="E380" s="4" t="inlineStr">
        <is>
          <t>Cola 750ml</t>
        </is>
      </c>
      <c r="F380" s="4" t="inlineStr">
        <is>
          <t>Beverages</t>
        </is>
      </c>
      <c r="G380" s="4" t="inlineStr">
        <is>
          <t>C</t>
        </is>
      </c>
      <c r="H380" s="11" t="n">
        <v>2690</v>
      </c>
      <c r="I380" s="4" t="n">
        <v>709</v>
      </c>
      <c r="J380" s="13">
        <f>IF(I380&gt;0,H380/I380,"")</f>
        <v/>
      </c>
      <c r="K380" s="4">
        <f>IF(I380&lt;=0,"NO DEMAND",IF(H380=0,"STOCKOUT",IF(J380&lt;Config!$B$5,"CRITICAL",IF(J380&lt;Config!$B$6,"LOW",IF(J380&gt;Config!$B$7,"EXCESS","HEALTHY")))))</f>
        <v/>
      </c>
      <c r="L380" s="11" t="n">
        <v>41</v>
      </c>
      <c r="M380" s="11" t="n">
        <v>47</v>
      </c>
      <c r="N380" s="11">
        <f>H380*L380</f>
        <v/>
      </c>
      <c r="O380" s="11">
        <f>IF(I380&gt;0,I380*(M380-L380),0)</f>
        <v/>
      </c>
      <c r="P380" s="11" t="n">
        <v>4056</v>
      </c>
    </row>
    <row r="381">
      <c r="A381" s="4" t="inlineStr">
        <is>
          <t>WH04</t>
        </is>
      </c>
      <c r="B381" s="4" t="inlineStr">
        <is>
          <t>Bhiwandi DC</t>
        </is>
      </c>
      <c r="C381" s="4" t="inlineStr">
        <is>
          <t>West</t>
        </is>
      </c>
      <c r="D381" s="4" t="inlineStr">
        <is>
          <t>SKU017</t>
        </is>
      </c>
      <c r="E381" s="4" t="inlineStr">
        <is>
          <t>Lemon Soda 600ml</t>
        </is>
      </c>
      <c r="F381" s="4" t="inlineStr">
        <is>
          <t>Beverages</t>
        </is>
      </c>
      <c r="G381" s="4" t="inlineStr">
        <is>
          <t>B</t>
        </is>
      </c>
      <c r="H381" s="11" t="n">
        <v>18520</v>
      </c>
      <c r="I381" s="4" t="n">
        <v>1718.75</v>
      </c>
      <c r="J381" s="13">
        <f>IF(I381&gt;0,H381/I381,"")</f>
        <v/>
      </c>
      <c r="K381" s="4">
        <f>IF(I381&lt;=0,"NO DEMAND",IF(H381=0,"STOCKOUT",IF(J381&lt;Config!$B$5,"CRITICAL",IF(J381&lt;Config!$B$6,"LOW",IF(J381&gt;Config!$B$7,"EXCESS","HEALTHY")))))</f>
        <v/>
      </c>
      <c r="L381" s="11" t="n">
        <v>42</v>
      </c>
      <c r="M381" s="11" t="n">
        <v>50</v>
      </c>
      <c r="N381" s="11">
        <f>H381*L381</f>
        <v/>
      </c>
      <c r="O381" s="11">
        <f>IF(I381&gt;0,I381*(M381-L381),0)</f>
        <v/>
      </c>
      <c r="P381" s="11" t="n">
        <v>0</v>
      </c>
    </row>
    <row r="382">
      <c r="A382" s="4" t="inlineStr">
        <is>
          <t>WH04</t>
        </is>
      </c>
      <c r="B382" s="4" t="inlineStr">
        <is>
          <t>Bhiwandi DC</t>
        </is>
      </c>
      <c r="C382" s="4" t="inlineStr">
        <is>
          <t>West</t>
        </is>
      </c>
      <c r="D382" s="4" t="inlineStr">
        <is>
          <t>SKU018</t>
        </is>
      </c>
      <c r="E382" s="4" t="inlineStr">
        <is>
          <t>Mango Drink 1L</t>
        </is>
      </c>
      <c r="F382" s="4" t="inlineStr">
        <is>
          <t>Beverages</t>
        </is>
      </c>
      <c r="G382" s="4" t="inlineStr">
        <is>
          <t>A</t>
        </is>
      </c>
      <c r="H382" s="11" t="n">
        <v>21699</v>
      </c>
      <c r="I382" s="4" t="n">
        <v>3568.75</v>
      </c>
      <c r="J382" s="13">
        <f>IF(I382&gt;0,H382/I382,"")</f>
        <v/>
      </c>
      <c r="K382" s="4">
        <f>IF(I382&lt;=0,"NO DEMAND",IF(H382=0,"STOCKOUT",IF(J382&lt;Config!$B$5,"CRITICAL",IF(J382&lt;Config!$B$6,"LOW",IF(J382&gt;Config!$B$7,"EXCESS","HEALTHY")))))</f>
        <v/>
      </c>
      <c r="L382" s="11" t="n">
        <v>101</v>
      </c>
      <c r="M382" s="11" t="n">
        <v>117</v>
      </c>
      <c r="N382" s="11">
        <f>H382*L382</f>
        <v/>
      </c>
      <c r="O382" s="11">
        <f>IF(I382&gt;0,I382*(M382-L382),0)</f>
        <v/>
      </c>
      <c r="P382" s="11" t="n">
        <v>0</v>
      </c>
    </row>
    <row r="383">
      <c r="A383" s="4" t="inlineStr">
        <is>
          <t>WH04</t>
        </is>
      </c>
      <c r="B383" s="4" t="inlineStr">
        <is>
          <t>Bhiwandi DC</t>
        </is>
      </c>
      <c r="C383" s="4" t="inlineStr">
        <is>
          <t>West</t>
        </is>
      </c>
      <c r="D383" s="4" t="inlineStr">
        <is>
          <t>SKU019</t>
        </is>
      </c>
      <c r="E383" s="4" t="inlineStr">
        <is>
          <t>Packaged Water 1L</t>
        </is>
      </c>
      <c r="F383" s="4" t="inlineStr">
        <is>
          <t>Beverages</t>
        </is>
      </c>
      <c r="G383" s="4" t="inlineStr">
        <is>
          <t>A</t>
        </is>
      </c>
      <c r="H383" s="11" t="n">
        <v>2163</v>
      </c>
      <c r="I383" s="4" t="n">
        <v>2067.75</v>
      </c>
      <c r="J383" s="13">
        <f>IF(I383&gt;0,H383/I383,"")</f>
        <v/>
      </c>
      <c r="K383" s="4">
        <f>IF(I383&lt;=0,"NO DEMAND",IF(H383=0,"STOCKOUT",IF(J383&lt;Config!$B$5,"CRITICAL",IF(J383&lt;Config!$B$6,"LOW",IF(J383&gt;Config!$B$7,"EXCESS","HEALTHY")))))</f>
        <v/>
      </c>
      <c r="L383" s="11" t="n">
        <v>57</v>
      </c>
      <c r="M383" s="11" t="n">
        <v>68</v>
      </c>
      <c r="N383" s="11">
        <f>H383*L383</f>
        <v/>
      </c>
      <c r="O383" s="11">
        <f>IF(I383&gt;0,I383*(M383-L383),0)</f>
        <v/>
      </c>
      <c r="P383" s="11" t="n">
        <v>13248</v>
      </c>
    </row>
    <row r="384">
      <c r="A384" s="4" t="inlineStr">
        <is>
          <t>WH04</t>
        </is>
      </c>
      <c r="B384" s="4" t="inlineStr">
        <is>
          <t>Bhiwandi DC</t>
        </is>
      </c>
      <c r="C384" s="4" t="inlineStr">
        <is>
          <t>West</t>
        </is>
      </c>
      <c r="D384" s="4" t="inlineStr">
        <is>
          <t>SKU020</t>
        </is>
      </c>
      <c r="E384" s="4" t="inlineStr">
        <is>
          <t>Energy Drink 250ml</t>
        </is>
      </c>
      <c r="F384" s="4" t="inlineStr">
        <is>
          <t>Beverages</t>
        </is>
      </c>
      <c r="G384" s="4" t="inlineStr">
        <is>
          <t>B</t>
        </is>
      </c>
      <c r="H384" s="11" t="n">
        <v>14938</v>
      </c>
      <c r="I384" s="4" t="n">
        <v>2918.75</v>
      </c>
      <c r="J384" s="13">
        <f>IF(I384&gt;0,H384/I384,"")</f>
        <v/>
      </c>
      <c r="K384" s="4">
        <f>IF(I384&lt;=0,"NO DEMAND",IF(H384=0,"STOCKOUT",IF(J384&lt;Config!$B$5,"CRITICAL",IF(J384&lt;Config!$B$6,"LOW",IF(J384&gt;Config!$B$7,"EXCESS","HEALTHY")))))</f>
        <v/>
      </c>
      <c r="L384" s="11" t="n">
        <v>24</v>
      </c>
      <c r="M384" s="11" t="n">
        <v>28</v>
      </c>
      <c r="N384" s="11">
        <f>H384*L384</f>
        <v/>
      </c>
      <c r="O384" s="11">
        <f>IF(I384&gt;0,I384*(M384-L384),0)</f>
        <v/>
      </c>
      <c r="P384" s="11" t="n">
        <v>0</v>
      </c>
    </row>
    <row r="385">
      <c r="A385" s="4" t="inlineStr">
        <is>
          <t>WH04</t>
        </is>
      </c>
      <c r="B385" s="4" t="inlineStr">
        <is>
          <t>Bhiwandi DC</t>
        </is>
      </c>
      <c r="C385" s="4" t="inlineStr">
        <is>
          <t>West</t>
        </is>
      </c>
      <c r="D385" s="4" t="inlineStr">
        <is>
          <t>SKU021</t>
        </is>
      </c>
      <c r="E385" s="4" t="inlineStr">
        <is>
          <t>Fruit Juice 1L</t>
        </is>
      </c>
      <c r="F385" s="4" t="inlineStr">
        <is>
          <t>Beverages</t>
        </is>
      </c>
      <c r="G385" s="4" t="inlineStr">
        <is>
          <t>A</t>
        </is>
      </c>
      <c r="H385" s="11" t="n">
        <v>7676</v>
      </c>
      <c r="I385" s="4" t="n">
        <v>975.75</v>
      </c>
      <c r="J385" s="13">
        <f>IF(I385&gt;0,H385/I385,"")</f>
        <v/>
      </c>
      <c r="K385" s="4">
        <f>IF(I385&lt;=0,"NO DEMAND",IF(H385=0,"STOCKOUT",IF(J385&lt;Config!$B$5,"CRITICAL",IF(J385&lt;Config!$B$6,"LOW",IF(J385&gt;Config!$B$7,"EXCESS","HEALTHY")))))</f>
        <v/>
      </c>
      <c r="L385" s="11" t="n">
        <v>54</v>
      </c>
      <c r="M385" s="11" t="n">
        <v>63</v>
      </c>
      <c r="N385" s="11">
        <f>H385*L385</f>
        <v/>
      </c>
      <c r="O385" s="11">
        <f>IF(I385&gt;0,I385*(M385-L385),0)</f>
        <v/>
      </c>
      <c r="P385" s="11" t="n">
        <v>0</v>
      </c>
    </row>
    <row r="386">
      <c r="A386" s="4" t="inlineStr">
        <is>
          <t>WH04</t>
        </is>
      </c>
      <c r="B386" s="4" t="inlineStr">
        <is>
          <t>Bhiwandi DC</t>
        </is>
      </c>
      <c r="C386" s="4" t="inlineStr">
        <is>
          <t>West</t>
        </is>
      </c>
      <c r="D386" s="4" t="inlineStr">
        <is>
          <t>SKU022</t>
        </is>
      </c>
      <c r="E386" s="4" t="inlineStr">
        <is>
          <t>Iced Tea 500ml</t>
        </is>
      </c>
      <c r="F386" s="4" t="inlineStr">
        <is>
          <t>Beverages</t>
        </is>
      </c>
      <c r="G386" s="4" t="inlineStr">
        <is>
          <t>A</t>
        </is>
      </c>
      <c r="H386" s="11" t="n">
        <v>8065</v>
      </c>
      <c r="I386" s="4" t="n">
        <v>1777</v>
      </c>
      <c r="J386" s="13">
        <f>IF(I386&gt;0,H386/I386,"")</f>
        <v/>
      </c>
      <c r="K386" s="4">
        <f>IF(I386&lt;=0,"NO DEMAND",IF(H386=0,"STOCKOUT",IF(J386&lt;Config!$B$5,"CRITICAL",IF(J386&lt;Config!$B$6,"LOW",IF(J386&gt;Config!$B$7,"EXCESS","HEALTHY")))))</f>
        <v/>
      </c>
      <c r="L386" s="11" t="n">
        <v>53</v>
      </c>
      <c r="M386" s="11" t="n">
        <v>64</v>
      </c>
      <c r="N386" s="11">
        <f>H386*L386</f>
        <v/>
      </c>
      <c r="O386" s="11">
        <f>IF(I386&gt;0,I386*(M386-L386),0)</f>
        <v/>
      </c>
      <c r="P386" s="11" t="n">
        <v>0</v>
      </c>
    </row>
    <row r="387">
      <c r="A387" s="4" t="inlineStr">
        <is>
          <t>WH04</t>
        </is>
      </c>
      <c r="B387" s="4" t="inlineStr">
        <is>
          <t>Bhiwandi DC</t>
        </is>
      </c>
      <c r="C387" s="4" t="inlineStr">
        <is>
          <t>West</t>
        </is>
      </c>
      <c r="D387" s="4" t="inlineStr">
        <is>
          <t>SKU023</t>
        </is>
      </c>
      <c r="E387" s="4" t="inlineStr">
        <is>
          <t>Coconut Water 200ml</t>
        </is>
      </c>
      <c r="F387" s="4" t="inlineStr">
        <is>
          <t>Beverages</t>
        </is>
      </c>
      <c r="G387" s="4" t="inlineStr">
        <is>
          <t>A</t>
        </is>
      </c>
      <c r="H387" s="11" t="n">
        <v>15344</v>
      </c>
      <c r="I387" s="4" t="n">
        <v>2048</v>
      </c>
      <c r="J387" s="13">
        <f>IF(I387&gt;0,H387/I387,"")</f>
        <v/>
      </c>
      <c r="K387" s="4">
        <f>IF(I387&lt;=0,"NO DEMAND",IF(H387=0,"STOCKOUT",IF(J387&lt;Config!$B$5,"CRITICAL",IF(J387&lt;Config!$B$6,"LOW",IF(J387&gt;Config!$B$7,"EXCESS","HEALTHY")))))</f>
        <v/>
      </c>
      <c r="L387" s="11" t="n">
        <v>59</v>
      </c>
      <c r="M387" s="11" t="n">
        <v>69</v>
      </c>
      <c r="N387" s="11">
        <f>H387*L387</f>
        <v/>
      </c>
      <c r="O387" s="11">
        <f>IF(I387&gt;0,I387*(M387-L387),0)</f>
        <v/>
      </c>
      <c r="P387" s="11" t="n">
        <v>0</v>
      </c>
    </row>
    <row r="388">
      <c r="A388" s="4" t="inlineStr">
        <is>
          <t>WH04</t>
        </is>
      </c>
      <c r="B388" s="4" t="inlineStr">
        <is>
          <t>Bhiwandi DC</t>
        </is>
      </c>
      <c r="C388" s="4" t="inlineStr">
        <is>
          <t>West</t>
        </is>
      </c>
      <c r="D388" s="4" t="inlineStr">
        <is>
          <t>SKU024</t>
        </is>
      </c>
      <c r="E388" s="4" t="inlineStr">
        <is>
          <t>Instant Coffee 100g</t>
        </is>
      </c>
      <c r="F388" s="4" t="inlineStr">
        <is>
          <t>Beverages</t>
        </is>
      </c>
      <c r="G388" s="4" t="inlineStr">
        <is>
          <t>C</t>
        </is>
      </c>
      <c r="H388" s="11" t="n">
        <v>6057</v>
      </c>
      <c r="I388" s="4" t="n">
        <v>980.25</v>
      </c>
      <c r="J388" s="13">
        <f>IF(I388&gt;0,H388/I388,"")</f>
        <v/>
      </c>
      <c r="K388" s="4">
        <f>IF(I388&lt;=0,"NO DEMAND",IF(H388=0,"STOCKOUT",IF(J388&lt;Config!$B$5,"CRITICAL",IF(J388&lt;Config!$B$6,"LOW",IF(J388&gt;Config!$B$7,"EXCESS","HEALTHY")))))</f>
        <v/>
      </c>
      <c r="L388" s="11" t="n">
        <v>27</v>
      </c>
      <c r="M388" s="11" t="n">
        <v>31</v>
      </c>
      <c r="N388" s="11">
        <f>H388*L388</f>
        <v/>
      </c>
      <c r="O388" s="11">
        <f>IF(I388&gt;0,I388*(M388-L388),0)</f>
        <v/>
      </c>
      <c r="P388" s="11" t="n">
        <v>0</v>
      </c>
    </row>
    <row r="389">
      <c r="A389" s="4" t="inlineStr">
        <is>
          <t>WH04</t>
        </is>
      </c>
      <c r="B389" s="4" t="inlineStr">
        <is>
          <t>Bhiwandi DC</t>
        </is>
      </c>
      <c r="C389" s="4" t="inlineStr">
        <is>
          <t>West</t>
        </is>
      </c>
      <c r="D389" s="4" t="inlineStr">
        <is>
          <t>SKU025</t>
        </is>
      </c>
      <c r="E389" s="4" t="inlineStr">
        <is>
          <t>Tea Bags 100pk</t>
        </is>
      </c>
      <c r="F389" s="4" t="inlineStr">
        <is>
          <t>Beverages</t>
        </is>
      </c>
      <c r="G389" s="4" t="inlineStr">
        <is>
          <t>C</t>
        </is>
      </c>
      <c r="H389" s="11" t="n">
        <v>7843</v>
      </c>
      <c r="I389" s="4" t="n">
        <v>1332</v>
      </c>
      <c r="J389" s="13">
        <f>IF(I389&gt;0,H389/I389,"")</f>
        <v/>
      </c>
      <c r="K389" s="4">
        <f>IF(I389&lt;=0,"NO DEMAND",IF(H389=0,"STOCKOUT",IF(J389&lt;Config!$B$5,"CRITICAL",IF(J389&lt;Config!$B$6,"LOW",IF(J389&gt;Config!$B$7,"EXCESS","HEALTHY")))))</f>
        <v/>
      </c>
      <c r="L389" s="11" t="n">
        <v>24</v>
      </c>
      <c r="M389" s="11" t="n">
        <v>28</v>
      </c>
      <c r="N389" s="11">
        <f>H389*L389</f>
        <v/>
      </c>
      <c r="O389" s="11">
        <f>IF(I389&gt;0,I389*(M389-L389),0)</f>
        <v/>
      </c>
      <c r="P389" s="11" t="n">
        <v>0</v>
      </c>
    </row>
    <row r="390">
      <c r="A390" s="4" t="inlineStr">
        <is>
          <t>WH04</t>
        </is>
      </c>
      <c r="B390" s="4" t="inlineStr">
        <is>
          <t>Bhiwandi DC</t>
        </is>
      </c>
      <c r="C390" s="4" t="inlineStr">
        <is>
          <t>West</t>
        </is>
      </c>
      <c r="D390" s="4" t="inlineStr">
        <is>
          <t>SKU026</t>
        </is>
      </c>
      <c r="E390" s="4" t="inlineStr">
        <is>
          <t>Buttermilk 200ml</t>
        </is>
      </c>
      <c r="F390" s="4" t="inlineStr">
        <is>
          <t>Beverages</t>
        </is>
      </c>
      <c r="G390" s="4" t="inlineStr">
        <is>
          <t>B</t>
        </is>
      </c>
      <c r="H390" s="11" t="n">
        <v>9315</v>
      </c>
      <c r="I390" s="4" t="n">
        <v>1703</v>
      </c>
      <c r="J390" s="13">
        <f>IF(I390&gt;0,H390/I390,"")</f>
        <v/>
      </c>
      <c r="K390" s="4">
        <f>IF(I390&lt;=0,"NO DEMAND",IF(H390=0,"STOCKOUT",IF(J390&lt;Config!$B$5,"CRITICAL",IF(J390&lt;Config!$B$6,"LOW",IF(J390&gt;Config!$B$7,"EXCESS","HEALTHY")))))</f>
        <v/>
      </c>
      <c r="L390" s="11" t="n">
        <v>31</v>
      </c>
      <c r="M390" s="11" t="n">
        <v>36</v>
      </c>
      <c r="N390" s="11">
        <f>H390*L390</f>
        <v/>
      </c>
      <c r="O390" s="11">
        <f>IF(I390&gt;0,I390*(M390-L390),0)</f>
        <v/>
      </c>
      <c r="P390" s="11" t="n">
        <v>0</v>
      </c>
    </row>
    <row r="391">
      <c r="A391" s="4" t="inlineStr">
        <is>
          <t>WH04</t>
        </is>
      </c>
      <c r="B391" s="4" t="inlineStr">
        <is>
          <t>Bhiwandi DC</t>
        </is>
      </c>
      <c r="C391" s="4" t="inlineStr">
        <is>
          <t>West</t>
        </is>
      </c>
      <c r="D391" s="4" t="inlineStr">
        <is>
          <t>SKU027</t>
        </is>
      </c>
      <c r="E391" s="4" t="inlineStr">
        <is>
          <t>Lassi 200ml</t>
        </is>
      </c>
      <c r="F391" s="4" t="inlineStr">
        <is>
          <t>Beverages</t>
        </is>
      </c>
      <c r="G391" s="4" t="inlineStr">
        <is>
          <t>A</t>
        </is>
      </c>
      <c r="H391" s="11" t="n">
        <v>8383</v>
      </c>
      <c r="I391" s="4" t="n">
        <v>1553.5</v>
      </c>
      <c r="J391" s="13">
        <f>IF(I391&gt;0,H391/I391,"")</f>
        <v/>
      </c>
      <c r="K391" s="4">
        <f>IF(I391&lt;=0,"NO DEMAND",IF(H391=0,"STOCKOUT",IF(J391&lt;Config!$B$5,"CRITICAL",IF(J391&lt;Config!$B$6,"LOW",IF(J391&gt;Config!$B$7,"EXCESS","HEALTHY")))))</f>
        <v/>
      </c>
      <c r="L391" s="11" t="n">
        <v>60</v>
      </c>
      <c r="M391" s="11" t="n">
        <v>72</v>
      </c>
      <c r="N391" s="11">
        <f>H391*L391</f>
        <v/>
      </c>
      <c r="O391" s="11">
        <f>IF(I391&gt;0,I391*(M391-L391),0)</f>
        <v/>
      </c>
      <c r="P391" s="11" t="n">
        <v>0</v>
      </c>
    </row>
    <row r="392">
      <c r="A392" s="4" t="inlineStr">
        <is>
          <t>WH04</t>
        </is>
      </c>
      <c r="B392" s="4" t="inlineStr">
        <is>
          <t>Bhiwandi DC</t>
        </is>
      </c>
      <c r="C392" s="4" t="inlineStr">
        <is>
          <t>West</t>
        </is>
      </c>
      <c r="D392" s="4" t="inlineStr">
        <is>
          <t>SKU028</t>
        </is>
      </c>
      <c r="E392" s="4" t="inlineStr">
        <is>
          <t>Sports Drink 500ml</t>
        </is>
      </c>
      <c r="F392" s="4" t="inlineStr">
        <is>
          <t>Beverages</t>
        </is>
      </c>
      <c r="G392" s="4" t="inlineStr">
        <is>
          <t>A</t>
        </is>
      </c>
      <c r="H392" s="11" t="n">
        <v>5791</v>
      </c>
      <c r="I392" s="4" t="n">
        <v>1569.5</v>
      </c>
      <c r="J392" s="13">
        <f>IF(I392&gt;0,H392/I392,"")</f>
        <v/>
      </c>
      <c r="K392" s="4">
        <f>IF(I392&lt;=0,"NO DEMAND",IF(H392=0,"STOCKOUT",IF(J392&lt;Config!$B$5,"CRITICAL",IF(J392&lt;Config!$B$6,"LOW",IF(J392&gt;Config!$B$7,"EXCESS","HEALTHY")))))</f>
        <v/>
      </c>
      <c r="L392" s="11" t="n">
        <v>110</v>
      </c>
      <c r="M392" s="11" t="n">
        <v>131</v>
      </c>
      <c r="N392" s="11">
        <f>H392*L392</f>
        <v/>
      </c>
      <c r="O392" s="11">
        <f>IF(I392&gt;0,I392*(M392-L392),0)</f>
        <v/>
      </c>
      <c r="P392" s="11" t="n">
        <v>0</v>
      </c>
    </row>
    <row r="393">
      <c r="A393" s="4" t="inlineStr">
        <is>
          <t>WH04</t>
        </is>
      </c>
      <c r="B393" s="4" t="inlineStr">
        <is>
          <t>Bhiwandi DC</t>
        </is>
      </c>
      <c r="C393" s="4" t="inlineStr">
        <is>
          <t>West</t>
        </is>
      </c>
      <c r="D393" s="4" t="inlineStr">
        <is>
          <t>SKU029</t>
        </is>
      </c>
      <c r="E393" s="4" t="inlineStr">
        <is>
          <t>Tonic Water 300ml</t>
        </is>
      </c>
      <c r="F393" s="4" t="inlineStr">
        <is>
          <t>Beverages</t>
        </is>
      </c>
      <c r="G393" s="4" t="inlineStr">
        <is>
          <t>B</t>
        </is>
      </c>
      <c r="H393" s="11" t="n">
        <v>15235</v>
      </c>
      <c r="I393" s="4" t="n">
        <v>2500.75</v>
      </c>
      <c r="J393" s="13">
        <f>IF(I393&gt;0,H393/I393,"")</f>
        <v/>
      </c>
      <c r="K393" s="4">
        <f>IF(I393&lt;=0,"NO DEMAND",IF(H393=0,"STOCKOUT",IF(J393&lt;Config!$B$5,"CRITICAL",IF(J393&lt;Config!$B$6,"LOW",IF(J393&gt;Config!$B$7,"EXCESS","HEALTHY")))))</f>
        <v/>
      </c>
      <c r="L393" s="11" t="n">
        <v>23</v>
      </c>
      <c r="M393" s="11" t="n">
        <v>27</v>
      </c>
      <c r="N393" s="11">
        <f>H393*L393</f>
        <v/>
      </c>
      <c r="O393" s="11">
        <f>IF(I393&gt;0,I393*(M393-L393),0)</f>
        <v/>
      </c>
      <c r="P393" s="11" t="n">
        <v>0</v>
      </c>
    </row>
    <row r="394">
      <c r="A394" s="4" t="inlineStr">
        <is>
          <t>WH04</t>
        </is>
      </c>
      <c r="B394" s="4" t="inlineStr">
        <is>
          <t>Bhiwandi DC</t>
        </is>
      </c>
      <c r="C394" s="4" t="inlineStr">
        <is>
          <t>West</t>
        </is>
      </c>
      <c r="D394" s="4" t="inlineStr">
        <is>
          <t>SKU030</t>
        </is>
      </c>
      <c r="E394" s="4" t="inlineStr">
        <is>
          <t>Malt Drink 500g</t>
        </is>
      </c>
      <c r="F394" s="4" t="inlineStr">
        <is>
          <t>Beverages</t>
        </is>
      </c>
      <c r="G394" s="4" t="inlineStr">
        <is>
          <t>C</t>
        </is>
      </c>
      <c r="H394" s="11" t="n">
        <v>7239</v>
      </c>
      <c r="I394" s="4" t="n">
        <v>894</v>
      </c>
      <c r="J394" s="13">
        <f>IF(I394&gt;0,H394/I394,"")</f>
        <v/>
      </c>
      <c r="K394" s="4">
        <f>IF(I394&lt;=0,"NO DEMAND",IF(H394=0,"STOCKOUT",IF(J394&lt;Config!$B$5,"CRITICAL",IF(J394&lt;Config!$B$6,"LOW",IF(J394&gt;Config!$B$7,"EXCESS","HEALTHY")))))</f>
        <v/>
      </c>
      <c r="L394" s="11" t="n">
        <v>31</v>
      </c>
      <c r="M394" s="11" t="n">
        <v>37</v>
      </c>
      <c r="N394" s="11">
        <f>H394*L394</f>
        <v/>
      </c>
      <c r="O394" s="11">
        <f>IF(I394&gt;0,I394*(M394-L394),0)</f>
        <v/>
      </c>
      <c r="P394" s="11" t="n">
        <v>0</v>
      </c>
    </row>
    <row r="395">
      <c r="A395" s="4" t="inlineStr">
        <is>
          <t>WH04</t>
        </is>
      </c>
      <c r="B395" s="4" t="inlineStr">
        <is>
          <t>Bhiwandi DC</t>
        </is>
      </c>
      <c r="C395" s="4" t="inlineStr">
        <is>
          <t>West</t>
        </is>
      </c>
      <c r="D395" s="4" t="inlineStr">
        <is>
          <t>SKU031</t>
        </is>
      </c>
      <c r="E395" s="4" t="inlineStr">
        <is>
          <t>Potato Chips 90g</t>
        </is>
      </c>
      <c r="F395" s="4" t="inlineStr">
        <is>
          <t>Snacks &amp; Confectionery</t>
        </is>
      </c>
      <c r="G395" s="4" t="inlineStr">
        <is>
          <t>C</t>
        </is>
      </c>
      <c r="H395" s="11" t="n">
        <v>6043</v>
      </c>
      <c r="I395" s="4" t="n">
        <v>2145.5</v>
      </c>
      <c r="J395" s="13">
        <f>IF(I395&gt;0,H395/I395,"")</f>
        <v/>
      </c>
      <c r="K395" s="4">
        <f>IF(I395&lt;=0,"NO DEMAND",IF(H395=0,"STOCKOUT",IF(J395&lt;Config!$B$5,"CRITICAL",IF(J395&lt;Config!$B$6,"LOW",IF(J395&gt;Config!$B$7,"EXCESS","HEALTHY")))))</f>
        <v/>
      </c>
      <c r="L395" s="11" t="n">
        <v>13</v>
      </c>
      <c r="M395" s="11" t="n">
        <v>16</v>
      </c>
      <c r="N395" s="11">
        <f>H395*L395</f>
        <v/>
      </c>
      <c r="O395" s="11">
        <f>IF(I395&gt;0,I395*(M395-L395),0)</f>
        <v/>
      </c>
      <c r="P395" s="11" t="n">
        <v>0</v>
      </c>
    </row>
    <row r="396">
      <c r="A396" s="4" t="inlineStr">
        <is>
          <t>WH04</t>
        </is>
      </c>
      <c r="B396" s="4" t="inlineStr">
        <is>
          <t>Bhiwandi DC</t>
        </is>
      </c>
      <c r="C396" s="4" t="inlineStr">
        <is>
          <t>West</t>
        </is>
      </c>
      <c r="D396" s="4" t="inlineStr">
        <is>
          <t>SKU032</t>
        </is>
      </c>
      <c r="E396" s="4" t="inlineStr">
        <is>
          <t>Namkeen Mix 400g</t>
        </is>
      </c>
      <c r="F396" s="4" t="inlineStr">
        <is>
          <t>Snacks &amp; Confectionery</t>
        </is>
      </c>
      <c r="G396" s="4" t="inlineStr">
        <is>
          <t>C</t>
        </is>
      </c>
      <c r="H396" s="11" t="n">
        <v>3419</v>
      </c>
      <c r="I396" s="4" t="n">
        <v>1168.5</v>
      </c>
      <c r="J396" s="13">
        <f>IF(I396&gt;0,H396/I396,"")</f>
        <v/>
      </c>
      <c r="K396" s="4">
        <f>IF(I396&lt;=0,"NO DEMAND",IF(H396=0,"STOCKOUT",IF(J396&lt;Config!$B$5,"CRITICAL",IF(J396&lt;Config!$B$6,"LOW",IF(J396&gt;Config!$B$7,"EXCESS","HEALTHY")))))</f>
        <v/>
      </c>
      <c r="L396" s="11" t="n">
        <v>14</v>
      </c>
      <c r="M396" s="11" t="n">
        <v>17</v>
      </c>
      <c r="N396" s="11">
        <f>H396*L396</f>
        <v/>
      </c>
      <c r="O396" s="11">
        <f>IF(I396&gt;0,I396*(M396-L396),0)</f>
        <v/>
      </c>
      <c r="P396" s="11" t="n">
        <v>6396</v>
      </c>
    </row>
    <row r="397">
      <c r="A397" s="4" t="inlineStr">
        <is>
          <t>WH04</t>
        </is>
      </c>
      <c r="B397" s="4" t="inlineStr">
        <is>
          <t>Bhiwandi DC</t>
        </is>
      </c>
      <c r="C397" s="4" t="inlineStr">
        <is>
          <t>West</t>
        </is>
      </c>
      <c r="D397" s="4" t="inlineStr">
        <is>
          <t>SKU033</t>
        </is>
      </c>
      <c r="E397" s="4" t="inlineStr">
        <is>
          <t>Glucose Biscuits 300g</t>
        </is>
      </c>
      <c r="F397" s="4" t="inlineStr">
        <is>
          <t>Snacks &amp; Confectionery</t>
        </is>
      </c>
      <c r="G397" s="4" t="inlineStr">
        <is>
          <t>A</t>
        </is>
      </c>
      <c r="H397" s="11" t="n">
        <v>4722</v>
      </c>
      <c r="I397" s="4" t="n">
        <v>1609.5</v>
      </c>
      <c r="J397" s="13">
        <f>IF(I397&gt;0,H397/I397,"")</f>
        <v/>
      </c>
      <c r="K397" s="4">
        <f>IF(I397&lt;=0,"NO DEMAND",IF(H397=0,"STOCKOUT",IF(J397&lt;Config!$B$5,"CRITICAL",IF(J397&lt;Config!$B$6,"LOW",IF(J397&gt;Config!$B$7,"EXCESS","HEALTHY")))))</f>
        <v/>
      </c>
      <c r="L397" s="11" t="n">
        <v>119</v>
      </c>
      <c r="M397" s="11" t="n">
        <v>144</v>
      </c>
      <c r="N397" s="11">
        <f>H397*L397</f>
        <v/>
      </c>
      <c r="O397" s="11">
        <f>IF(I397&gt;0,I397*(M397-L397),0)</f>
        <v/>
      </c>
      <c r="P397" s="11" t="n">
        <v>11292</v>
      </c>
    </row>
    <row r="398">
      <c r="A398" s="4" t="inlineStr">
        <is>
          <t>WH04</t>
        </is>
      </c>
      <c r="B398" s="4" t="inlineStr">
        <is>
          <t>Bhiwandi DC</t>
        </is>
      </c>
      <c r="C398" s="4" t="inlineStr">
        <is>
          <t>West</t>
        </is>
      </c>
      <c r="D398" s="4" t="inlineStr">
        <is>
          <t>SKU034</t>
        </is>
      </c>
      <c r="E398" s="4" t="inlineStr">
        <is>
          <t>Cream Biscuits 120g</t>
        </is>
      </c>
      <c r="F398" s="4" t="inlineStr">
        <is>
          <t>Snacks &amp; Confectionery</t>
        </is>
      </c>
      <c r="G398" s="4" t="inlineStr">
        <is>
          <t>B</t>
        </is>
      </c>
      <c r="H398" s="11" t="n">
        <v>21992</v>
      </c>
      <c r="I398" s="4" t="n">
        <v>2507.5</v>
      </c>
      <c r="J398" s="13">
        <f>IF(I398&gt;0,H398/I398,"")</f>
        <v/>
      </c>
      <c r="K398" s="4">
        <f>IF(I398&lt;=0,"NO DEMAND",IF(H398=0,"STOCKOUT",IF(J398&lt;Config!$B$5,"CRITICAL",IF(J398&lt;Config!$B$6,"LOW",IF(J398&gt;Config!$B$7,"EXCESS","HEALTHY")))))</f>
        <v/>
      </c>
      <c r="L398" s="11" t="n">
        <v>61</v>
      </c>
      <c r="M398" s="11" t="n">
        <v>73</v>
      </c>
      <c r="N398" s="11">
        <f>H398*L398</f>
        <v/>
      </c>
      <c r="O398" s="11">
        <f>IF(I398&gt;0,I398*(M398-L398),0)</f>
        <v/>
      </c>
      <c r="P398" s="11" t="n">
        <v>0</v>
      </c>
    </row>
    <row r="399">
      <c r="A399" s="4" t="inlineStr">
        <is>
          <t>WH04</t>
        </is>
      </c>
      <c r="B399" s="4" t="inlineStr">
        <is>
          <t>Bhiwandi DC</t>
        </is>
      </c>
      <c r="C399" s="4" t="inlineStr">
        <is>
          <t>West</t>
        </is>
      </c>
      <c r="D399" s="4" t="inlineStr">
        <is>
          <t>SKU035</t>
        </is>
      </c>
      <c r="E399" s="4" t="inlineStr">
        <is>
          <t>Chocolate Bar 40g</t>
        </is>
      </c>
      <c r="F399" s="4" t="inlineStr">
        <is>
          <t>Snacks &amp; Confectionery</t>
        </is>
      </c>
      <c r="G399" s="4" t="inlineStr">
        <is>
          <t>C</t>
        </is>
      </c>
      <c r="H399" s="11" t="n">
        <v>14040</v>
      </c>
      <c r="I399" s="4" t="n">
        <v>1578</v>
      </c>
      <c r="J399" s="13">
        <f>IF(I399&gt;0,H399/I399,"")</f>
        <v/>
      </c>
      <c r="K399" s="4">
        <f>IF(I399&lt;=0,"NO DEMAND",IF(H399=0,"STOCKOUT",IF(J399&lt;Config!$B$5,"CRITICAL",IF(J399&lt;Config!$B$6,"LOW",IF(J399&gt;Config!$B$7,"EXCESS","HEALTHY")))))</f>
        <v/>
      </c>
      <c r="L399" s="11" t="n">
        <v>16</v>
      </c>
      <c r="M399" s="11" t="n">
        <v>20</v>
      </c>
      <c r="N399" s="11">
        <f>H399*L399</f>
        <v/>
      </c>
      <c r="O399" s="11">
        <f>IF(I399&gt;0,I399*(M399-L399),0)</f>
        <v/>
      </c>
      <c r="P399" s="11" t="n">
        <v>0</v>
      </c>
    </row>
    <row r="400">
      <c r="A400" s="4" t="inlineStr">
        <is>
          <t>WH04</t>
        </is>
      </c>
      <c r="B400" s="4" t="inlineStr">
        <is>
          <t>Bhiwandi DC</t>
        </is>
      </c>
      <c r="C400" s="4" t="inlineStr">
        <is>
          <t>West</t>
        </is>
      </c>
      <c r="D400" s="4" t="inlineStr">
        <is>
          <t>SKU036</t>
        </is>
      </c>
      <c r="E400" s="4" t="inlineStr">
        <is>
          <t>Instant Noodles 70g</t>
        </is>
      </c>
      <c r="F400" s="4" t="inlineStr">
        <is>
          <t>Snacks &amp; Confectionery</t>
        </is>
      </c>
      <c r="G400" s="4" t="inlineStr">
        <is>
          <t>C</t>
        </is>
      </c>
      <c r="H400" s="11" t="n">
        <v>6803</v>
      </c>
      <c r="I400" s="4" t="n">
        <v>1420.75</v>
      </c>
      <c r="J400" s="13">
        <f>IF(I400&gt;0,H400/I400,"")</f>
        <v/>
      </c>
      <c r="K400" s="4">
        <f>IF(I400&lt;=0,"NO DEMAND",IF(H400=0,"STOCKOUT",IF(J400&lt;Config!$B$5,"CRITICAL",IF(J400&lt;Config!$B$6,"LOW",IF(J400&gt;Config!$B$7,"EXCESS","HEALTHY")))))</f>
        <v/>
      </c>
      <c r="L400" s="11" t="n">
        <v>19</v>
      </c>
      <c r="M400" s="11" t="n">
        <v>24</v>
      </c>
      <c r="N400" s="11">
        <f>H400*L400</f>
        <v/>
      </c>
      <c r="O400" s="11">
        <f>IF(I400&gt;0,I400*(M400-L400),0)</f>
        <v/>
      </c>
      <c r="P400" s="11" t="n">
        <v>0</v>
      </c>
    </row>
    <row r="401">
      <c r="A401" s="4" t="inlineStr">
        <is>
          <t>WH04</t>
        </is>
      </c>
      <c r="B401" s="4" t="inlineStr">
        <is>
          <t>Bhiwandi DC</t>
        </is>
      </c>
      <c r="C401" s="4" t="inlineStr">
        <is>
          <t>West</t>
        </is>
      </c>
      <c r="D401" s="4" t="inlineStr">
        <is>
          <t>SKU037</t>
        </is>
      </c>
      <c r="E401" s="4" t="inlineStr">
        <is>
          <t>Popcorn 60g</t>
        </is>
      </c>
      <c r="F401" s="4" t="inlineStr">
        <is>
          <t>Snacks &amp; Confectionery</t>
        </is>
      </c>
      <c r="G401" s="4" t="inlineStr">
        <is>
          <t>A</t>
        </is>
      </c>
      <c r="H401" s="11" t="n">
        <v>13198</v>
      </c>
      <c r="I401" s="4" t="n">
        <v>1083.25</v>
      </c>
      <c r="J401" s="13">
        <f>IF(I401&gt;0,H401/I401,"")</f>
        <v/>
      </c>
      <c r="K401" s="4">
        <f>IF(I401&lt;=0,"NO DEMAND",IF(H401=0,"STOCKOUT",IF(J401&lt;Config!$B$5,"CRITICAL",IF(J401&lt;Config!$B$6,"LOW",IF(J401&gt;Config!$B$7,"EXCESS","HEALTHY")))))</f>
        <v/>
      </c>
      <c r="L401" s="11" t="n">
        <v>137</v>
      </c>
      <c r="M401" s="11" t="n">
        <v>163</v>
      </c>
      <c r="N401" s="11">
        <f>H401*L401</f>
        <v/>
      </c>
      <c r="O401" s="11">
        <f>IF(I401&gt;0,I401*(M401-L401),0)</f>
        <v/>
      </c>
      <c r="P401" s="11" t="n">
        <v>0</v>
      </c>
    </row>
    <row r="402">
      <c r="A402" s="4" t="inlineStr">
        <is>
          <t>WH04</t>
        </is>
      </c>
      <c r="B402" s="4" t="inlineStr">
        <is>
          <t>Bhiwandi DC</t>
        </is>
      </c>
      <c r="C402" s="4" t="inlineStr">
        <is>
          <t>West</t>
        </is>
      </c>
      <c r="D402" s="4" t="inlineStr">
        <is>
          <t>SKU038</t>
        </is>
      </c>
      <c r="E402" s="4" t="inlineStr">
        <is>
          <t>Peanut Chikki 200g</t>
        </is>
      </c>
      <c r="F402" s="4" t="inlineStr">
        <is>
          <t>Snacks &amp; Confectionery</t>
        </is>
      </c>
      <c r="G402" s="4" t="inlineStr">
        <is>
          <t>C</t>
        </is>
      </c>
      <c r="H402" s="11" t="n">
        <v>17446</v>
      </c>
      <c r="I402" s="4" t="n">
        <v>1653.25</v>
      </c>
      <c r="J402" s="13">
        <f>IF(I402&gt;0,H402/I402,"")</f>
        <v/>
      </c>
      <c r="K402" s="4">
        <f>IF(I402&lt;=0,"NO DEMAND",IF(H402=0,"STOCKOUT",IF(J402&lt;Config!$B$5,"CRITICAL",IF(J402&lt;Config!$B$6,"LOW",IF(J402&gt;Config!$B$7,"EXCESS","HEALTHY")))))</f>
        <v/>
      </c>
      <c r="L402" s="11" t="n">
        <v>18</v>
      </c>
      <c r="M402" s="11" t="n">
        <v>22</v>
      </c>
      <c r="N402" s="11">
        <f>H402*L402</f>
        <v/>
      </c>
      <c r="O402" s="11">
        <f>IF(I402&gt;0,I402*(M402-L402),0)</f>
        <v/>
      </c>
      <c r="P402" s="11" t="n">
        <v>0</v>
      </c>
    </row>
    <row r="403">
      <c r="A403" s="4" t="inlineStr">
        <is>
          <t>WH04</t>
        </is>
      </c>
      <c r="B403" s="4" t="inlineStr">
        <is>
          <t>Bhiwandi DC</t>
        </is>
      </c>
      <c r="C403" s="4" t="inlineStr">
        <is>
          <t>West</t>
        </is>
      </c>
      <c r="D403" s="4" t="inlineStr">
        <is>
          <t>SKU039</t>
        </is>
      </c>
      <c r="E403" s="4" t="inlineStr">
        <is>
          <t>Cookies 200g</t>
        </is>
      </c>
      <c r="F403" s="4" t="inlineStr">
        <is>
          <t>Snacks &amp; Confectionery</t>
        </is>
      </c>
      <c r="G403" s="4" t="inlineStr">
        <is>
          <t>A</t>
        </is>
      </c>
      <c r="H403" s="11" t="n">
        <v>13911</v>
      </c>
      <c r="I403" s="4" t="n">
        <v>2394.25</v>
      </c>
      <c r="J403" s="13">
        <f>IF(I403&gt;0,H403/I403,"")</f>
        <v/>
      </c>
      <c r="K403" s="4">
        <f>IF(I403&lt;=0,"NO DEMAND",IF(H403=0,"STOCKOUT",IF(J403&lt;Config!$B$5,"CRITICAL",IF(J403&lt;Config!$B$6,"LOW",IF(J403&gt;Config!$B$7,"EXCESS","HEALTHY")))))</f>
        <v/>
      </c>
      <c r="L403" s="11" t="n">
        <v>126</v>
      </c>
      <c r="M403" s="11" t="n">
        <v>150</v>
      </c>
      <c r="N403" s="11">
        <f>H403*L403</f>
        <v/>
      </c>
      <c r="O403" s="11">
        <f>IF(I403&gt;0,I403*(M403-L403),0)</f>
        <v/>
      </c>
      <c r="P403" s="11" t="n">
        <v>0</v>
      </c>
    </row>
    <row r="404">
      <c r="A404" s="4" t="inlineStr">
        <is>
          <t>WH04</t>
        </is>
      </c>
      <c r="B404" s="4" t="inlineStr">
        <is>
          <t>Bhiwandi DC</t>
        </is>
      </c>
      <c r="C404" s="4" t="inlineStr">
        <is>
          <t>West</t>
        </is>
      </c>
      <c r="D404" s="4" t="inlineStr">
        <is>
          <t>SKU040</t>
        </is>
      </c>
      <c r="E404" s="4" t="inlineStr">
        <is>
          <t>Wafers 75g</t>
        </is>
      </c>
      <c r="F404" s="4" t="inlineStr">
        <is>
          <t>Snacks &amp; Confectionery</t>
        </is>
      </c>
      <c r="G404" s="4" t="inlineStr">
        <is>
          <t>A</t>
        </is>
      </c>
      <c r="H404" s="11" t="n">
        <v>9136</v>
      </c>
      <c r="I404" s="4" t="n">
        <v>977.5</v>
      </c>
      <c r="J404" s="13">
        <f>IF(I404&gt;0,H404/I404,"")</f>
        <v/>
      </c>
      <c r="K404" s="4">
        <f>IF(I404&lt;=0,"NO DEMAND",IF(H404=0,"STOCKOUT",IF(J404&lt;Config!$B$5,"CRITICAL",IF(J404&lt;Config!$B$6,"LOW",IF(J404&gt;Config!$B$7,"EXCESS","HEALTHY")))))</f>
        <v/>
      </c>
      <c r="L404" s="11" t="n">
        <v>90</v>
      </c>
      <c r="M404" s="11" t="n">
        <v>109</v>
      </c>
      <c r="N404" s="11">
        <f>H404*L404</f>
        <v/>
      </c>
      <c r="O404" s="11">
        <f>IF(I404&gt;0,I404*(M404-L404),0)</f>
        <v/>
      </c>
      <c r="P404" s="11" t="n">
        <v>0</v>
      </c>
    </row>
    <row r="405">
      <c r="A405" s="4" t="inlineStr">
        <is>
          <t>WH04</t>
        </is>
      </c>
      <c r="B405" s="4" t="inlineStr">
        <is>
          <t>Bhiwandi DC</t>
        </is>
      </c>
      <c r="C405" s="4" t="inlineStr">
        <is>
          <t>West</t>
        </is>
      </c>
      <c r="D405" s="4" t="inlineStr">
        <is>
          <t>SKU041</t>
        </is>
      </c>
      <c r="E405" s="4" t="inlineStr">
        <is>
          <t>Mathri 250g</t>
        </is>
      </c>
      <c r="F405" s="4" t="inlineStr">
        <is>
          <t>Snacks &amp; Confectionery</t>
        </is>
      </c>
      <c r="G405" s="4" t="inlineStr">
        <is>
          <t>A</t>
        </is>
      </c>
      <c r="H405" s="11" t="n">
        <v>11387</v>
      </c>
      <c r="I405" s="4" t="n">
        <v>1903.5</v>
      </c>
      <c r="J405" s="13">
        <f>IF(I405&gt;0,H405/I405,"")</f>
        <v/>
      </c>
      <c r="K405" s="4">
        <f>IF(I405&lt;=0,"NO DEMAND",IF(H405=0,"STOCKOUT",IF(J405&lt;Config!$B$5,"CRITICAL",IF(J405&lt;Config!$B$6,"LOW",IF(J405&gt;Config!$B$7,"EXCESS","HEALTHY")))))</f>
        <v/>
      </c>
      <c r="L405" s="11" t="n">
        <v>100</v>
      </c>
      <c r="M405" s="11" t="n">
        <v>125</v>
      </c>
      <c r="N405" s="11">
        <f>H405*L405</f>
        <v/>
      </c>
      <c r="O405" s="11">
        <f>IF(I405&gt;0,I405*(M405-L405),0)</f>
        <v/>
      </c>
      <c r="P405" s="11" t="n">
        <v>0</v>
      </c>
    </row>
    <row r="406">
      <c r="A406" s="4" t="inlineStr">
        <is>
          <t>WH04</t>
        </is>
      </c>
      <c r="B406" s="4" t="inlineStr">
        <is>
          <t>Bhiwandi DC</t>
        </is>
      </c>
      <c r="C406" s="4" t="inlineStr">
        <is>
          <t>West</t>
        </is>
      </c>
      <c r="D406" s="4" t="inlineStr">
        <is>
          <t>SKU042</t>
        </is>
      </c>
      <c r="E406" s="4" t="inlineStr">
        <is>
          <t>Dry Fruit Mix 250g</t>
        </is>
      </c>
      <c r="F406" s="4" t="inlineStr">
        <is>
          <t>Snacks &amp; Confectionery</t>
        </is>
      </c>
      <c r="G406" s="4" t="inlineStr">
        <is>
          <t>A</t>
        </is>
      </c>
      <c r="H406" s="11" t="n">
        <v>14774</v>
      </c>
      <c r="I406" s="4" t="n">
        <v>3151.75</v>
      </c>
      <c r="J406" s="13">
        <f>IF(I406&gt;0,H406/I406,"")</f>
        <v/>
      </c>
      <c r="K406" s="4">
        <f>IF(I406&lt;=0,"NO DEMAND",IF(H406=0,"STOCKOUT",IF(J406&lt;Config!$B$5,"CRITICAL",IF(J406&lt;Config!$B$6,"LOW",IF(J406&gt;Config!$B$7,"EXCESS","HEALTHY")))))</f>
        <v/>
      </c>
      <c r="L406" s="11" t="n">
        <v>74</v>
      </c>
      <c r="M406" s="11" t="n">
        <v>88</v>
      </c>
      <c r="N406" s="11">
        <f>H406*L406</f>
        <v/>
      </c>
      <c r="O406" s="11">
        <f>IF(I406&gt;0,I406*(M406-L406),0)</f>
        <v/>
      </c>
      <c r="P406" s="11" t="n">
        <v>0</v>
      </c>
    </row>
    <row r="407">
      <c r="A407" s="4" t="inlineStr">
        <is>
          <t>WH04</t>
        </is>
      </c>
      <c r="B407" s="4" t="inlineStr">
        <is>
          <t>Bhiwandi DC</t>
        </is>
      </c>
      <c r="C407" s="4" t="inlineStr">
        <is>
          <t>West</t>
        </is>
      </c>
      <c r="D407" s="4" t="inlineStr">
        <is>
          <t>SKU043</t>
        </is>
      </c>
      <c r="E407" s="4" t="inlineStr">
        <is>
          <t>Soan Papdi 500g</t>
        </is>
      </c>
      <c r="F407" s="4" t="inlineStr">
        <is>
          <t>Snacks &amp; Confectionery</t>
        </is>
      </c>
      <c r="G407" s="4" t="inlineStr">
        <is>
          <t>C</t>
        </is>
      </c>
      <c r="H407" s="11" t="n">
        <v>10565</v>
      </c>
      <c r="I407" s="4" t="n">
        <v>1578.5</v>
      </c>
      <c r="J407" s="13">
        <f>IF(I407&gt;0,H407/I407,"")</f>
        <v/>
      </c>
      <c r="K407" s="4">
        <f>IF(I407&lt;=0,"NO DEMAND",IF(H407=0,"STOCKOUT",IF(J407&lt;Config!$B$5,"CRITICAL",IF(J407&lt;Config!$B$6,"LOW",IF(J407&gt;Config!$B$7,"EXCESS","HEALTHY")))))</f>
        <v/>
      </c>
      <c r="L407" s="11" t="n">
        <v>15</v>
      </c>
      <c r="M407" s="11" t="n">
        <v>18</v>
      </c>
      <c r="N407" s="11">
        <f>H407*L407</f>
        <v/>
      </c>
      <c r="O407" s="11">
        <f>IF(I407&gt;0,I407*(M407-L407),0)</f>
        <v/>
      </c>
      <c r="P407" s="11" t="n">
        <v>0</v>
      </c>
    </row>
    <row r="408">
      <c r="A408" s="4" t="inlineStr">
        <is>
          <t>WH04</t>
        </is>
      </c>
      <c r="B408" s="4" t="inlineStr">
        <is>
          <t>Bhiwandi DC</t>
        </is>
      </c>
      <c r="C408" s="4" t="inlineStr">
        <is>
          <t>West</t>
        </is>
      </c>
      <c r="D408" s="4" t="inlineStr">
        <is>
          <t>SKU044</t>
        </is>
      </c>
      <c r="E408" s="4" t="inlineStr">
        <is>
          <t>Rusk 300g</t>
        </is>
      </c>
      <c r="F408" s="4" t="inlineStr">
        <is>
          <t>Snacks &amp; Confectionery</t>
        </is>
      </c>
      <c r="G408" s="4" t="inlineStr">
        <is>
          <t>A</t>
        </is>
      </c>
      <c r="H408" s="11" t="n">
        <v>6215</v>
      </c>
      <c r="I408" s="4" t="n">
        <v>2182.25</v>
      </c>
      <c r="J408" s="13">
        <f>IF(I408&gt;0,H408/I408,"")</f>
        <v/>
      </c>
      <c r="K408" s="4">
        <f>IF(I408&lt;=0,"NO DEMAND",IF(H408=0,"STOCKOUT",IF(J408&lt;Config!$B$5,"CRITICAL",IF(J408&lt;Config!$B$6,"LOW",IF(J408&gt;Config!$B$7,"EXCESS","HEALTHY")))))</f>
        <v/>
      </c>
      <c r="L408" s="11" t="n">
        <v>57</v>
      </c>
      <c r="M408" s="11" t="n">
        <v>70</v>
      </c>
      <c r="N408" s="11">
        <f>H408*L408</f>
        <v/>
      </c>
      <c r="O408" s="11">
        <f>IF(I408&gt;0,I408*(M408-L408),0)</f>
        <v/>
      </c>
      <c r="P408" s="11" t="n">
        <v>0</v>
      </c>
    </row>
    <row r="409">
      <c r="A409" s="4" t="inlineStr">
        <is>
          <t>WH04</t>
        </is>
      </c>
      <c r="B409" s="4" t="inlineStr">
        <is>
          <t>Bhiwandi DC</t>
        </is>
      </c>
      <c r="C409" s="4" t="inlineStr">
        <is>
          <t>West</t>
        </is>
      </c>
      <c r="D409" s="4" t="inlineStr">
        <is>
          <t>SKU045</t>
        </is>
      </c>
      <c r="E409" s="4" t="inlineStr">
        <is>
          <t>Candy Pack 150g</t>
        </is>
      </c>
      <c r="F409" s="4" t="inlineStr">
        <is>
          <t>Snacks &amp; Confectionery</t>
        </is>
      </c>
      <c r="G409" s="4" t="inlineStr">
        <is>
          <t>C</t>
        </is>
      </c>
      <c r="H409" s="11" t="n">
        <v>8372</v>
      </c>
      <c r="I409" s="4" t="n">
        <v>1769.5</v>
      </c>
      <c r="J409" s="13">
        <f>IF(I409&gt;0,H409/I409,"")</f>
        <v/>
      </c>
      <c r="K409" s="4">
        <f>IF(I409&lt;=0,"NO DEMAND",IF(H409=0,"STOCKOUT",IF(J409&lt;Config!$B$5,"CRITICAL",IF(J409&lt;Config!$B$6,"LOW",IF(J409&gt;Config!$B$7,"EXCESS","HEALTHY")))))</f>
        <v/>
      </c>
      <c r="L409" s="11" t="n">
        <v>22</v>
      </c>
      <c r="M409" s="11" t="n">
        <v>27</v>
      </c>
      <c r="N409" s="11">
        <f>H409*L409</f>
        <v/>
      </c>
      <c r="O409" s="11">
        <f>IF(I409&gt;0,I409*(M409-L409),0)</f>
        <v/>
      </c>
      <c r="P409" s="11" t="n">
        <v>0</v>
      </c>
    </row>
    <row r="410">
      <c r="A410" s="4" t="inlineStr">
        <is>
          <t>WH04</t>
        </is>
      </c>
      <c r="B410" s="4" t="inlineStr">
        <is>
          <t>Bhiwandi DC</t>
        </is>
      </c>
      <c r="C410" s="4" t="inlineStr">
        <is>
          <t>West</t>
        </is>
      </c>
      <c r="D410" s="4" t="inlineStr">
        <is>
          <t>SKU046</t>
        </is>
      </c>
      <c r="E410" s="4" t="inlineStr">
        <is>
          <t>Shampoo 340ml</t>
        </is>
      </c>
      <c r="F410" s="4" t="inlineStr">
        <is>
          <t>Personal Care</t>
        </is>
      </c>
      <c r="G410" s="4" t="inlineStr">
        <is>
          <t>C</t>
        </is>
      </c>
      <c r="H410" s="11" t="n">
        <v>3505</v>
      </c>
      <c r="I410" s="4" t="n">
        <v>873.75</v>
      </c>
      <c r="J410" s="13">
        <f>IF(I410&gt;0,H410/I410,"")</f>
        <v/>
      </c>
      <c r="K410" s="4">
        <f>IF(I410&lt;=0,"NO DEMAND",IF(H410=0,"STOCKOUT",IF(J410&lt;Config!$B$5,"CRITICAL",IF(J410&lt;Config!$B$6,"LOW",IF(J410&gt;Config!$B$7,"EXCESS","HEALTHY")))))</f>
        <v/>
      </c>
      <c r="L410" s="11" t="n">
        <v>51</v>
      </c>
      <c r="M410" s="11" t="n">
        <v>67</v>
      </c>
      <c r="N410" s="11">
        <f>H410*L410</f>
        <v/>
      </c>
      <c r="O410" s="11">
        <f>IF(I410&gt;0,I410*(M410-L410),0)</f>
        <v/>
      </c>
      <c r="P410" s="11" t="n">
        <v>4932</v>
      </c>
    </row>
    <row r="411">
      <c r="A411" s="4" t="inlineStr">
        <is>
          <t>WH04</t>
        </is>
      </c>
      <c r="B411" s="4" t="inlineStr">
        <is>
          <t>Bhiwandi DC</t>
        </is>
      </c>
      <c r="C411" s="4" t="inlineStr">
        <is>
          <t>West</t>
        </is>
      </c>
      <c r="D411" s="4" t="inlineStr">
        <is>
          <t>SKU047</t>
        </is>
      </c>
      <c r="E411" s="4" t="inlineStr">
        <is>
          <t>Soap 4-pack</t>
        </is>
      </c>
      <c r="F411" s="4" t="inlineStr">
        <is>
          <t>Personal Care</t>
        </is>
      </c>
      <c r="G411" s="4" t="inlineStr">
        <is>
          <t>C</t>
        </is>
      </c>
      <c r="H411" s="11" t="n">
        <v>3738</v>
      </c>
      <c r="I411" s="4" t="n">
        <v>638.5</v>
      </c>
      <c r="J411" s="13">
        <f>IF(I411&gt;0,H411/I411,"")</f>
        <v/>
      </c>
      <c r="K411" s="4">
        <f>IF(I411&lt;=0,"NO DEMAND",IF(H411=0,"STOCKOUT",IF(J411&lt;Config!$B$5,"CRITICAL",IF(J411&lt;Config!$B$6,"LOW",IF(J411&gt;Config!$B$7,"EXCESS","HEALTHY")))))</f>
        <v/>
      </c>
      <c r="L411" s="11" t="n">
        <v>37</v>
      </c>
      <c r="M411" s="11" t="n">
        <v>47</v>
      </c>
      <c r="N411" s="11">
        <f>H411*L411</f>
        <v/>
      </c>
      <c r="O411" s="11">
        <f>IF(I411&gt;0,I411*(M411-L411),0)</f>
        <v/>
      </c>
      <c r="P411" s="11" t="n">
        <v>0</v>
      </c>
    </row>
    <row r="412">
      <c r="A412" s="4" t="inlineStr">
        <is>
          <t>WH04</t>
        </is>
      </c>
      <c r="B412" s="4" t="inlineStr">
        <is>
          <t>Bhiwandi DC</t>
        </is>
      </c>
      <c r="C412" s="4" t="inlineStr">
        <is>
          <t>West</t>
        </is>
      </c>
      <c r="D412" s="4" t="inlineStr">
        <is>
          <t>SKU048</t>
        </is>
      </c>
      <c r="E412" s="4" t="inlineStr">
        <is>
          <t>Toothpaste 150g</t>
        </is>
      </c>
      <c r="F412" s="4" t="inlineStr">
        <is>
          <t>Personal Care</t>
        </is>
      </c>
      <c r="G412" s="4" t="inlineStr">
        <is>
          <t>C</t>
        </is>
      </c>
      <c r="H412" s="11" t="n">
        <v>517</v>
      </c>
      <c r="I412" s="4" t="n">
        <v>69.25</v>
      </c>
      <c r="J412" s="13">
        <f>IF(I412&gt;0,H412/I412,"")</f>
        <v/>
      </c>
      <c r="K412" s="4">
        <f>IF(I412&lt;=0,"NO DEMAND",IF(H412=0,"STOCKOUT",IF(J412&lt;Config!$B$5,"CRITICAL",IF(J412&lt;Config!$B$6,"LOW",IF(J412&gt;Config!$B$7,"EXCESS","HEALTHY")))))</f>
        <v/>
      </c>
      <c r="L412" s="11" t="n">
        <v>51</v>
      </c>
      <c r="M412" s="11" t="n">
        <v>67</v>
      </c>
      <c r="N412" s="11">
        <f>H412*L412</f>
        <v/>
      </c>
      <c r="O412" s="11">
        <f>IF(I412&gt;0,I412*(M412-L412),0)</f>
        <v/>
      </c>
      <c r="P412" s="11" t="n">
        <v>0</v>
      </c>
    </row>
    <row r="413">
      <c r="A413" s="4" t="inlineStr">
        <is>
          <t>WH04</t>
        </is>
      </c>
      <c r="B413" s="4" t="inlineStr">
        <is>
          <t>Bhiwandi DC</t>
        </is>
      </c>
      <c r="C413" s="4" t="inlineStr">
        <is>
          <t>West</t>
        </is>
      </c>
      <c r="D413" s="4" t="inlineStr">
        <is>
          <t>SKU049</t>
        </is>
      </c>
      <c r="E413" s="4" t="inlineStr">
        <is>
          <t>Face Wash 100ml</t>
        </is>
      </c>
      <c r="F413" s="4" t="inlineStr">
        <is>
          <t>Personal Care</t>
        </is>
      </c>
      <c r="G413" s="4" t="inlineStr">
        <is>
          <t>C</t>
        </is>
      </c>
      <c r="H413" s="11" t="n">
        <v>1787</v>
      </c>
      <c r="I413" s="4" t="n">
        <v>259.5</v>
      </c>
      <c r="J413" s="13">
        <f>IF(I413&gt;0,H413/I413,"")</f>
        <v/>
      </c>
      <c r="K413" s="4">
        <f>IF(I413&lt;=0,"NO DEMAND",IF(H413=0,"STOCKOUT",IF(J413&lt;Config!$B$5,"CRITICAL",IF(J413&lt;Config!$B$6,"LOW",IF(J413&gt;Config!$B$7,"EXCESS","HEALTHY")))))</f>
        <v/>
      </c>
      <c r="L413" s="11" t="n">
        <v>32</v>
      </c>
      <c r="M413" s="11" t="n">
        <v>41</v>
      </c>
      <c r="N413" s="11">
        <f>H413*L413</f>
        <v/>
      </c>
      <c r="O413" s="11">
        <f>IF(I413&gt;0,I413*(M413-L413),0)</f>
        <v/>
      </c>
      <c r="P413" s="11" t="n">
        <v>0</v>
      </c>
    </row>
    <row r="414">
      <c r="A414" s="4" t="inlineStr">
        <is>
          <t>WH04</t>
        </is>
      </c>
      <c r="B414" s="4" t="inlineStr">
        <is>
          <t>Bhiwandi DC</t>
        </is>
      </c>
      <c r="C414" s="4" t="inlineStr">
        <is>
          <t>West</t>
        </is>
      </c>
      <c r="D414" s="4" t="inlineStr">
        <is>
          <t>SKU050</t>
        </is>
      </c>
      <c r="E414" s="4" t="inlineStr">
        <is>
          <t>Body Lotion 400ml</t>
        </is>
      </c>
      <c r="F414" s="4" t="inlineStr">
        <is>
          <t>Personal Care</t>
        </is>
      </c>
      <c r="G414" s="4" t="inlineStr">
        <is>
          <t>B</t>
        </is>
      </c>
      <c r="H414" s="11" t="n">
        <v>3702</v>
      </c>
      <c r="I414" s="4" t="n">
        <v>423.75</v>
      </c>
      <c r="J414" s="13">
        <f>IF(I414&gt;0,H414/I414,"")</f>
        <v/>
      </c>
      <c r="K414" s="4">
        <f>IF(I414&lt;=0,"NO DEMAND",IF(H414=0,"STOCKOUT",IF(J414&lt;Config!$B$5,"CRITICAL",IF(J414&lt;Config!$B$6,"LOW",IF(J414&gt;Config!$B$7,"EXCESS","HEALTHY")))))</f>
        <v/>
      </c>
      <c r="L414" s="11" t="n">
        <v>138</v>
      </c>
      <c r="M414" s="11" t="n">
        <v>175</v>
      </c>
      <c r="N414" s="11">
        <f>H414*L414</f>
        <v/>
      </c>
      <c r="O414" s="11">
        <f>IF(I414&gt;0,I414*(M414-L414),0)</f>
        <v/>
      </c>
      <c r="P414" s="11" t="n">
        <v>0</v>
      </c>
    </row>
    <row r="415">
      <c r="A415" s="4" t="inlineStr">
        <is>
          <t>WH04</t>
        </is>
      </c>
      <c r="B415" s="4" t="inlineStr">
        <is>
          <t>Bhiwandi DC</t>
        </is>
      </c>
      <c r="C415" s="4" t="inlineStr">
        <is>
          <t>West</t>
        </is>
      </c>
      <c r="D415" s="4" t="inlineStr">
        <is>
          <t>SKU051</t>
        </is>
      </c>
      <c r="E415" s="4" t="inlineStr">
        <is>
          <t>Hair Oil 200ml</t>
        </is>
      </c>
      <c r="F415" s="4" t="inlineStr">
        <is>
          <t>Personal Care</t>
        </is>
      </c>
      <c r="G415" s="4" t="inlineStr">
        <is>
          <t>B</t>
        </is>
      </c>
      <c r="H415" s="11" t="n">
        <v>709</v>
      </c>
      <c r="I415" s="4" t="n">
        <v>103.5</v>
      </c>
      <c r="J415" s="13">
        <f>IF(I415&gt;0,H415/I415,"")</f>
        <v/>
      </c>
      <c r="K415" s="4">
        <f>IF(I415&lt;=0,"NO DEMAND",IF(H415=0,"STOCKOUT",IF(J415&lt;Config!$B$5,"CRITICAL",IF(J415&lt;Config!$B$6,"LOW",IF(J415&gt;Config!$B$7,"EXCESS","HEALTHY")))))</f>
        <v/>
      </c>
      <c r="L415" s="11" t="n">
        <v>156</v>
      </c>
      <c r="M415" s="11" t="n">
        <v>203</v>
      </c>
      <c r="N415" s="11">
        <f>H415*L415</f>
        <v/>
      </c>
      <c r="O415" s="11">
        <f>IF(I415&gt;0,I415*(M415-L415),0)</f>
        <v/>
      </c>
      <c r="P415" s="11" t="n">
        <v>0</v>
      </c>
    </row>
    <row r="416">
      <c r="A416" s="4" t="inlineStr">
        <is>
          <t>WH04</t>
        </is>
      </c>
      <c r="B416" s="4" t="inlineStr">
        <is>
          <t>Bhiwandi DC</t>
        </is>
      </c>
      <c r="C416" s="4" t="inlineStr">
        <is>
          <t>West</t>
        </is>
      </c>
      <c r="D416" s="4" t="inlineStr">
        <is>
          <t>SKU052</t>
        </is>
      </c>
      <c r="E416" s="4" t="inlineStr">
        <is>
          <t>Deodorant 150ml</t>
        </is>
      </c>
      <c r="F416" s="4" t="inlineStr">
        <is>
          <t>Personal Care</t>
        </is>
      </c>
      <c r="G416" s="4" t="inlineStr">
        <is>
          <t>B</t>
        </is>
      </c>
      <c r="H416" s="11" t="n">
        <v>28</v>
      </c>
      <c r="I416" s="4" t="n">
        <v>535.25</v>
      </c>
      <c r="J416" s="13">
        <f>IF(I416&gt;0,H416/I416,"")</f>
        <v/>
      </c>
      <c r="K416" s="4">
        <f>IF(I416&lt;=0,"NO DEMAND",IF(H416=0,"STOCKOUT",IF(J416&lt;Config!$B$5,"CRITICAL",IF(J416&lt;Config!$B$6,"LOW",IF(J416&gt;Config!$B$7,"EXCESS","HEALTHY")))))</f>
        <v/>
      </c>
      <c r="L416" s="11" t="n">
        <v>133</v>
      </c>
      <c r="M416" s="11" t="n">
        <v>179</v>
      </c>
      <c r="N416" s="11">
        <f>H416*L416</f>
        <v/>
      </c>
      <c r="O416" s="11">
        <f>IF(I416&gt;0,I416*(M416-L416),0)</f>
        <v/>
      </c>
      <c r="P416" s="11" t="n">
        <v>3132</v>
      </c>
    </row>
    <row r="417">
      <c r="A417" s="4" t="inlineStr">
        <is>
          <t>WH04</t>
        </is>
      </c>
      <c r="B417" s="4" t="inlineStr">
        <is>
          <t>Bhiwandi DC</t>
        </is>
      </c>
      <c r="C417" s="4" t="inlineStr">
        <is>
          <t>West</t>
        </is>
      </c>
      <c r="D417" s="4" t="inlineStr">
        <is>
          <t>SKU053</t>
        </is>
      </c>
      <c r="E417" s="4" t="inlineStr">
        <is>
          <t>Sanitary Pads 20pk</t>
        </is>
      </c>
      <c r="F417" s="4" t="inlineStr">
        <is>
          <t>Personal Care</t>
        </is>
      </c>
      <c r="G417" s="4" t="inlineStr">
        <is>
          <t>C</t>
        </is>
      </c>
      <c r="H417" s="11" t="n">
        <v>2298</v>
      </c>
      <c r="I417" s="4" t="n">
        <v>856.5</v>
      </c>
      <c r="J417" s="13">
        <f>IF(I417&gt;0,H417/I417,"")</f>
        <v/>
      </c>
      <c r="K417" s="4">
        <f>IF(I417&lt;=0,"NO DEMAND",IF(H417=0,"STOCKOUT",IF(J417&lt;Config!$B$5,"CRITICAL",IF(J417&lt;Config!$B$6,"LOW",IF(J417&gt;Config!$B$7,"EXCESS","HEALTHY")))))</f>
        <v/>
      </c>
      <c r="L417" s="11" t="n">
        <v>31</v>
      </c>
      <c r="M417" s="11" t="n">
        <v>39</v>
      </c>
      <c r="N417" s="11">
        <f>H417*L417</f>
        <v/>
      </c>
      <c r="O417" s="11">
        <f>IF(I417&gt;0,I417*(M417-L417),0)</f>
        <v/>
      </c>
      <c r="P417" s="11" t="n">
        <v>5172</v>
      </c>
    </row>
    <row r="418">
      <c r="A418" s="4" t="inlineStr">
        <is>
          <t>WH04</t>
        </is>
      </c>
      <c r="B418" s="4" t="inlineStr">
        <is>
          <t>Bhiwandi DC</t>
        </is>
      </c>
      <c r="C418" s="4" t="inlineStr">
        <is>
          <t>West</t>
        </is>
      </c>
      <c r="D418" s="4" t="inlineStr">
        <is>
          <t>SKU054</t>
        </is>
      </c>
      <c r="E418" s="4" t="inlineStr">
        <is>
          <t>Razor 5pk</t>
        </is>
      </c>
      <c r="F418" s="4" t="inlineStr">
        <is>
          <t>Personal Care</t>
        </is>
      </c>
      <c r="G418" s="4" t="inlineStr">
        <is>
          <t>B</t>
        </is>
      </c>
      <c r="H418" s="11" t="n">
        <v>2385</v>
      </c>
      <c r="I418" s="4" t="n">
        <v>418.25</v>
      </c>
      <c r="J418" s="13">
        <f>IF(I418&gt;0,H418/I418,"")</f>
        <v/>
      </c>
      <c r="K418" s="4">
        <f>IF(I418&lt;=0,"NO DEMAND",IF(H418=0,"STOCKOUT",IF(J418&lt;Config!$B$5,"CRITICAL",IF(J418&lt;Config!$B$6,"LOW",IF(J418&gt;Config!$B$7,"EXCESS","HEALTHY")))))</f>
        <v/>
      </c>
      <c r="L418" s="11" t="n">
        <v>106</v>
      </c>
      <c r="M418" s="11" t="n">
        <v>137</v>
      </c>
      <c r="N418" s="11">
        <f>H418*L418</f>
        <v/>
      </c>
      <c r="O418" s="11">
        <f>IF(I418&gt;0,I418*(M418-L418),0)</f>
        <v/>
      </c>
      <c r="P418" s="11" t="n">
        <v>0</v>
      </c>
    </row>
    <row r="419">
      <c r="A419" s="4" t="inlineStr">
        <is>
          <t>WH04</t>
        </is>
      </c>
      <c r="B419" s="4" t="inlineStr">
        <is>
          <t>Bhiwandi DC</t>
        </is>
      </c>
      <c r="C419" s="4" t="inlineStr">
        <is>
          <t>West</t>
        </is>
      </c>
      <c r="D419" s="4" t="inlineStr">
        <is>
          <t>SKU055</t>
        </is>
      </c>
      <c r="E419" s="4" t="inlineStr">
        <is>
          <t>Talc 300g</t>
        </is>
      </c>
      <c r="F419" s="4" t="inlineStr">
        <is>
          <t>Personal Care</t>
        </is>
      </c>
      <c r="G419" s="4" t="inlineStr">
        <is>
          <t>B</t>
        </is>
      </c>
      <c r="H419" s="11" t="n">
        <v>1314</v>
      </c>
      <c r="I419" s="4" t="n">
        <v>178</v>
      </c>
      <c r="J419" s="13">
        <f>IF(I419&gt;0,H419/I419,"")</f>
        <v/>
      </c>
      <c r="K419" s="4">
        <f>IF(I419&lt;=0,"NO DEMAND",IF(H419=0,"STOCKOUT",IF(J419&lt;Config!$B$5,"CRITICAL",IF(J419&lt;Config!$B$6,"LOW",IF(J419&gt;Config!$B$7,"EXCESS","HEALTHY")))))</f>
        <v/>
      </c>
      <c r="L419" s="11" t="n">
        <v>77</v>
      </c>
      <c r="M419" s="11" t="n">
        <v>100</v>
      </c>
      <c r="N419" s="11">
        <f>H419*L419</f>
        <v/>
      </c>
      <c r="O419" s="11">
        <f>IF(I419&gt;0,I419*(M419-L419),0)</f>
        <v/>
      </c>
      <c r="P419" s="11" t="n">
        <v>0</v>
      </c>
    </row>
    <row r="420">
      <c r="A420" s="4" t="inlineStr">
        <is>
          <t>WH04</t>
        </is>
      </c>
      <c r="B420" s="4" t="inlineStr">
        <is>
          <t>Bhiwandi DC</t>
        </is>
      </c>
      <c r="C420" s="4" t="inlineStr">
        <is>
          <t>West</t>
        </is>
      </c>
      <c r="D420" s="4" t="inlineStr">
        <is>
          <t>SKU056</t>
        </is>
      </c>
      <c r="E420" s="4" t="inlineStr">
        <is>
          <t>Sunscreen 50g</t>
        </is>
      </c>
      <c r="F420" s="4" t="inlineStr">
        <is>
          <t>Personal Care</t>
        </is>
      </c>
      <c r="G420" s="4" t="inlineStr">
        <is>
          <t>A</t>
        </is>
      </c>
      <c r="H420" s="11" t="n">
        <v>2267</v>
      </c>
      <c r="I420" s="4" t="n">
        <v>310</v>
      </c>
      <c r="J420" s="13">
        <f>IF(I420&gt;0,H420/I420,"")</f>
        <v/>
      </c>
      <c r="K420" s="4">
        <f>IF(I420&lt;=0,"NO DEMAND",IF(H420=0,"STOCKOUT",IF(J420&lt;Config!$B$5,"CRITICAL",IF(J420&lt;Config!$B$6,"LOW",IF(J420&gt;Config!$B$7,"EXCESS","HEALTHY")))))</f>
        <v/>
      </c>
      <c r="L420" s="11" t="n">
        <v>393</v>
      </c>
      <c r="M420" s="11" t="n">
        <v>510</v>
      </c>
      <c r="N420" s="11">
        <f>H420*L420</f>
        <v/>
      </c>
      <c r="O420" s="11">
        <f>IF(I420&gt;0,I420*(M420-L420),0)</f>
        <v/>
      </c>
      <c r="P420" s="11" t="n">
        <v>0</v>
      </c>
    </row>
    <row r="421">
      <c r="A421" s="4" t="inlineStr">
        <is>
          <t>WH04</t>
        </is>
      </c>
      <c r="B421" s="4" t="inlineStr">
        <is>
          <t>Bhiwandi DC</t>
        </is>
      </c>
      <c r="C421" s="4" t="inlineStr">
        <is>
          <t>West</t>
        </is>
      </c>
      <c r="D421" s="4" t="inlineStr">
        <is>
          <t>SKU057</t>
        </is>
      </c>
      <c r="E421" s="4" t="inlineStr">
        <is>
          <t>Hand Wash 250ml</t>
        </is>
      </c>
      <c r="F421" s="4" t="inlineStr">
        <is>
          <t>Personal Care</t>
        </is>
      </c>
      <c r="G421" s="4" t="inlineStr">
        <is>
          <t>C</t>
        </is>
      </c>
      <c r="H421" s="11" t="n">
        <v>1334</v>
      </c>
      <c r="I421" s="4" t="n">
        <v>302</v>
      </c>
      <c r="J421" s="13">
        <f>IF(I421&gt;0,H421/I421,"")</f>
        <v/>
      </c>
      <c r="K421" s="4">
        <f>IF(I421&lt;=0,"NO DEMAND",IF(H421=0,"STOCKOUT",IF(J421&lt;Config!$B$5,"CRITICAL",IF(J421&lt;Config!$B$6,"LOW",IF(J421&gt;Config!$B$7,"EXCESS","HEALTHY")))))</f>
        <v/>
      </c>
      <c r="L421" s="11" t="n">
        <v>108</v>
      </c>
      <c r="M421" s="11" t="n">
        <v>136</v>
      </c>
      <c r="N421" s="11">
        <f>H421*L421</f>
        <v/>
      </c>
      <c r="O421" s="11">
        <f>IF(I421&gt;0,I421*(M421-L421),0)</f>
        <v/>
      </c>
      <c r="P421" s="11" t="n">
        <v>1896</v>
      </c>
    </row>
    <row r="422">
      <c r="A422" s="4" t="inlineStr">
        <is>
          <t>WH04</t>
        </is>
      </c>
      <c r="B422" s="4" t="inlineStr">
        <is>
          <t>Bhiwandi DC</t>
        </is>
      </c>
      <c r="C422" s="4" t="inlineStr">
        <is>
          <t>West</t>
        </is>
      </c>
      <c r="D422" s="4" t="inlineStr">
        <is>
          <t>SKU058</t>
        </is>
      </c>
      <c r="E422" s="4" t="inlineStr">
        <is>
          <t>Kajal Pack</t>
        </is>
      </c>
      <c r="F422" s="4" t="inlineStr">
        <is>
          <t>Personal Care</t>
        </is>
      </c>
      <c r="G422" s="4" t="inlineStr">
        <is>
          <t>A</t>
        </is>
      </c>
      <c r="H422" s="11" t="n">
        <v>802</v>
      </c>
      <c r="I422" s="4" t="n">
        <v>276.5</v>
      </c>
      <c r="J422" s="13">
        <f>IF(I422&gt;0,H422/I422,"")</f>
        <v/>
      </c>
      <c r="K422" s="4">
        <f>IF(I422&lt;=0,"NO DEMAND",IF(H422=0,"STOCKOUT",IF(J422&lt;Config!$B$5,"CRITICAL",IF(J422&lt;Config!$B$6,"LOW",IF(J422&gt;Config!$B$7,"EXCESS","HEALTHY")))))</f>
        <v/>
      </c>
      <c r="L422" s="11" t="n">
        <v>392</v>
      </c>
      <c r="M422" s="11" t="n">
        <v>498</v>
      </c>
      <c r="N422" s="11">
        <f>H422*L422</f>
        <v/>
      </c>
      <c r="O422" s="11">
        <f>IF(I422&gt;0,I422*(M422-L422),0)</f>
        <v/>
      </c>
      <c r="P422" s="11" t="n">
        <v>1728</v>
      </c>
    </row>
    <row r="423">
      <c r="A423" s="4" t="inlineStr">
        <is>
          <t>WH04</t>
        </is>
      </c>
      <c r="B423" s="4" t="inlineStr">
        <is>
          <t>Bhiwandi DC</t>
        </is>
      </c>
      <c r="C423" s="4" t="inlineStr">
        <is>
          <t>West</t>
        </is>
      </c>
      <c r="D423" s="4" t="inlineStr">
        <is>
          <t>SKU059</t>
        </is>
      </c>
      <c r="E423" s="4" t="inlineStr">
        <is>
          <t>Lip Balm</t>
        </is>
      </c>
      <c r="F423" s="4" t="inlineStr">
        <is>
          <t>Personal Care</t>
        </is>
      </c>
      <c r="G423" s="4" t="inlineStr">
        <is>
          <t>B</t>
        </is>
      </c>
      <c r="H423" s="11" t="n">
        <v>724</v>
      </c>
      <c r="I423" s="4" t="n">
        <v>66.75</v>
      </c>
      <c r="J423" s="13">
        <f>IF(I423&gt;0,H423/I423,"")</f>
        <v/>
      </c>
      <c r="K423" s="4">
        <f>IF(I423&lt;=0,"NO DEMAND",IF(H423=0,"STOCKOUT",IF(J423&lt;Config!$B$5,"CRITICAL",IF(J423&lt;Config!$B$6,"LOW",IF(J423&gt;Config!$B$7,"EXCESS","HEALTHY")))))</f>
        <v/>
      </c>
      <c r="L423" s="11" t="n">
        <v>150</v>
      </c>
      <c r="M423" s="11" t="n">
        <v>198</v>
      </c>
      <c r="N423" s="11">
        <f>H423*L423</f>
        <v/>
      </c>
      <c r="O423" s="11">
        <f>IF(I423&gt;0,I423*(M423-L423),0)</f>
        <v/>
      </c>
      <c r="P423" s="11" t="n">
        <v>0</v>
      </c>
    </row>
    <row r="424">
      <c r="A424" s="4" t="inlineStr">
        <is>
          <t>WH04</t>
        </is>
      </c>
      <c r="B424" s="4" t="inlineStr">
        <is>
          <t>Bhiwandi DC</t>
        </is>
      </c>
      <c r="C424" s="4" t="inlineStr">
        <is>
          <t>West</t>
        </is>
      </c>
      <c r="D424" s="4" t="inlineStr">
        <is>
          <t>SKU060</t>
        </is>
      </c>
      <c r="E424" s="4" t="inlineStr">
        <is>
          <t>Mouthwash 250ml</t>
        </is>
      </c>
      <c r="F424" s="4" t="inlineStr">
        <is>
          <t>Personal Care</t>
        </is>
      </c>
      <c r="G424" s="4" t="inlineStr">
        <is>
          <t>A</t>
        </is>
      </c>
      <c r="H424" s="11" t="n">
        <v>4950</v>
      </c>
      <c r="I424" s="4" t="n">
        <v>701.5</v>
      </c>
      <c r="J424" s="13">
        <f>IF(I424&gt;0,H424/I424,"")</f>
        <v/>
      </c>
      <c r="K424" s="4">
        <f>IF(I424&lt;=0,"NO DEMAND",IF(H424=0,"STOCKOUT",IF(J424&lt;Config!$B$5,"CRITICAL",IF(J424&lt;Config!$B$6,"LOW",IF(J424&gt;Config!$B$7,"EXCESS","HEALTHY")))))</f>
        <v/>
      </c>
      <c r="L424" s="11" t="n">
        <v>376</v>
      </c>
      <c r="M424" s="11" t="n">
        <v>491</v>
      </c>
      <c r="N424" s="11">
        <f>H424*L424</f>
        <v/>
      </c>
      <c r="O424" s="11">
        <f>IF(I424&gt;0,I424*(M424-L424),0)</f>
        <v/>
      </c>
      <c r="P424" s="11" t="n">
        <v>0</v>
      </c>
    </row>
    <row r="425">
      <c r="A425" s="4" t="inlineStr">
        <is>
          <t>WH04</t>
        </is>
      </c>
      <c r="B425" s="4" t="inlineStr">
        <is>
          <t>Bhiwandi DC</t>
        </is>
      </c>
      <c r="C425" s="4" t="inlineStr">
        <is>
          <t>West</t>
        </is>
      </c>
      <c r="D425" s="4" t="inlineStr">
        <is>
          <t>SKU061</t>
        </is>
      </c>
      <c r="E425" s="4" t="inlineStr">
        <is>
          <t>Detergent Powder 2kg</t>
        </is>
      </c>
      <c r="F425" s="4" t="inlineStr">
        <is>
          <t>Home Care</t>
        </is>
      </c>
      <c r="G425" s="4" t="inlineStr">
        <is>
          <t>B</t>
        </is>
      </c>
      <c r="H425" s="11" t="n">
        <v>2914</v>
      </c>
      <c r="I425" s="4" t="n">
        <v>542.5</v>
      </c>
      <c r="J425" s="13">
        <f>IF(I425&gt;0,H425/I425,"")</f>
        <v/>
      </c>
      <c r="K425" s="4">
        <f>IF(I425&lt;=0,"NO DEMAND",IF(H425=0,"STOCKOUT",IF(J425&lt;Config!$B$5,"CRITICAL",IF(J425&lt;Config!$B$6,"LOW",IF(J425&gt;Config!$B$7,"EXCESS","HEALTHY")))))</f>
        <v/>
      </c>
      <c r="L425" s="11" t="n">
        <v>104</v>
      </c>
      <c r="M425" s="11" t="n">
        <v>132</v>
      </c>
      <c r="N425" s="11">
        <f>H425*L425</f>
        <v/>
      </c>
      <c r="O425" s="11">
        <f>IF(I425&gt;0,I425*(M425-L425),0)</f>
        <v/>
      </c>
      <c r="P425" s="11" t="n">
        <v>0</v>
      </c>
    </row>
    <row r="426">
      <c r="A426" s="4" t="inlineStr">
        <is>
          <t>WH04</t>
        </is>
      </c>
      <c r="B426" s="4" t="inlineStr">
        <is>
          <t>Bhiwandi DC</t>
        </is>
      </c>
      <c r="C426" s="4" t="inlineStr">
        <is>
          <t>West</t>
        </is>
      </c>
      <c r="D426" s="4" t="inlineStr">
        <is>
          <t>SKU062</t>
        </is>
      </c>
      <c r="E426" s="4" t="inlineStr">
        <is>
          <t>Dishwash Liquid 750ml</t>
        </is>
      </c>
      <c r="F426" s="4" t="inlineStr">
        <is>
          <t>Home Care</t>
        </is>
      </c>
      <c r="G426" s="4" t="inlineStr">
        <is>
          <t>A</t>
        </is>
      </c>
      <c r="H426" s="11" t="n">
        <v>4779</v>
      </c>
      <c r="I426" s="4" t="n">
        <v>730.75</v>
      </c>
      <c r="J426" s="13">
        <f>IF(I426&gt;0,H426/I426,"")</f>
        <v/>
      </c>
      <c r="K426" s="4">
        <f>IF(I426&lt;=0,"NO DEMAND",IF(H426=0,"STOCKOUT",IF(J426&lt;Config!$B$5,"CRITICAL",IF(J426&lt;Config!$B$6,"LOW",IF(J426&gt;Config!$B$7,"EXCESS","HEALTHY")))))</f>
        <v/>
      </c>
      <c r="L426" s="11" t="n">
        <v>122</v>
      </c>
      <c r="M426" s="11" t="n">
        <v>148</v>
      </c>
      <c r="N426" s="11">
        <f>H426*L426</f>
        <v/>
      </c>
      <c r="O426" s="11">
        <f>IF(I426&gt;0,I426*(M426-L426),0)</f>
        <v/>
      </c>
      <c r="P426" s="11" t="n">
        <v>0</v>
      </c>
    </row>
    <row r="427">
      <c r="A427" s="4" t="inlineStr">
        <is>
          <t>WH04</t>
        </is>
      </c>
      <c r="B427" s="4" t="inlineStr">
        <is>
          <t>Bhiwandi DC</t>
        </is>
      </c>
      <c r="C427" s="4" t="inlineStr">
        <is>
          <t>West</t>
        </is>
      </c>
      <c r="D427" s="4" t="inlineStr">
        <is>
          <t>SKU063</t>
        </is>
      </c>
      <c r="E427" s="4" t="inlineStr">
        <is>
          <t>Floor Cleaner 1L</t>
        </is>
      </c>
      <c r="F427" s="4" t="inlineStr">
        <is>
          <t>Home Care</t>
        </is>
      </c>
      <c r="G427" s="4" t="inlineStr">
        <is>
          <t>C</t>
        </is>
      </c>
      <c r="H427" s="11" t="n">
        <v>10496</v>
      </c>
      <c r="I427" s="4" t="n">
        <v>1139.5</v>
      </c>
      <c r="J427" s="13">
        <f>IF(I427&gt;0,H427/I427,"")</f>
        <v/>
      </c>
      <c r="K427" s="4">
        <f>IF(I427&lt;=0,"NO DEMAND",IF(H427=0,"STOCKOUT",IF(J427&lt;Config!$B$5,"CRITICAL",IF(J427&lt;Config!$B$6,"LOW",IF(J427&gt;Config!$B$7,"EXCESS","HEALTHY")))))</f>
        <v/>
      </c>
      <c r="L427" s="11" t="n">
        <v>44</v>
      </c>
      <c r="M427" s="11" t="n">
        <v>56</v>
      </c>
      <c r="N427" s="11">
        <f>H427*L427</f>
        <v/>
      </c>
      <c r="O427" s="11">
        <f>IF(I427&gt;0,I427*(M427-L427),0)</f>
        <v/>
      </c>
      <c r="P427" s="11" t="n">
        <v>0</v>
      </c>
    </row>
    <row r="428">
      <c r="A428" s="4" t="inlineStr">
        <is>
          <t>WH04</t>
        </is>
      </c>
      <c r="B428" s="4" t="inlineStr">
        <is>
          <t>Bhiwandi DC</t>
        </is>
      </c>
      <c r="C428" s="4" t="inlineStr">
        <is>
          <t>West</t>
        </is>
      </c>
      <c r="D428" s="4" t="inlineStr">
        <is>
          <t>SKU064</t>
        </is>
      </c>
      <c r="E428" s="4" t="inlineStr">
        <is>
          <t>Toilet Cleaner 500ml</t>
        </is>
      </c>
      <c r="F428" s="4" t="inlineStr">
        <is>
          <t>Home Care</t>
        </is>
      </c>
      <c r="G428" s="4" t="inlineStr">
        <is>
          <t>C</t>
        </is>
      </c>
      <c r="H428" s="11" t="n">
        <v>1076</v>
      </c>
      <c r="I428" s="4" t="n">
        <v>275.75</v>
      </c>
      <c r="J428" s="13">
        <f>IF(I428&gt;0,H428/I428,"")</f>
        <v/>
      </c>
      <c r="K428" s="4">
        <f>IF(I428&lt;=0,"NO DEMAND",IF(H428=0,"STOCKOUT",IF(J428&lt;Config!$B$5,"CRITICAL",IF(J428&lt;Config!$B$6,"LOW",IF(J428&gt;Config!$B$7,"EXCESS","HEALTHY")))))</f>
        <v/>
      </c>
      <c r="L428" s="11" t="n">
        <v>102</v>
      </c>
      <c r="M428" s="11" t="n">
        <v>128</v>
      </c>
      <c r="N428" s="11">
        <f>H428*L428</f>
        <v/>
      </c>
      <c r="O428" s="11">
        <f>IF(I428&gt;0,I428*(M428-L428),0)</f>
        <v/>
      </c>
      <c r="P428" s="11" t="n">
        <v>1812</v>
      </c>
    </row>
    <row r="429">
      <c r="A429" s="4" t="inlineStr">
        <is>
          <t>WH04</t>
        </is>
      </c>
      <c r="B429" s="4" t="inlineStr">
        <is>
          <t>Bhiwandi DC</t>
        </is>
      </c>
      <c r="C429" s="4" t="inlineStr">
        <is>
          <t>West</t>
        </is>
      </c>
      <c r="D429" s="4" t="inlineStr">
        <is>
          <t>SKU065</t>
        </is>
      </c>
      <c r="E429" s="4" t="inlineStr">
        <is>
          <t>Glass Cleaner 500ml</t>
        </is>
      </c>
      <c r="F429" s="4" t="inlineStr">
        <is>
          <t>Home Care</t>
        </is>
      </c>
      <c r="G429" s="4" t="inlineStr">
        <is>
          <t>B</t>
        </is>
      </c>
      <c r="H429" s="11" t="n">
        <v>876</v>
      </c>
      <c r="I429" s="4" t="n">
        <v>168.25</v>
      </c>
      <c r="J429" s="13">
        <f>IF(I429&gt;0,H429/I429,"")</f>
        <v/>
      </c>
      <c r="K429" s="4">
        <f>IF(I429&lt;=0,"NO DEMAND",IF(H429=0,"STOCKOUT",IF(J429&lt;Config!$B$5,"CRITICAL",IF(J429&lt;Config!$B$6,"LOW",IF(J429&gt;Config!$B$7,"EXCESS","HEALTHY")))))</f>
        <v/>
      </c>
      <c r="L429" s="11" t="n">
        <v>82</v>
      </c>
      <c r="M429" s="11" t="n">
        <v>102</v>
      </c>
      <c r="N429" s="11">
        <f>H429*L429</f>
        <v/>
      </c>
      <c r="O429" s="11">
        <f>IF(I429&gt;0,I429*(M429-L429),0)</f>
        <v/>
      </c>
      <c r="P429" s="11" t="n">
        <v>0</v>
      </c>
    </row>
    <row r="430">
      <c r="A430" s="4" t="inlineStr">
        <is>
          <t>WH04</t>
        </is>
      </c>
      <c r="B430" s="4" t="inlineStr">
        <is>
          <t>Bhiwandi DC</t>
        </is>
      </c>
      <c r="C430" s="4" t="inlineStr">
        <is>
          <t>West</t>
        </is>
      </c>
      <c r="D430" s="4" t="inlineStr">
        <is>
          <t>SKU066</t>
        </is>
      </c>
      <c r="E430" s="4" t="inlineStr">
        <is>
          <t>Fabric Softener 1L</t>
        </is>
      </c>
      <c r="F430" s="4" t="inlineStr">
        <is>
          <t>Home Care</t>
        </is>
      </c>
      <c r="G430" s="4" t="inlineStr">
        <is>
          <t>B</t>
        </is>
      </c>
      <c r="H430" s="11" t="n">
        <v>8833</v>
      </c>
      <c r="I430" s="4" t="n">
        <v>717</v>
      </c>
      <c r="J430" s="13">
        <f>IF(I430&gt;0,H430/I430,"")</f>
        <v/>
      </c>
      <c r="K430" s="4">
        <f>IF(I430&lt;=0,"NO DEMAND",IF(H430=0,"STOCKOUT",IF(J430&lt;Config!$B$5,"CRITICAL",IF(J430&lt;Config!$B$6,"LOW",IF(J430&gt;Config!$B$7,"EXCESS","HEALTHY")))))</f>
        <v/>
      </c>
      <c r="L430" s="11" t="n">
        <v>51</v>
      </c>
      <c r="M430" s="11" t="n">
        <v>65</v>
      </c>
      <c r="N430" s="11">
        <f>H430*L430</f>
        <v/>
      </c>
      <c r="O430" s="11">
        <f>IF(I430&gt;0,I430*(M430-L430),0)</f>
        <v/>
      </c>
      <c r="P430" s="11" t="n">
        <v>0</v>
      </c>
    </row>
    <row r="431">
      <c r="A431" s="4" t="inlineStr">
        <is>
          <t>WH04</t>
        </is>
      </c>
      <c r="B431" s="4" t="inlineStr">
        <is>
          <t>Bhiwandi DC</t>
        </is>
      </c>
      <c r="C431" s="4" t="inlineStr">
        <is>
          <t>West</t>
        </is>
      </c>
      <c r="D431" s="4" t="inlineStr">
        <is>
          <t>SKU067</t>
        </is>
      </c>
      <c r="E431" s="4" t="inlineStr">
        <is>
          <t>Mosquito Coil 10pk</t>
        </is>
      </c>
      <c r="F431" s="4" t="inlineStr">
        <is>
          <t>Home Care</t>
        </is>
      </c>
      <c r="G431" s="4" t="inlineStr">
        <is>
          <t>A</t>
        </is>
      </c>
      <c r="H431" s="11" t="n">
        <v>2285</v>
      </c>
      <c r="I431" s="4" t="n">
        <v>376.25</v>
      </c>
      <c r="J431" s="13">
        <f>IF(I431&gt;0,H431/I431,"")</f>
        <v/>
      </c>
      <c r="K431" s="4">
        <f>IF(I431&lt;=0,"NO DEMAND",IF(H431=0,"STOCKOUT",IF(J431&lt;Config!$B$5,"CRITICAL",IF(J431&lt;Config!$B$6,"LOW",IF(J431&gt;Config!$B$7,"EXCESS","HEALTHY")))))</f>
        <v/>
      </c>
      <c r="L431" s="11" t="n">
        <v>200</v>
      </c>
      <c r="M431" s="11" t="n">
        <v>257</v>
      </c>
      <c r="N431" s="11">
        <f>H431*L431</f>
        <v/>
      </c>
      <c r="O431" s="11">
        <f>IF(I431&gt;0,I431*(M431-L431),0)</f>
        <v/>
      </c>
      <c r="P431" s="11" t="n">
        <v>0</v>
      </c>
    </row>
    <row r="432">
      <c r="A432" s="4" t="inlineStr">
        <is>
          <t>WH04</t>
        </is>
      </c>
      <c r="B432" s="4" t="inlineStr">
        <is>
          <t>Bhiwandi DC</t>
        </is>
      </c>
      <c r="C432" s="4" t="inlineStr">
        <is>
          <t>West</t>
        </is>
      </c>
      <c r="D432" s="4" t="inlineStr">
        <is>
          <t>SKU068</t>
        </is>
      </c>
      <c r="E432" s="4" t="inlineStr">
        <is>
          <t>Air Freshener 250ml</t>
        </is>
      </c>
      <c r="F432" s="4" t="inlineStr">
        <is>
          <t>Home Care</t>
        </is>
      </c>
      <c r="G432" s="4" t="inlineStr">
        <is>
          <t>A</t>
        </is>
      </c>
      <c r="H432" s="11" t="n">
        <v>7349</v>
      </c>
      <c r="I432" s="4" t="n">
        <v>854</v>
      </c>
      <c r="J432" s="13">
        <f>IF(I432&gt;0,H432/I432,"")</f>
        <v/>
      </c>
      <c r="K432" s="4">
        <f>IF(I432&lt;=0,"NO DEMAND",IF(H432=0,"STOCKOUT",IF(J432&lt;Config!$B$5,"CRITICAL",IF(J432&lt;Config!$B$6,"LOW",IF(J432&gt;Config!$B$7,"EXCESS","HEALTHY")))))</f>
        <v/>
      </c>
      <c r="L432" s="11" t="n">
        <v>99</v>
      </c>
      <c r="M432" s="11" t="n">
        <v>123</v>
      </c>
      <c r="N432" s="11">
        <f>H432*L432</f>
        <v/>
      </c>
      <c r="O432" s="11">
        <f>IF(I432&gt;0,I432*(M432-L432),0)</f>
        <v/>
      </c>
      <c r="P432" s="11" t="n">
        <v>0</v>
      </c>
    </row>
    <row r="433">
      <c r="A433" s="4" t="inlineStr">
        <is>
          <t>WH04</t>
        </is>
      </c>
      <c r="B433" s="4" t="inlineStr">
        <is>
          <t>Bhiwandi DC</t>
        </is>
      </c>
      <c r="C433" s="4" t="inlineStr">
        <is>
          <t>West</t>
        </is>
      </c>
      <c r="D433" s="4" t="inlineStr">
        <is>
          <t>SKU069</t>
        </is>
      </c>
      <c r="E433" s="4" t="inlineStr">
        <is>
          <t>Garbage Bags 30pk</t>
        </is>
      </c>
      <c r="F433" s="4" t="inlineStr">
        <is>
          <t>Home Care</t>
        </is>
      </c>
      <c r="G433" s="4" t="inlineStr">
        <is>
          <t>B</t>
        </is>
      </c>
      <c r="H433" s="11" t="n">
        <v>2406</v>
      </c>
      <c r="I433" s="4" t="n">
        <v>319</v>
      </c>
      <c r="J433" s="13">
        <f>IF(I433&gt;0,H433/I433,"")</f>
        <v/>
      </c>
      <c r="K433" s="4">
        <f>IF(I433&lt;=0,"NO DEMAND",IF(H433=0,"STOCKOUT",IF(J433&lt;Config!$B$5,"CRITICAL",IF(J433&lt;Config!$B$6,"LOW",IF(J433&gt;Config!$B$7,"EXCESS","HEALTHY")))))</f>
        <v/>
      </c>
      <c r="L433" s="11" t="n">
        <v>202</v>
      </c>
      <c r="M433" s="11" t="n">
        <v>252</v>
      </c>
      <c r="N433" s="11">
        <f>H433*L433</f>
        <v/>
      </c>
      <c r="O433" s="11">
        <f>IF(I433&gt;0,I433*(M433-L433),0)</f>
        <v/>
      </c>
      <c r="P433" s="11" t="n">
        <v>0</v>
      </c>
    </row>
    <row r="434">
      <c r="A434" s="4" t="inlineStr">
        <is>
          <t>WH04</t>
        </is>
      </c>
      <c r="B434" s="4" t="inlineStr">
        <is>
          <t>Bhiwandi DC</t>
        </is>
      </c>
      <c r="C434" s="4" t="inlineStr">
        <is>
          <t>West</t>
        </is>
      </c>
      <c r="D434" s="4" t="inlineStr">
        <is>
          <t>SKU070</t>
        </is>
      </c>
      <c r="E434" s="4" t="inlineStr">
        <is>
          <t>Scrub Pad 3pk</t>
        </is>
      </c>
      <c r="F434" s="4" t="inlineStr">
        <is>
          <t>Home Care</t>
        </is>
      </c>
      <c r="G434" s="4" t="inlineStr">
        <is>
          <t>A</t>
        </is>
      </c>
      <c r="H434" s="11" t="n">
        <v>5790</v>
      </c>
      <c r="I434" s="4" t="n">
        <v>635.25</v>
      </c>
      <c r="J434" s="13">
        <f>IF(I434&gt;0,H434/I434,"")</f>
        <v/>
      </c>
      <c r="K434" s="4">
        <f>IF(I434&lt;=0,"NO DEMAND",IF(H434=0,"STOCKOUT",IF(J434&lt;Config!$B$5,"CRITICAL",IF(J434&lt;Config!$B$6,"LOW",IF(J434&gt;Config!$B$7,"EXCESS","HEALTHY")))))</f>
        <v/>
      </c>
      <c r="L434" s="11" t="n">
        <v>121</v>
      </c>
      <c r="M434" s="11" t="n">
        <v>153</v>
      </c>
      <c r="N434" s="11">
        <f>H434*L434</f>
        <v/>
      </c>
      <c r="O434" s="11">
        <f>IF(I434&gt;0,I434*(M434-L434),0)</f>
        <v/>
      </c>
      <c r="P434" s="11" t="n">
        <v>0</v>
      </c>
    </row>
    <row r="435">
      <c r="A435" s="4" t="inlineStr">
        <is>
          <t>WH04</t>
        </is>
      </c>
      <c r="B435" s="4" t="inlineStr">
        <is>
          <t>Bhiwandi DC</t>
        </is>
      </c>
      <c r="C435" s="4" t="inlineStr">
        <is>
          <t>West</t>
        </is>
      </c>
      <c r="D435" s="4" t="inlineStr">
        <is>
          <t>SKU071</t>
        </is>
      </c>
      <c r="E435" s="4" t="inlineStr">
        <is>
          <t>Bleach 500ml</t>
        </is>
      </c>
      <c r="F435" s="4" t="inlineStr">
        <is>
          <t>Home Care</t>
        </is>
      </c>
      <c r="G435" s="4" t="inlineStr">
        <is>
          <t>C</t>
        </is>
      </c>
      <c r="H435" s="11" t="n">
        <v>1972</v>
      </c>
      <c r="I435" s="4" t="n">
        <v>330.5</v>
      </c>
      <c r="J435" s="13">
        <f>IF(I435&gt;0,H435/I435,"")</f>
        <v/>
      </c>
      <c r="K435" s="4">
        <f>IF(I435&lt;=0,"NO DEMAND",IF(H435=0,"STOCKOUT",IF(J435&lt;Config!$B$5,"CRITICAL",IF(J435&lt;Config!$B$6,"LOW",IF(J435&gt;Config!$B$7,"EXCESS","HEALTHY")))))</f>
        <v/>
      </c>
      <c r="L435" s="11" t="n">
        <v>41</v>
      </c>
      <c r="M435" s="11" t="n">
        <v>51</v>
      </c>
      <c r="N435" s="11">
        <f>H435*L435</f>
        <v/>
      </c>
      <c r="O435" s="11">
        <f>IF(I435&gt;0,I435*(M435-L435),0)</f>
        <v/>
      </c>
      <c r="P435" s="11" t="n">
        <v>0</v>
      </c>
    </row>
    <row r="436">
      <c r="A436" s="4" t="inlineStr">
        <is>
          <t>WH04</t>
        </is>
      </c>
      <c r="B436" s="4" t="inlineStr">
        <is>
          <t>Bhiwandi DC</t>
        </is>
      </c>
      <c r="C436" s="4" t="inlineStr">
        <is>
          <t>West</t>
        </is>
      </c>
      <c r="D436" s="4" t="inlineStr">
        <is>
          <t>SKU072</t>
        </is>
      </c>
      <c r="E436" s="4" t="inlineStr">
        <is>
          <t>Phenyl 1L</t>
        </is>
      </c>
      <c r="F436" s="4" t="inlineStr">
        <is>
          <t>Home Care</t>
        </is>
      </c>
      <c r="G436" s="4" t="inlineStr">
        <is>
          <t>B</t>
        </is>
      </c>
      <c r="H436" s="11" t="n">
        <v>2190</v>
      </c>
      <c r="I436" s="4" t="n">
        <v>813.5</v>
      </c>
      <c r="J436" s="13">
        <f>IF(I436&gt;0,H436/I436,"")</f>
        <v/>
      </c>
      <c r="K436" s="4">
        <f>IF(I436&lt;=0,"NO DEMAND",IF(H436=0,"STOCKOUT",IF(J436&lt;Config!$B$5,"CRITICAL",IF(J436&lt;Config!$B$6,"LOW",IF(J436&gt;Config!$B$7,"EXCESS","HEALTHY")))))</f>
        <v/>
      </c>
      <c r="L436" s="11" t="n">
        <v>137</v>
      </c>
      <c r="M436" s="11" t="n">
        <v>170</v>
      </c>
      <c r="N436" s="11">
        <f>H436*L436</f>
        <v/>
      </c>
      <c r="O436" s="11">
        <f>IF(I436&gt;0,I436*(M436-L436),0)</f>
        <v/>
      </c>
      <c r="P436" s="11" t="n">
        <v>4524</v>
      </c>
    </row>
    <row r="437">
      <c r="A437" s="4" t="inlineStr">
        <is>
          <t>WH04</t>
        </is>
      </c>
      <c r="B437" s="4" t="inlineStr">
        <is>
          <t>Bhiwandi DC</t>
        </is>
      </c>
      <c r="C437" s="4" t="inlineStr">
        <is>
          <t>West</t>
        </is>
      </c>
      <c r="D437" s="4" t="inlineStr">
        <is>
          <t>SKU073</t>
        </is>
      </c>
      <c r="E437" s="4" t="inlineStr">
        <is>
          <t>Agarbatti 100pk</t>
        </is>
      </c>
      <c r="F437" s="4" t="inlineStr">
        <is>
          <t>Home Care</t>
        </is>
      </c>
      <c r="G437" s="4" t="inlineStr">
        <is>
          <t>C</t>
        </is>
      </c>
      <c r="H437" s="11" t="n">
        <v>4086</v>
      </c>
      <c r="I437" s="4" t="n">
        <v>685.75</v>
      </c>
      <c r="J437" s="13">
        <f>IF(I437&gt;0,H437/I437,"")</f>
        <v/>
      </c>
      <c r="K437" s="4">
        <f>IF(I437&lt;=0,"NO DEMAND",IF(H437=0,"STOCKOUT",IF(J437&lt;Config!$B$5,"CRITICAL",IF(J437&lt;Config!$B$6,"LOW",IF(J437&gt;Config!$B$7,"EXCESS","HEALTHY")))))</f>
        <v/>
      </c>
      <c r="L437" s="11" t="n">
        <v>59</v>
      </c>
      <c r="M437" s="11" t="n">
        <v>75</v>
      </c>
      <c r="N437" s="11">
        <f>H437*L437</f>
        <v/>
      </c>
      <c r="O437" s="11">
        <f>IF(I437&gt;0,I437*(M437-L437),0)</f>
        <v/>
      </c>
      <c r="P437" s="11" t="n">
        <v>0</v>
      </c>
    </row>
    <row r="438">
      <c r="A438" s="4" t="inlineStr">
        <is>
          <t>WH04</t>
        </is>
      </c>
      <c r="B438" s="4" t="inlineStr">
        <is>
          <t>Bhiwandi DC</t>
        </is>
      </c>
      <c r="C438" s="4" t="inlineStr">
        <is>
          <t>West</t>
        </is>
      </c>
      <c r="D438" s="4" t="inlineStr">
        <is>
          <t>SKU074</t>
        </is>
      </c>
      <c r="E438" s="4" t="inlineStr">
        <is>
          <t>Matchbox 10pk</t>
        </is>
      </c>
      <c r="F438" s="4" t="inlineStr">
        <is>
          <t>Home Care</t>
        </is>
      </c>
      <c r="G438" s="4" t="inlineStr">
        <is>
          <t>A</t>
        </is>
      </c>
      <c r="H438" s="11" t="n">
        <v>2872</v>
      </c>
      <c r="I438" s="4" t="n">
        <v>587.25</v>
      </c>
      <c r="J438" s="13">
        <f>IF(I438&gt;0,H438/I438,"")</f>
        <v/>
      </c>
      <c r="K438" s="4">
        <f>IF(I438&lt;=0,"NO DEMAND",IF(H438=0,"STOCKOUT",IF(J438&lt;Config!$B$5,"CRITICAL",IF(J438&lt;Config!$B$6,"LOW",IF(J438&gt;Config!$B$7,"EXCESS","HEALTHY")))))</f>
        <v/>
      </c>
      <c r="L438" s="11" t="n">
        <v>257</v>
      </c>
      <c r="M438" s="11" t="n">
        <v>315</v>
      </c>
      <c r="N438" s="11">
        <f>H438*L438</f>
        <v/>
      </c>
      <c r="O438" s="11">
        <f>IF(I438&gt;0,I438*(M438-L438),0)</f>
        <v/>
      </c>
      <c r="P438" s="11" t="n">
        <v>3984</v>
      </c>
    </row>
    <row r="439">
      <c r="A439" s="4" t="inlineStr">
        <is>
          <t>WH04</t>
        </is>
      </c>
      <c r="B439" s="4" t="inlineStr">
        <is>
          <t>Bhiwandi DC</t>
        </is>
      </c>
      <c r="C439" s="4" t="inlineStr">
        <is>
          <t>West</t>
        </is>
      </c>
      <c r="D439" s="4" t="inlineStr">
        <is>
          <t>SKU075</t>
        </is>
      </c>
      <c r="E439" s="4" t="inlineStr">
        <is>
          <t>Naphthalene Balls 200g</t>
        </is>
      </c>
      <c r="F439" s="4" t="inlineStr">
        <is>
          <t>Home Care</t>
        </is>
      </c>
      <c r="G439" s="4" t="inlineStr">
        <is>
          <t>C</t>
        </is>
      </c>
      <c r="H439" s="11" t="n">
        <v>6952</v>
      </c>
      <c r="I439" s="4" t="n">
        <v>830.5</v>
      </c>
      <c r="J439" s="13">
        <f>IF(I439&gt;0,H439/I439,"")</f>
        <v/>
      </c>
      <c r="K439" s="4">
        <f>IF(I439&lt;=0,"NO DEMAND",IF(H439=0,"STOCKOUT",IF(J439&lt;Config!$B$5,"CRITICAL",IF(J439&lt;Config!$B$6,"LOW",IF(J439&gt;Config!$B$7,"EXCESS","HEALTHY")))))</f>
        <v/>
      </c>
      <c r="L439" s="11" t="n">
        <v>49</v>
      </c>
      <c r="M439" s="11" t="n">
        <v>60</v>
      </c>
      <c r="N439" s="11">
        <f>H439*L439</f>
        <v/>
      </c>
      <c r="O439" s="11">
        <f>IF(I439&gt;0,I439*(M439-L439),0)</f>
        <v/>
      </c>
      <c r="P439" s="11" t="n">
        <v>0</v>
      </c>
    </row>
    <row r="440">
      <c r="A440" s="4" t="inlineStr">
        <is>
          <t>WH04</t>
        </is>
      </c>
      <c r="B440" s="4" t="inlineStr">
        <is>
          <t>Bhiwandi DC</t>
        </is>
      </c>
      <c r="C440" s="4" t="inlineStr">
        <is>
          <t>West</t>
        </is>
      </c>
      <c r="D440" s="4" t="inlineStr">
        <is>
          <t>SKU076</t>
        </is>
      </c>
      <c r="E440" s="4" t="inlineStr">
        <is>
          <t>USB-C Cable 1m</t>
        </is>
      </c>
      <c r="F440" s="4" t="inlineStr">
        <is>
          <t>Electronics Accessories</t>
        </is>
      </c>
      <c r="G440" s="4" t="inlineStr">
        <is>
          <t>A</t>
        </is>
      </c>
      <c r="H440" s="11" t="n">
        <v>908</v>
      </c>
      <c r="I440" s="4" t="n">
        <v>306</v>
      </c>
      <c r="J440" s="13">
        <f>IF(I440&gt;0,H440/I440,"")</f>
        <v/>
      </c>
      <c r="K440" s="4">
        <f>IF(I440&lt;=0,"NO DEMAND",IF(H440=0,"STOCKOUT",IF(J440&lt;Config!$B$5,"CRITICAL",IF(J440&lt;Config!$B$6,"LOW",IF(J440&gt;Config!$B$7,"EXCESS","HEALTHY")))))</f>
        <v/>
      </c>
      <c r="L440" s="11" t="n">
        <v>441</v>
      </c>
      <c r="M440" s="11" t="n">
        <v>572</v>
      </c>
      <c r="N440" s="11">
        <f>H440*L440</f>
        <v/>
      </c>
      <c r="O440" s="11">
        <f>IF(I440&gt;0,I440*(M440-L440),0)</f>
        <v/>
      </c>
      <c r="P440" s="11" t="n">
        <v>1430</v>
      </c>
    </row>
    <row r="441">
      <c r="A441" s="4" t="inlineStr">
        <is>
          <t>WH04</t>
        </is>
      </c>
      <c r="B441" s="4" t="inlineStr">
        <is>
          <t>Bhiwandi DC</t>
        </is>
      </c>
      <c r="C441" s="4" t="inlineStr">
        <is>
          <t>West</t>
        </is>
      </c>
      <c r="D441" s="4" t="inlineStr">
        <is>
          <t>SKU077</t>
        </is>
      </c>
      <c r="E441" s="4" t="inlineStr">
        <is>
          <t>Fast Charger 25W</t>
        </is>
      </c>
      <c r="F441" s="4" t="inlineStr">
        <is>
          <t>Electronics Accessories</t>
        </is>
      </c>
      <c r="G441" s="4" t="inlineStr">
        <is>
          <t>B</t>
        </is>
      </c>
      <c r="H441" s="11" t="n">
        <v>1579</v>
      </c>
      <c r="I441" s="4" t="n">
        <v>393</v>
      </c>
      <c r="J441" s="13">
        <f>IF(I441&gt;0,H441/I441,"")</f>
        <v/>
      </c>
      <c r="K441" s="4">
        <f>IF(I441&lt;=0,"NO DEMAND",IF(H441=0,"STOCKOUT",IF(J441&lt;Config!$B$5,"CRITICAL",IF(J441&lt;Config!$B$6,"LOW",IF(J441&gt;Config!$B$7,"EXCESS","HEALTHY")))))</f>
        <v/>
      </c>
      <c r="L441" s="11" t="n">
        <v>364</v>
      </c>
      <c r="M441" s="11" t="n">
        <v>465</v>
      </c>
      <c r="N441" s="11">
        <f>H441*L441</f>
        <v/>
      </c>
      <c r="O441" s="11">
        <f>IF(I441&gt;0,I441*(M441-L441),0)</f>
        <v/>
      </c>
      <c r="P441" s="11" t="n">
        <v>2590</v>
      </c>
    </row>
    <row r="442">
      <c r="A442" s="4" t="inlineStr">
        <is>
          <t>WH04</t>
        </is>
      </c>
      <c r="B442" s="4" t="inlineStr">
        <is>
          <t>Bhiwandi DC</t>
        </is>
      </c>
      <c r="C442" s="4" t="inlineStr">
        <is>
          <t>West</t>
        </is>
      </c>
      <c r="D442" s="4" t="inlineStr">
        <is>
          <t>SKU078</t>
        </is>
      </c>
      <c r="E442" s="4" t="inlineStr">
        <is>
          <t>Power Bank 10000mAh</t>
        </is>
      </c>
      <c r="F442" s="4" t="inlineStr">
        <is>
          <t>Electronics Accessories</t>
        </is>
      </c>
      <c r="G442" s="4" t="inlineStr">
        <is>
          <t>B</t>
        </is>
      </c>
      <c r="H442" s="11" t="n">
        <v>2311</v>
      </c>
      <c r="I442" s="4" t="n">
        <v>259.5</v>
      </c>
      <c r="J442" s="13">
        <f>IF(I442&gt;0,H442/I442,"")</f>
        <v/>
      </c>
      <c r="K442" s="4">
        <f>IF(I442&lt;=0,"NO DEMAND",IF(H442=0,"STOCKOUT",IF(J442&lt;Config!$B$5,"CRITICAL",IF(J442&lt;Config!$B$6,"LOW",IF(J442&gt;Config!$B$7,"EXCESS","HEALTHY")))))</f>
        <v/>
      </c>
      <c r="L442" s="11" t="n">
        <v>359</v>
      </c>
      <c r="M442" s="11" t="n">
        <v>471</v>
      </c>
      <c r="N442" s="11">
        <f>H442*L442</f>
        <v/>
      </c>
      <c r="O442" s="11">
        <f>IF(I442&gt;0,I442*(M442-L442),0)</f>
        <v/>
      </c>
      <c r="P442" s="11" t="n">
        <v>0</v>
      </c>
    </row>
    <row r="443">
      <c r="A443" s="4" t="inlineStr">
        <is>
          <t>WH04</t>
        </is>
      </c>
      <c r="B443" s="4" t="inlineStr">
        <is>
          <t>Bhiwandi DC</t>
        </is>
      </c>
      <c r="C443" s="4" t="inlineStr">
        <is>
          <t>West</t>
        </is>
      </c>
      <c r="D443" s="4" t="inlineStr">
        <is>
          <t>SKU079</t>
        </is>
      </c>
      <c r="E443" s="4" t="inlineStr">
        <is>
          <t>Wired Earphones</t>
        </is>
      </c>
      <c r="F443" s="4" t="inlineStr">
        <is>
          <t>Electronics Accessories</t>
        </is>
      </c>
      <c r="G443" s="4" t="inlineStr">
        <is>
          <t>A</t>
        </is>
      </c>
      <c r="H443" s="11" t="n">
        <v>1769</v>
      </c>
      <c r="I443" s="4" t="n">
        <v>268.5</v>
      </c>
      <c r="J443" s="13">
        <f>IF(I443&gt;0,H443/I443,"")</f>
        <v/>
      </c>
      <c r="K443" s="4">
        <f>IF(I443&lt;=0,"NO DEMAND",IF(H443=0,"STOCKOUT",IF(J443&lt;Config!$B$5,"CRITICAL",IF(J443&lt;Config!$B$6,"LOW",IF(J443&gt;Config!$B$7,"EXCESS","HEALTHY")))))</f>
        <v/>
      </c>
      <c r="L443" s="11" t="n">
        <v>1110</v>
      </c>
      <c r="M443" s="11" t="n">
        <v>1412</v>
      </c>
      <c r="N443" s="11">
        <f>H443*L443</f>
        <v/>
      </c>
      <c r="O443" s="11">
        <f>IF(I443&gt;0,I443*(M443-L443),0)</f>
        <v/>
      </c>
      <c r="P443" s="11" t="n">
        <v>1430</v>
      </c>
    </row>
    <row r="444">
      <c r="A444" s="4" t="inlineStr">
        <is>
          <t>WH04</t>
        </is>
      </c>
      <c r="B444" s="4" t="inlineStr">
        <is>
          <t>Bhiwandi DC</t>
        </is>
      </c>
      <c r="C444" s="4" t="inlineStr">
        <is>
          <t>West</t>
        </is>
      </c>
      <c r="D444" s="4" t="inlineStr">
        <is>
          <t>SKU080</t>
        </is>
      </c>
      <c r="E444" s="4" t="inlineStr">
        <is>
          <t>TWS Earbuds</t>
        </is>
      </c>
      <c r="F444" s="4" t="inlineStr">
        <is>
          <t>Electronics Accessories</t>
        </is>
      </c>
      <c r="G444" s="4" t="inlineStr">
        <is>
          <t>A</t>
        </is>
      </c>
      <c r="H444" s="11" t="n">
        <v>2817</v>
      </c>
      <c r="I444" s="4" t="n">
        <v>379.25</v>
      </c>
      <c r="J444" s="13">
        <f>IF(I444&gt;0,H444/I444,"")</f>
        <v/>
      </c>
      <c r="K444" s="4">
        <f>IF(I444&lt;=0,"NO DEMAND",IF(H444=0,"STOCKOUT",IF(J444&lt;Config!$B$5,"CRITICAL",IF(J444&lt;Config!$B$6,"LOW",IF(J444&gt;Config!$B$7,"EXCESS","HEALTHY")))))</f>
        <v/>
      </c>
      <c r="L444" s="11" t="n">
        <v>2238</v>
      </c>
      <c r="M444" s="11" t="n">
        <v>2947</v>
      </c>
      <c r="N444" s="11">
        <f>H444*L444</f>
        <v/>
      </c>
      <c r="O444" s="11">
        <f>IF(I444&gt;0,I444*(M444-L444),0)</f>
        <v/>
      </c>
      <c r="P444" s="11" t="n">
        <v>0</v>
      </c>
    </row>
    <row r="445">
      <c r="A445" s="4" t="inlineStr">
        <is>
          <t>WH04</t>
        </is>
      </c>
      <c r="B445" s="4" t="inlineStr">
        <is>
          <t>Bhiwandi DC</t>
        </is>
      </c>
      <c r="C445" s="4" t="inlineStr">
        <is>
          <t>West</t>
        </is>
      </c>
      <c r="D445" s="4" t="inlineStr">
        <is>
          <t>SKU081</t>
        </is>
      </c>
      <c r="E445" s="4" t="inlineStr">
        <is>
          <t>Bluetooth Speaker</t>
        </is>
      </c>
      <c r="F445" s="4" t="inlineStr">
        <is>
          <t>Electronics Accessories</t>
        </is>
      </c>
      <c r="G445" s="4" t="inlineStr">
        <is>
          <t>B</t>
        </is>
      </c>
      <c r="H445" s="11" t="n">
        <v>4982</v>
      </c>
      <c r="I445" s="4" t="n">
        <v>348</v>
      </c>
      <c r="J445" s="13">
        <f>IF(I445&gt;0,H445/I445,"")</f>
        <v/>
      </c>
      <c r="K445" s="4">
        <f>IF(I445&lt;=0,"NO DEMAND",IF(H445=0,"STOCKOUT",IF(J445&lt;Config!$B$5,"CRITICAL",IF(J445&lt;Config!$B$6,"LOW",IF(J445&gt;Config!$B$7,"EXCESS","HEALTHY")))))</f>
        <v/>
      </c>
      <c r="L445" s="11" t="n">
        <v>227</v>
      </c>
      <c r="M445" s="11" t="n">
        <v>293</v>
      </c>
      <c r="N445" s="11">
        <f>H445*L445</f>
        <v/>
      </c>
      <c r="O445" s="11">
        <f>IF(I445&gt;0,I445*(M445-L445),0)</f>
        <v/>
      </c>
      <c r="P445" s="11" t="n">
        <v>0</v>
      </c>
    </row>
    <row r="446">
      <c r="A446" s="4" t="inlineStr">
        <is>
          <t>WH04</t>
        </is>
      </c>
      <c r="B446" s="4" t="inlineStr">
        <is>
          <t>Bhiwandi DC</t>
        </is>
      </c>
      <c r="C446" s="4" t="inlineStr">
        <is>
          <t>West</t>
        </is>
      </c>
      <c r="D446" s="4" t="inlineStr">
        <is>
          <t>SKU082</t>
        </is>
      </c>
      <c r="E446" s="4" t="inlineStr">
        <is>
          <t>Phone Case</t>
        </is>
      </c>
      <c r="F446" s="4" t="inlineStr">
        <is>
          <t>Electronics Accessories</t>
        </is>
      </c>
      <c r="G446" s="4" t="inlineStr">
        <is>
          <t>B</t>
        </is>
      </c>
      <c r="H446" s="11" t="n">
        <v>1682</v>
      </c>
      <c r="I446" s="4" t="n">
        <v>191.25</v>
      </c>
      <c r="J446" s="13">
        <f>IF(I446&gt;0,H446/I446,"")</f>
        <v/>
      </c>
      <c r="K446" s="4">
        <f>IF(I446&lt;=0,"NO DEMAND",IF(H446=0,"STOCKOUT",IF(J446&lt;Config!$B$5,"CRITICAL",IF(J446&lt;Config!$B$6,"LOW",IF(J446&gt;Config!$B$7,"EXCESS","HEALTHY")))))</f>
        <v/>
      </c>
      <c r="L446" s="11" t="n">
        <v>665</v>
      </c>
      <c r="M446" s="11" t="n">
        <v>835</v>
      </c>
      <c r="N446" s="11">
        <f>H446*L446</f>
        <v/>
      </c>
      <c r="O446" s="11">
        <f>IF(I446&gt;0,I446*(M446-L446),0)</f>
        <v/>
      </c>
      <c r="P446" s="11" t="n">
        <v>1920</v>
      </c>
    </row>
    <row r="447">
      <c r="A447" s="4" t="inlineStr">
        <is>
          <t>WH04</t>
        </is>
      </c>
      <c r="B447" s="4" t="inlineStr">
        <is>
          <t>Bhiwandi DC</t>
        </is>
      </c>
      <c r="C447" s="4" t="inlineStr">
        <is>
          <t>West</t>
        </is>
      </c>
      <c r="D447" s="4" t="inlineStr">
        <is>
          <t>SKU083</t>
        </is>
      </c>
      <c r="E447" s="4" t="inlineStr">
        <is>
          <t>Screen Guard</t>
        </is>
      </c>
      <c r="F447" s="4" t="inlineStr">
        <is>
          <t>Electronics Accessories</t>
        </is>
      </c>
      <c r="G447" s="4" t="inlineStr">
        <is>
          <t>C</t>
        </is>
      </c>
      <c r="H447" s="11" t="n">
        <v>172</v>
      </c>
      <c r="I447" s="4" t="n">
        <v>38.25</v>
      </c>
      <c r="J447" s="13">
        <f>IF(I447&gt;0,H447/I447,"")</f>
        <v/>
      </c>
      <c r="K447" s="4">
        <f>IF(I447&lt;=0,"NO DEMAND",IF(H447=0,"STOCKOUT",IF(J447&lt;Config!$B$5,"CRITICAL",IF(J447&lt;Config!$B$6,"LOW",IF(J447&gt;Config!$B$7,"EXCESS","HEALTHY")))))</f>
        <v/>
      </c>
      <c r="L447" s="11" t="n">
        <v>229</v>
      </c>
      <c r="M447" s="11" t="n">
        <v>298</v>
      </c>
      <c r="N447" s="11">
        <f>H447*L447</f>
        <v/>
      </c>
      <c r="O447" s="11">
        <f>IF(I447&gt;0,I447*(M447-L447),0)</f>
        <v/>
      </c>
      <c r="P447" s="11" t="n">
        <v>200</v>
      </c>
    </row>
    <row r="448">
      <c r="A448" s="4" t="inlineStr">
        <is>
          <t>WH04</t>
        </is>
      </c>
      <c r="B448" s="4" t="inlineStr">
        <is>
          <t>Bhiwandi DC</t>
        </is>
      </c>
      <c r="C448" s="4" t="inlineStr">
        <is>
          <t>West</t>
        </is>
      </c>
      <c r="D448" s="4" t="inlineStr">
        <is>
          <t>SKU084</t>
        </is>
      </c>
      <c r="E448" s="4" t="inlineStr">
        <is>
          <t>LED Bulb 9W</t>
        </is>
      </c>
      <c r="F448" s="4" t="inlineStr">
        <is>
          <t>Electronics Accessories</t>
        </is>
      </c>
      <c r="G448" s="4" t="inlineStr">
        <is>
          <t>C</t>
        </is>
      </c>
      <c r="H448" s="11" t="n">
        <v>1925</v>
      </c>
      <c r="I448" s="4" t="n">
        <v>260.75</v>
      </c>
      <c r="J448" s="13">
        <f>IF(I448&gt;0,H448/I448,"")</f>
        <v/>
      </c>
      <c r="K448" s="4">
        <f>IF(I448&lt;=0,"NO DEMAND",IF(H448=0,"STOCKOUT",IF(J448&lt;Config!$B$5,"CRITICAL",IF(J448&lt;Config!$B$6,"LOW",IF(J448&gt;Config!$B$7,"EXCESS","HEALTHY")))))</f>
        <v/>
      </c>
      <c r="L448" s="11" t="n">
        <v>160</v>
      </c>
      <c r="M448" s="11" t="n">
        <v>207</v>
      </c>
      <c r="N448" s="11">
        <f>H448*L448</f>
        <v/>
      </c>
      <c r="O448" s="11">
        <f>IF(I448&gt;0,I448*(M448-L448),0)</f>
        <v/>
      </c>
      <c r="P448" s="11" t="n">
        <v>1520</v>
      </c>
    </row>
    <row r="449">
      <c r="A449" s="4" t="inlineStr">
        <is>
          <t>WH04</t>
        </is>
      </c>
      <c r="B449" s="4" t="inlineStr">
        <is>
          <t>Bhiwandi DC</t>
        </is>
      </c>
      <c r="C449" s="4" t="inlineStr">
        <is>
          <t>West</t>
        </is>
      </c>
      <c r="D449" s="4" t="inlineStr">
        <is>
          <t>SKU085</t>
        </is>
      </c>
      <c r="E449" s="4" t="inlineStr">
        <is>
          <t>Extension Board 4-socket</t>
        </is>
      </c>
      <c r="F449" s="4" t="inlineStr">
        <is>
          <t>Electronics Accessories</t>
        </is>
      </c>
      <c r="G449" s="4" t="inlineStr">
        <is>
          <t>B</t>
        </is>
      </c>
      <c r="H449" s="11" t="n">
        <v>926</v>
      </c>
      <c r="I449" s="4" t="n">
        <v>340.75</v>
      </c>
      <c r="J449" s="13">
        <f>IF(I449&gt;0,H449/I449,"")</f>
        <v/>
      </c>
      <c r="K449" s="4">
        <f>IF(I449&lt;=0,"NO DEMAND",IF(H449=0,"STOCKOUT",IF(J449&lt;Config!$B$5,"CRITICAL",IF(J449&lt;Config!$B$6,"LOW",IF(J449&gt;Config!$B$7,"EXCESS","HEALTHY")))))</f>
        <v/>
      </c>
      <c r="L449" s="11" t="n">
        <v>336</v>
      </c>
      <c r="M449" s="11" t="n">
        <v>431</v>
      </c>
      <c r="N449" s="11">
        <f>H449*L449</f>
        <v/>
      </c>
      <c r="O449" s="11">
        <f>IF(I449&gt;0,I449*(M449-L449),0)</f>
        <v/>
      </c>
      <c r="P449" s="11" t="n">
        <v>1730</v>
      </c>
    </row>
    <row r="450">
      <c r="A450" s="4" t="inlineStr">
        <is>
          <t>WH04</t>
        </is>
      </c>
      <c r="B450" s="4" t="inlineStr">
        <is>
          <t>Bhiwandi DC</t>
        </is>
      </c>
      <c r="C450" s="4" t="inlineStr">
        <is>
          <t>West</t>
        </is>
      </c>
      <c r="D450" s="4" t="inlineStr">
        <is>
          <t>SKU086</t>
        </is>
      </c>
      <c r="E450" s="4" t="inlineStr">
        <is>
          <t>AA Batteries 10pk</t>
        </is>
      </c>
      <c r="F450" s="4" t="inlineStr">
        <is>
          <t>Electronics Accessories</t>
        </is>
      </c>
      <c r="G450" s="4" t="inlineStr">
        <is>
          <t>A</t>
        </is>
      </c>
      <c r="H450" s="11" t="n">
        <v>3092</v>
      </c>
      <c r="I450" s="4" t="n">
        <v>175</v>
      </c>
      <c r="J450" s="13">
        <f>IF(I450&gt;0,H450/I450,"")</f>
        <v/>
      </c>
      <c r="K450" s="4">
        <f>IF(I450&lt;=0,"NO DEMAND",IF(H450=0,"STOCKOUT",IF(J450&lt;Config!$B$5,"CRITICAL",IF(J450&lt;Config!$B$6,"LOW",IF(J450&gt;Config!$B$7,"EXCESS","HEALTHY")))))</f>
        <v/>
      </c>
      <c r="L450" s="11" t="n">
        <v>1335</v>
      </c>
      <c r="M450" s="11" t="n">
        <v>1740</v>
      </c>
      <c r="N450" s="11">
        <f>H450*L450</f>
        <v/>
      </c>
      <c r="O450" s="11">
        <f>IF(I450&gt;0,I450*(M450-L450),0)</f>
        <v/>
      </c>
      <c r="P450" s="11" t="n">
        <v>0</v>
      </c>
    </row>
    <row r="451">
      <c r="A451" s="4" t="inlineStr">
        <is>
          <t>WH04</t>
        </is>
      </c>
      <c r="B451" s="4" t="inlineStr">
        <is>
          <t>Bhiwandi DC</t>
        </is>
      </c>
      <c r="C451" s="4" t="inlineStr">
        <is>
          <t>West</t>
        </is>
      </c>
      <c r="D451" s="4" t="inlineStr">
        <is>
          <t>SKU087</t>
        </is>
      </c>
      <c r="E451" s="4" t="inlineStr">
        <is>
          <t>SD Card 64GB</t>
        </is>
      </c>
      <c r="F451" s="4" t="inlineStr">
        <is>
          <t>Electronics Accessories</t>
        </is>
      </c>
      <c r="G451" s="4" t="inlineStr">
        <is>
          <t>A</t>
        </is>
      </c>
      <c r="H451" s="11" t="n">
        <v>2834</v>
      </c>
      <c r="I451" s="4" t="n">
        <v>334.25</v>
      </c>
      <c r="J451" s="13">
        <f>IF(I451&gt;0,H451/I451,"")</f>
        <v/>
      </c>
      <c r="K451" s="4">
        <f>IF(I451&lt;=0,"NO DEMAND",IF(H451=0,"STOCKOUT",IF(J451&lt;Config!$B$5,"CRITICAL",IF(J451&lt;Config!$B$6,"LOW",IF(J451&gt;Config!$B$7,"EXCESS","HEALTHY")))))</f>
        <v/>
      </c>
      <c r="L451" s="11" t="n">
        <v>1750</v>
      </c>
      <c r="M451" s="11" t="n">
        <v>2180</v>
      </c>
      <c r="N451" s="11">
        <f>H451*L451</f>
        <v/>
      </c>
      <c r="O451" s="11">
        <f>IF(I451&gt;0,I451*(M451-L451),0)</f>
        <v/>
      </c>
      <c r="P451" s="11" t="n">
        <v>3240</v>
      </c>
    </row>
    <row r="452">
      <c r="A452" s="4" t="inlineStr">
        <is>
          <t>WH04</t>
        </is>
      </c>
      <c r="B452" s="4" t="inlineStr">
        <is>
          <t>Bhiwandi DC</t>
        </is>
      </c>
      <c r="C452" s="4" t="inlineStr">
        <is>
          <t>West</t>
        </is>
      </c>
      <c r="D452" s="4" t="inlineStr">
        <is>
          <t>SKU088</t>
        </is>
      </c>
      <c r="E452" s="4" t="inlineStr">
        <is>
          <t>Wireless Mouse</t>
        </is>
      </c>
      <c r="F452" s="4" t="inlineStr">
        <is>
          <t>Electronics Accessories</t>
        </is>
      </c>
      <c r="G452" s="4" t="inlineStr">
        <is>
          <t>A</t>
        </is>
      </c>
      <c r="H452" s="11" t="n">
        <v>621</v>
      </c>
      <c r="I452" s="4" t="n">
        <v>117</v>
      </c>
      <c r="J452" s="13">
        <f>IF(I452&gt;0,H452/I452,"")</f>
        <v/>
      </c>
      <c r="K452" s="4">
        <f>IF(I452&lt;=0,"NO DEMAND",IF(H452=0,"STOCKOUT",IF(J452&lt;Config!$B$5,"CRITICAL",IF(J452&lt;Config!$B$6,"LOW",IF(J452&gt;Config!$B$7,"EXCESS","HEALTHY")))))</f>
        <v/>
      </c>
      <c r="L452" s="11" t="n">
        <v>429</v>
      </c>
      <c r="M452" s="11" t="n">
        <v>534</v>
      </c>
      <c r="N452" s="11">
        <f>H452*L452</f>
        <v/>
      </c>
      <c r="O452" s="11">
        <f>IF(I452&gt;0,I452*(M452-L452),0)</f>
        <v/>
      </c>
      <c r="P452" s="11" t="n">
        <v>500</v>
      </c>
    </row>
    <row r="453">
      <c r="A453" s="4" t="inlineStr">
        <is>
          <t>WH04</t>
        </is>
      </c>
      <c r="B453" s="4" t="inlineStr">
        <is>
          <t>Bhiwandi DC</t>
        </is>
      </c>
      <c r="C453" s="4" t="inlineStr">
        <is>
          <t>West</t>
        </is>
      </c>
      <c r="D453" s="4" t="inlineStr">
        <is>
          <t>SKU089</t>
        </is>
      </c>
      <c r="E453" s="4" t="inlineStr">
        <is>
          <t>USB Keyboard</t>
        </is>
      </c>
      <c r="F453" s="4" t="inlineStr">
        <is>
          <t>Electronics Accessories</t>
        </is>
      </c>
      <c r="G453" s="4" t="inlineStr">
        <is>
          <t>A</t>
        </is>
      </c>
      <c r="H453" s="11" t="n">
        <v>1021</v>
      </c>
      <c r="I453" s="4" t="n">
        <v>312</v>
      </c>
      <c r="J453" s="13">
        <f>IF(I453&gt;0,H453/I453,"")</f>
        <v/>
      </c>
      <c r="K453" s="4">
        <f>IF(I453&lt;=0,"NO DEMAND",IF(H453=0,"STOCKOUT",IF(J453&lt;Config!$B$5,"CRITICAL",IF(J453&lt;Config!$B$6,"LOW",IF(J453&gt;Config!$B$7,"EXCESS","HEALTHY")))))</f>
        <v/>
      </c>
      <c r="L453" s="11" t="n">
        <v>2249</v>
      </c>
      <c r="M453" s="11" t="n">
        <v>2812</v>
      </c>
      <c r="N453" s="11">
        <f>H453*L453</f>
        <v/>
      </c>
      <c r="O453" s="11">
        <f>IF(I453&gt;0,I453*(M453-L453),0)</f>
        <v/>
      </c>
      <c r="P453" s="11" t="n">
        <v>2400</v>
      </c>
    </row>
    <row r="454">
      <c r="A454" s="4" t="inlineStr">
        <is>
          <t>WH04</t>
        </is>
      </c>
      <c r="B454" s="4" t="inlineStr">
        <is>
          <t>Bhiwandi DC</t>
        </is>
      </c>
      <c r="C454" s="4" t="inlineStr">
        <is>
          <t>West</t>
        </is>
      </c>
      <c r="D454" s="4" t="inlineStr">
        <is>
          <t>SKU090</t>
        </is>
      </c>
      <c r="E454" s="4" t="inlineStr">
        <is>
          <t>HDMI Cable 2m</t>
        </is>
      </c>
      <c r="F454" s="4" t="inlineStr">
        <is>
          <t>Electronics Accessories</t>
        </is>
      </c>
      <c r="G454" s="4" t="inlineStr">
        <is>
          <t>C</t>
        </is>
      </c>
      <c r="H454" s="11" t="n">
        <v>1342</v>
      </c>
      <c r="I454" s="4" t="n">
        <v>108.5</v>
      </c>
      <c r="J454" s="13">
        <f>IF(I454&gt;0,H454/I454,"")</f>
        <v/>
      </c>
      <c r="K454" s="4">
        <f>IF(I454&lt;=0,"NO DEMAND",IF(H454=0,"STOCKOUT",IF(J454&lt;Config!$B$5,"CRITICAL",IF(J454&lt;Config!$B$6,"LOW",IF(J454&gt;Config!$B$7,"EXCESS","HEALTHY")))))</f>
        <v/>
      </c>
      <c r="L454" s="11" t="n">
        <v>292</v>
      </c>
      <c r="M454" s="11" t="n">
        <v>378</v>
      </c>
      <c r="N454" s="11">
        <f>H454*L454</f>
        <v/>
      </c>
      <c r="O454" s="11">
        <f>IF(I454&gt;0,I454*(M454-L454),0)</f>
        <v/>
      </c>
      <c r="P454" s="11" t="n">
        <v>0</v>
      </c>
    </row>
    <row r="455">
      <c r="A455" s="4" t="inlineStr">
        <is>
          <t>WH04</t>
        </is>
      </c>
      <c r="B455" s="4" t="inlineStr">
        <is>
          <t>Bhiwandi DC</t>
        </is>
      </c>
      <c r="C455" s="4" t="inlineStr">
        <is>
          <t>West</t>
        </is>
      </c>
      <c r="D455" s="4" t="inlineStr">
        <is>
          <t>SKU091</t>
        </is>
      </c>
      <c r="E455" s="4" t="inlineStr">
        <is>
          <t>Paracetamol 500mg 15s</t>
        </is>
      </c>
      <c r="F455" s="4" t="inlineStr">
        <is>
          <t>OTC Pharma &amp; Wellness</t>
        </is>
      </c>
      <c r="G455" s="4" t="inlineStr">
        <is>
          <t>C</t>
        </is>
      </c>
      <c r="H455" s="11" t="n">
        <v>2749</v>
      </c>
      <c r="I455" s="4" t="n">
        <v>548</v>
      </c>
      <c r="J455" s="13">
        <f>IF(I455&gt;0,H455/I455,"")</f>
        <v/>
      </c>
      <c r="K455" s="4">
        <f>IF(I455&lt;=0,"NO DEMAND",IF(H455=0,"STOCKOUT",IF(J455&lt;Config!$B$5,"CRITICAL",IF(J455&lt;Config!$B$6,"LOW",IF(J455&gt;Config!$B$7,"EXCESS","HEALTHY")))))</f>
        <v/>
      </c>
      <c r="L455" s="11" t="n">
        <v>113</v>
      </c>
      <c r="M455" s="11" t="n">
        <v>144</v>
      </c>
      <c r="N455" s="11">
        <f>H455*L455</f>
        <v/>
      </c>
      <c r="O455" s="11">
        <f>IF(I455&gt;0,I455*(M455-L455),0)</f>
        <v/>
      </c>
      <c r="P455" s="11" t="n">
        <v>3588</v>
      </c>
    </row>
    <row r="456">
      <c r="A456" s="4" t="inlineStr">
        <is>
          <t>WH04</t>
        </is>
      </c>
      <c r="B456" s="4" t="inlineStr">
        <is>
          <t>Bhiwandi DC</t>
        </is>
      </c>
      <c r="C456" s="4" t="inlineStr">
        <is>
          <t>West</t>
        </is>
      </c>
      <c r="D456" s="4" t="inlineStr">
        <is>
          <t>SKU092</t>
        </is>
      </c>
      <c r="E456" s="4" t="inlineStr">
        <is>
          <t>ORS Sachets 10pk</t>
        </is>
      </c>
      <c r="F456" s="4" t="inlineStr">
        <is>
          <t>OTC Pharma &amp; Wellness</t>
        </is>
      </c>
      <c r="G456" s="4" t="inlineStr">
        <is>
          <t>C</t>
        </is>
      </c>
      <c r="H456" s="11" t="n">
        <v>4292</v>
      </c>
      <c r="I456" s="4" t="n">
        <v>429</v>
      </c>
      <c r="J456" s="13">
        <f>IF(I456&gt;0,H456/I456,"")</f>
        <v/>
      </c>
      <c r="K456" s="4">
        <f>IF(I456&lt;=0,"NO DEMAND",IF(H456=0,"STOCKOUT",IF(J456&lt;Config!$B$5,"CRITICAL",IF(J456&lt;Config!$B$6,"LOW",IF(J456&gt;Config!$B$7,"EXCESS","HEALTHY")))))</f>
        <v/>
      </c>
      <c r="L456" s="11" t="n">
        <v>55</v>
      </c>
      <c r="M456" s="11" t="n">
        <v>75</v>
      </c>
      <c r="N456" s="11">
        <f>H456*L456</f>
        <v/>
      </c>
      <c r="O456" s="11">
        <f>IF(I456&gt;0,I456*(M456-L456),0)</f>
        <v/>
      </c>
      <c r="P456" s="11" t="n">
        <v>0</v>
      </c>
    </row>
    <row r="457">
      <c r="A457" s="4" t="inlineStr">
        <is>
          <t>WH04</t>
        </is>
      </c>
      <c r="B457" s="4" t="inlineStr">
        <is>
          <t>Bhiwandi DC</t>
        </is>
      </c>
      <c r="C457" s="4" t="inlineStr">
        <is>
          <t>West</t>
        </is>
      </c>
      <c r="D457" s="4" t="inlineStr">
        <is>
          <t>SKU093</t>
        </is>
      </c>
      <c r="E457" s="4" t="inlineStr">
        <is>
          <t>Antacid Syrup 200ml</t>
        </is>
      </c>
      <c r="F457" s="4" t="inlineStr">
        <is>
          <t>OTC Pharma &amp; Wellness</t>
        </is>
      </c>
      <c r="G457" s="4" t="inlineStr">
        <is>
          <t>A</t>
        </is>
      </c>
      <c r="H457" s="11" t="n">
        <v>4282</v>
      </c>
      <c r="I457" s="4" t="n">
        <v>653.25</v>
      </c>
      <c r="J457" s="13">
        <f>IF(I457&gt;0,H457/I457,"")</f>
        <v/>
      </c>
      <c r="K457" s="4">
        <f>IF(I457&lt;=0,"NO DEMAND",IF(H457=0,"STOCKOUT",IF(J457&lt;Config!$B$5,"CRITICAL",IF(J457&lt;Config!$B$6,"LOW",IF(J457&gt;Config!$B$7,"EXCESS","HEALTHY")))))</f>
        <v/>
      </c>
      <c r="L457" s="11" t="n">
        <v>277</v>
      </c>
      <c r="M457" s="11" t="n">
        <v>362</v>
      </c>
      <c r="N457" s="11">
        <f>H457*L457</f>
        <v/>
      </c>
      <c r="O457" s="11">
        <f>IF(I457&gt;0,I457*(M457-L457),0)</f>
        <v/>
      </c>
      <c r="P457" s="11" t="n">
        <v>5340</v>
      </c>
    </row>
    <row r="458">
      <c r="A458" s="4" t="inlineStr">
        <is>
          <t>WH04</t>
        </is>
      </c>
      <c r="B458" s="4" t="inlineStr">
        <is>
          <t>Bhiwandi DC</t>
        </is>
      </c>
      <c r="C458" s="4" t="inlineStr">
        <is>
          <t>West</t>
        </is>
      </c>
      <c r="D458" s="4" t="inlineStr">
        <is>
          <t>SKU094</t>
        </is>
      </c>
      <c r="E458" s="4" t="inlineStr">
        <is>
          <t>Cough Syrup 100ml</t>
        </is>
      </c>
      <c r="F458" s="4" t="inlineStr">
        <is>
          <t>OTC Pharma &amp; Wellness</t>
        </is>
      </c>
      <c r="G458" s="4" t="inlineStr">
        <is>
          <t>B</t>
        </is>
      </c>
      <c r="H458" s="11" t="n">
        <v>2120</v>
      </c>
      <c r="I458" s="4" t="n">
        <v>401.75</v>
      </c>
      <c r="J458" s="13">
        <f>IF(I458&gt;0,H458/I458,"")</f>
        <v/>
      </c>
      <c r="K458" s="4">
        <f>IF(I458&lt;=0,"NO DEMAND",IF(H458=0,"STOCKOUT",IF(J458&lt;Config!$B$5,"CRITICAL",IF(J458&lt;Config!$B$6,"LOW",IF(J458&gt;Config!$B$7,"EXCESS","HEALTHY")))))</f>
        <v/>
      </c>
      <c r="L458" s="11" t="n">
        <v>190</v>
      </c>
      <c r="M458" s="11" t="n">
        <v>254</v>
      </c>
      <c r="N458" s="11">
        <f>H458*L458</f>
        <v/>
      </c>
      <c r="O458" s="11">
        <f>IF(I458&gt;0,I458*(M458-L458),0)</f>
        <v/>
      </c>
      <c r="P458" s="11" t="n">
        <v>2376</v>
      </c>
    </row>
    <row r="459">
      <c r="A459" s="4" t="inlineStr">
        <is>
          <t>WH04</t>
        </is>
      </c>
      <c r="B459" s="4" t="inlineStr">
        <is>
          <t>Bhiwandi DC</t>
        </is>
      </c>
      <c r="C459" s="4" t="inlineStr">
        <is>
          <t>West</t>
        </is>
      </c>
      <c r="D459" s="4" t="inlineStr">
        <is>
          <t>SKU095</t>
        </is>
      </c>
      <c r="E459" s="4" t="inlineStr">
        <is>
          <t>Multivitamin 30s</t>
        </is>
      </c>
      <c r="F459" s="4" t="inlineStr">
        <is>
          <t>OTC Pharma &amp; Wellness</t>
        </is>
      </c>
      <c r="G459" s="4" t="inlineStr">
        <is>
          <t>B</t>
        </is>
      </c>
      <c r="H459" s="11" t="n">
        <v>3446</v>
      </c>
      <c r="I459" s="4" t="n">
        <v>304.75</v>
      </c>
      <c r="J459" s="13">
        <f>IF(I459&gt;0,H459/I459,"")</f>
        <v/>
      </c>
      <c r="K459" s="4">
        <f>IF(I459&lt;=0,"NO DEMAND",IF(H459=0,"STOCKOUT",IF(J459&lt;Config!$B$5,"CRITICAL",IF(J459&lt;Config!$B$6,"LOW",IF(J459&gt;Config!$B$7,"EXCESS","HEALTHY")))))</f>
        <v/>
      </c>
      <c r="L459" s="11" t="n">
        <v>178</v>
      </c>
      <c r="M459" s="11" t="n">
        <v>237</v>
      </c>
      <c r="N459" s="11">
        <f>H459*L459</f>
        <v/>
      </c>
      <c r="O459" s="11">
        <f>IF(I459&gt;0,I459*(M459-L459),0)</f>
        <v/>
      </c>
      <c r="P459" s="11" t="n">
        <v>0</v>
      </c>
    </row>
    <row r="460">
      <c r="A460" s="4" t="inlineStr">
        <is>
          <t>WH04</t>
        </is>
      </c>
      <c r="B460" s="4" t="inlineStr">
        <is>
          <t>Bhiwandi DC</t>
        </is>
      </c>
      <c r="C460" s="4" t="inlineStr">
        <is>
          <t>West</t>
        </is>
      </c>
      <c r="D460" s="4" t="inlineStr">
        <is>
          <t>SKU096</t>
        </is>
      </c>
      <c r="E460" s="4" t="inlineStr">
        <is>
          <t>Antiseptic Liquid 250ml</t>
        </is>
      </c>
      <c r="F460" s="4" t="inlineStr">
        <is>
          <t>OTC Pharma &amp; Wellness</t>
        </is>
      </c>
      <c r="G460" s="4" t="inlineStr">
        <is>
          <t>C</t>
        </is>
      </c>
      <c r="H460" s="11" t="n">
        <v>1514</v>
      </c>
      <c r="I460" s="4" t="n">
        <v>159.5</v>
      </c>
      <c r="J460" s="13">
        <f>IF(I460&gt;0,H460/I460,"")</f>
        <v/>
      </c>
      <c r="K460" s="4">
        <f>IF(I460&lt;=0,"NO DEMAND",IF(H460=0,"STOCKOUT",IF(J460&lt;Config!$B$5,"CRITICAL",IF(J460&lt;Config!$B$6,"LOW",IF(J460&gt;Config!$B$7,"EXCESS","HEALTHY")))))</f>
        <v/>
      </c>
      <c r="L460" s="11" t="n">
        <v>88</v>
      </c>
      <c r="M460" s="11" t="n">
        <v>112</v>
      </c>
      <c r="N460" s="11">
        <f>H460*L460</f>
        <v/>
      </c>
      <c r="O460" s="11">
        <f>IF(I460&gt;0,I460*(M460-L460),0)</f>
        <v/>
      </c>
      <c r="P460" s="11" t="n">
        <v>1452</v>
      </c>
    </row>
    <row r="461">
      <c r="A461" s="4" t="inlineStr">
        <is>
          <t>WH04</t>
        </is>
      </c>
      <c r="B461" s="4" t="inlineStr">
        <is>
          <t>Bhiwandi DC</t>
        </is>
      </c>
      <c r="C461" s="4" t="inlineStr">
        <is>
          <t>West</t>
        </is>
      </c>
      <c r="D461" s="4" t="inlineStr">
        <is>
          <t>SKU097</t>
        </is>
      </c>
      <c r="E461" s="4" t="inlineStr">
        <is>
          <t>Pain Balm 50g</t>
        </is>
      </c>
      <c r="F461" s="4" t="inlineStr">
        <is>
          <t>OTC Pharma &amp; Wellness</t>
        </is>
      </c>
      <c r="G461" s="4" t="inlineStr">
        <is>
          <t>C</t>
        </is>
      </c>
      <c r="H461" s="11" t="n">
        <v>2384</v>
      </c>
      <c r="I461" s="4" t="n">
        <v>193.25</v>
      </c>
      <c r="J461" s="13">
        <f>IF(I461&gt;0,H461/I461,"")</f>
        <v/>
      </c>
      <c r="K461" s="4">
        <f>IF(I461&lt;=0,"NO DEMAND",IF(H461=0,"STOCKOUT",IF(J461&lt;Config!$B$5,"CRITICAL",IF(J461&lt;Config!$B$6,"LOW",IF(J461&gt;Config!$B$7,"EXCESS","HEALTHY")))))</f>
        <v/>
      </c>
      <c r="L461" s="11" t="n">
        <v>68</v>
      </c>
      <c r="M461" s="11" t="n">
        <v>91</v>
      </c>
      <c r="N461" s="11">
        <f>H461*L461</f>
        <v/>
      </c>
      <c r="O461" s="11">
        <f>IF(I461&gt;0,I461*(M461-L461),0)</f>
        <v/>
      </c>
      <c r="P461" s="11" t="n">
        <v>0</v>
      </c>
    </row>
    <row r="462">
      <c r="A462" s="4" t="inlineStr">
        <is>
          <t>WH04</t>
        </is>
      </c>
      <c r="B462" s="4" t="inlineStr">
        <is>
          <t>Bhiwandi DC</t>
        </is>
      </c>
      <c r="C462" s="4" t="inlineStr">
        <is>
          <t>West</t>
        </is>
      </c>
      <c r="D462" s="4" t="inlineStr">
        <is>
          <t>SKU098</t>
        </is>
      </c>
      <c r="E462" s="4" t="inlineStr">
        <is>
          <t>Bandage Pack</t>
        </is>
      </c>
      <c r="F462" s="4" t="inlineStr">
        <is>
          <t>OTC Pharma &amp; Wellness</t>
        </is>
      </c>
      <c r="G462" s="4" t="inlineStr">
        <is>
          <t>C</t>
        </is>
      </c>
      <c r="H462" s="11" t="n">
        <v>5121</v>
      </c>
      <c r="I462" s="4" t="n">
        <v>738.5</v>
      </c>
      <c r="J462" s="13">
        <f>IF(I462&gt;0,H462/I462,"")</f>
        <v/>
      </c>
      <c r="K462" s="4">
        <f>IF(I462&lt;=0,"NO DEMAND",IF(H462=0,"STOCKOUT",IF(J462&lt;Config!$B$5,"CRITICAL",IF(J462&lt;Config!$B$6,"LOW",IF(J462&gt;Config!$B$7,"EXCESS","HEALTHY")))))</f>
        <v/>
      </c>
      <c r="L462" s="11" t="n">
        <v>49</v>
      </c>
      <c r="M462" s="11" t="n">
        <v>66</v>
      </c>
      <c r="N462" s="11">
        <f>H462*L462</f>
        <v/>
      </c>
      <c r="O462" s="11">
        <f>IF(I462&gt;0,I462*(M462-L462),0)</f>
        <v/>
      </c>
      <c r="P462" s="11" t="n">
        <v>6576</v>
      </c>
    </row>
    <row r="463">
      <c r="A463" s="4" t="inlineStr">
        <is>
          <t>WH04</t>
        </is>
      </c>
      <c r="B463" s="4" t="inlineStr">
        <is>
          <t>Bhiwandi DC</t>
        </is>
      </c>
      <c r="C463" s="4" t="inlineStr">
        <is>
          <t>West</t>
        </is>
      </c>
      <c r="D463" s="4" t="inlineStr">
        <is>
          <t>SKU099</t>
        </is>
      </c>
      <c r="E463" s="4" t="inlineStr">
        <is>
          <t>Digital Thermometer</t>
        </is>
      </c>
      <c r="F463" s="4" t="inlineStr">
        <is>
          <t>OTC Pharma &amp; Wellness</t>
        </is>
      </c>
      <c r="G463" s="4" t="inlineStr">
        <is>
          <t>B</t>
        </is>
      </c>
      <c r="H463" s="11" t="n">
        <v>2403</v>
      </c>
      <c r="I463" s="4" t="n">
        <v>443.25</v>
      </c>
      <c r="J463" s="13">
        <f>IF(I463&gt;0,H463/I463,"")</f>
        <v/>
      </c>
      <c r="K463" s="4">
        <f>IF(I463&lt;=0,"NO DEMAND",IF(H463=0,"STOCKOUT",IF(J463&lt;Config!$B$5,"CRITICAL",IF(J463&lt;Config!$B$6,"LOW",IF(J463&gt;Config!$B$7,"EXCESS","HEALTHY")))))</f>
        <v/>
      </c>
      <c r="L463" s="11" t="n">
        <v>88</v>
      </c>
      <c r="M463" s="11" t="n">
        <v>112</v>
      </c>
      <c r="N463" s="11">
        <f>H463*L463</f>
        <v/>
      </c>
      <c r="O463" s="11">
        <f>IF(I463&gt;0,I463*(M463-L463),0)</f>
        <v/>
      </c>
      <c r="P463" s="11" t="n">
        <v>2940</v>
      </c>
    </row>
    <row r="464">
      <c r="A464" s="4" t="inlineStr">
        <is>
          <t>WH04</t>
        </is>
      </c>
      <c r="B464" s="4" t="inlineStr">
        <is>
          <t>Bhiwandi DC</t>
        </is>
      </c>
      <c r="C464" s="4" t="inlineStr">
        <is>
          <t>West</t>
        </is>
      </c>
      <c r="D464" s="4" t="inlineStr">
        <is>
          <t>SKU100</t>
        </is>
      </c>
      <c r="E464" s="4" t="inlineStr">
        <is>
          <t>Glucose Powder 500g</t>
        </is>
      </c>
      <c r="F464" s="4" t="inlineStr">
        <is>
          <t>OTC Pharma &amp; Wellness</t>
        </is>
      </c>
      <c r="G464" s="4" t="inlineStr">
        <is>
          <t>C</t>
        </is>
      </c>
      <c r="H464" s="11" t="n">
        <v>1807</v>
      </c>
      <c r="I464" s="4" t="n">
        <v>132.25</v>
      </c>
      <c r="J464" s="13">
        <f>IF(I464&gt;0,H464/I464,"")</f>
        <v/>
      </c>
      <c r="K464" s="4">
        <f>IF(I464&lt;=0,"NO DEMAND",IF(H464=0,"STOCKOUT",IF(J464&lt;Config!$B$5,"CRITICAL",IF(J464&lt;Config!$B$6,"LOW",IF(J464&gt;Config!$B$7,"EXCESS","HEALTHY")))))</f>
        <v/>
      </c>
      <c r="L464" s="11" t="n">
        <v>32</v>
      </c>
      <c r="M464" s="11" t="n">
        <v>42</v>
      </c>
      <c r="N464" s="11">
        <f>H464*L464</f>
        <v/>
      </c>
      <c r="O464" s="11">
        <f>IF(I464&gt;0,I464*(M464-L464),0)</f>
        <v/>
      </c>
      <c r="P464" s="11" t="n">
        <v>0</v>
      </c>
    </row>
    <row r="465">
      <c r="A465" s="4" t="inlineStr">
        <is>
          <t>WH04</t>
        </is>
      </c>
      <c r="B465" s="4" t="inlineStr">
        <is>
          <t>Bhiwandi DC</t>
        </is>
      </c>
      <c r="C465" s="4" t="inlineStr">
        <is>
          <t>West</t>
        </is>
      </c>
      <c r="D465" s="4" t="inlineStr">
        <is>
          <t>SKU101</t>
        </is>
      </c>
      <c r="E465" s="4" t="inlineStr">
        <is>
          <t>Vitamin C 30s</t>
        </is>
      </c>
      <c r="F465" s="4" t="inlineStr">
        <is>
          <t>OTC Pharma &amp; Wellness</t>
        </is>
      </c>
      <c r="G465" s="4" t="inlineStr">
        <is>
          <t>B</t>
        </is>
      </c>
      <c r="H465" s="11" t="n">
        <v>2251</v>
      </c>
      <c r="I465" s="4" t="n">
        <v>327.25</v>
      </c>
      <c r="J465" s="13">
        <f>IF(I465&gt;0,H465/I465,"")</f>
        <v/>
      </c>
      <c r="K465" s="4">
        <f>IF(I465&lt;=0,"NO DEMAND",IF(H465=0,"STOCKOUT",IF(J465&lt;Config!$B$5,"CRITICAL",IF(J465&lt;Config!$B$6,"LOW",IF(J465&gt;Config!$B$7,"EXCESS","HEALTHY")))))</f>
        <v/>
      </c>
      <c r="L465" s="11" t="n">
        <v>176</v>
      </c>
      <c r="M465" s="11" t="n">
        <v>237</v>
      </c>
      <c r="N465" s="11">
        <f>H465*L465</f>
        <v/>
      </c>
      <c r="O465" s="11">
        <f>IF(I465&gt;0,I465*(M465-L465),0)</f>
        <v/>
      </c>
      <c r="P465" s="11" t="n">
        <v>0</v>
      </c>
    </row>
    <row r="466">
      <c r="A466" s="4" t="inlineStr">
        <is>
          <t>WH04</t>
        </is>
      </c>
      <c r="B466" s="4" t="inlineStr">
        <is>
          <t>Bhiwandi DC</t>
        </is>
      </c>
      <c r="C466" s="4" t="inlineStr">
        <is>
          <t>West</t>
        </is>
      </c>
      <c r="D466" s="4" t="inlineStr">
        <is>
          <t>SKU102</t>
        </is>
      </c>
      <c r="E466" s="4" t="inlineStr">
        <is>
          <t>Eye Drops 10ml</t>
        </is>
      </c>
      <c r="F466" s="4" t="inlineStr">
        <is>
          <t>OTC Pharma &amp; Wellness</t>
        </is>
      </c>
      <c r="G466" s="4" t="inlineStr">
        <is>
          <t>C</t>
        </is>
      </c>
      <c r="H466" s="11" t="n">
        <v>2975</v>
      </c>
      <c r="I466" s="4" t="n">
        <v>551.25</v>
      </c>
      <c r="J466" s="13">
        <f>IF(I466&gt;0,H466/I466,"")</f>
        <v/>
      </c>
      <c r="K466" s="4">
        <f>IF(I466&lt;=0,"NO DEMAND",IF(H466=0,"STOCKOUT",IF(J466&lt;Config!$B$5,"CRITICAL",IF(J466&lt;Config!$B$6,"LOW",IF(J466&gt;Config!$B$7,"EXCESS","HEALTHY")))))</f>
        <v/>
      </c>
      <c r="L466" s="11" t="n">
        <v>72</v>
      </c>
      <c r="M466" s="11" t="n">
        <v>92</v>
      </c>
      <c r="N466" s="11">
        <f>H466*L466</f>
        <v/>
      </c>
      <c r="O466" s="11">
        <f>IF(I466&gt;0,I466*(M466-L466),0)</f>
        <v/>
      </c>
      <c r="P466" s="11" t="n">
        <v>4032</v>
      </c>
    </row>
    <row r="467">
      <c r="A467" s="4" t="inlineStr">
        <is>
          <t>WH04</t>
        </is>
      </c>
      <c r="B467" s="4" t="inlineStr">
        <is>
          <t>Bhiwandi DC</t>
        </is>
      </c>
      <c r="C467" s="4" t="inlineStr">
        <is>
          <t>West</t>
        </is>
      </c>
      <c r="D467" s="4" t="inlineStr">
        <is>
          <t>SKU103</t>
        </is>
      </c>
      <c r="E467" s="4" t="inlineStr">
        <is>
          <t>Zinc Tablets 20s</t>
        </is>
      </c>
      <c r="F467" s="4" t="inlineStr">
        <is>
          <t>OTC Pharma &amp; Wellness</t>
        </is>
      </c>
      <c r="G467" s="4" t="inlineStr">
        <is>
          <t>C</t>
        </is>
      </c>
      <c r="H467" s="11" t="n">
        <v>1540</v>
      </c>
      <c r="I467" s="4" t="n">
        <v>171.5</v>
      </c>
      <c r="J467" s="13">
        <f>IF(I467&gt;0,H467/I467,"")</f>
        <v/>
      </c>
      <c r="K467" s="4">
        <f>IF(I467&lt;=0,"NO DEMAND",IF(H467=0,"STOCKOUT",IF(J467&lt;Config!$B$5,"CRITICAL",IF(J467&lt;Config!$B$6,"LOW",IF(J467&gt;Config!$B$7,"EXCESS","HEALTHY")))))</f>
        <v/>
      </c>
      <c r="L467" s="11" t="n">
        <v>169</v>
      </c>
      <c r="M467" s="11" t="n">
        <v>216</v>
      </c>
      <c r="N467" s="11">
        <f>H467*L467</f>
        <v/>
      </c>
      <c r="O467" s="11">
        <f>IF(I467&gt;0,I467*(M467-L467),0)</f>
        <v/>
      </c>
      <c r="P467" s="11" t="n">
        <v>0</v>
      </c>
    </row>
    <row r="468">
      <c r="A468" s="4" t="inlineStr">
        <is>
          <t>WH04</t>
        </is>
      </c>
      <c r="B468" s="4" t="inlineStr">
        <is>
          <t>Bhiwandi DC</t>
        </is>
      </c>
      <c r="C468" s="4" t="inlineStr">
        <is>
          <t>West</t>
        </is>
      </c>
      <c r="D468" s="4" t="inlineStr">
        <is>
          <t>SKU104</t>
        </is>
      </c>
      <c r="E468" s="4" t="inlineStr">
        <is>
          <t>Hand Sanitizer 500ml</t>
        </is>
      </c>
      <c r="F468" s="4" t="inlineStr">
        <is>
          <t>OTC Pharma &amp; Wellness</t>
        </is>
      </c>
      <c r="G468" s="4" t="inlineStr">
        <is>
          <t>C</t>
        </is>
      </c>
      <c r="H468" s="11" t="n">
        <v>4021</v>
      </c>
      <c r="I468" s="4" t="n">
        <v>450.25</v>
      </c>
      <c r="J468" s="13">
        <f>IF(I468&gt;0,H468/I468,"")</f>
        <v/>
      </c>
      <c r="K468" s="4">
        <f>IF(I468&lt;=0,"NO DEMAND",IF(H468=0,"STOCKOUT",IF(J468&lt;Config!$B$5,"CRITICAL",IF(J468&lt;Config!$B$6,"LOW",IF(J468&gt;Config!$B$7,"EXCESS","HEALTHY")))))</f>
        <v/>
      </c>
      <c r="L468" s="11" t="n">
        <v>37</v>
      </c>
      <c r="M468" s="11" t="n">
        <v>48</v>
      </c>
      <c r="N468" s="11">
        <f>H468*L468</f>
        <v/>
      </c>
      <c r="O468" s="11">
        <f>IF(I468&gt;0,I468*(M468-L468),0)</f>
        <v/>
      </c>
      <c r="P468" s="11" t="n">
        <v>0</v>
      </c>
    </row>
    <row r="469">
      <c r="A469" s="4" t="inlineStr">
        <is>
          <t>WH04</t>
        </is>
      </c>
      <c r="B469" s="4" t="inlineStr">
        <is>
          <t>Bhiwandi DC</t>
        </is>
      </c>
      <c r="C469" s="4" t="inlineStr">
        <is>
          <t>West</t>
        </is>
      </c>
      <c r="D469" s="4" t="inlineStr">
        <is>
          <t>SKU105</t>
        </is>
      </c>
      <c r="E469" s="4" t="inlineStr">
        <is>
          <t>Face Masks 50pk</t>
        </is>
      </c>
      <c r="F469" s="4" t="inlineStr">
        <is>
          <t>OTC Pharma &amp; Wellness</t>
        </is>
      </c>
      <c r="G469" s="4" t="inlineStr">
        <is>
          <t>C</t>
        </is>
      </c>
      <c r="H469" s="11" t="n">
        <v>4878</v>
      </c>
      <c r="I469" s="4" t="n">
        <v>310.5</v>
      </c>
      <c r="J469" s="13">
        <f>IF(I469&gt;0,H469/I469,"")</f>
        <v/>
      </c>
      <c r="K469" s="4">
        <f>IF(I469&lt;=0,"NO DEMAND",IF(H469=0,"STOCKOUT",IF(J469&lt;Config!$B$5,"CRITICAL",IF(J469&lt;Config!$B$6,"LOW",IF(J469&gt;Config!$B$7,"EXCESS","HEALTHY")))))</f>
        <v/>
      </c>
      <c r="L469" s="11" t="n">
        <v>92</v>
      </c>
      <c r="M469" s="11" t="n">
        <v>121</v>
      </c>
      <c r="N469" s="11">
        <f>H469*L469</f>
        <v/>
      </c>
      <c r="O469" s="11">
        <f>IF(I469&gt;0,I469*(M469-L469),0)</f>
        <v/>
      </c>
      <c r="P469" s="11" t="n">
        <v>0</v>
      </c>
    </row>
    <row r="470">
      <c r="A470" s="4" t="inlineStr">
        <is>
          <t>WH04</t>
        </is>
      </c>
      <c r="B470" s="4" t="inlineStr">
        <is>
          <t>Bhiwandi DC</t>
        </is>
      </c>
      <c r="C470" s="4" t="inlineStr">
        <is>
          <t>West</t>
        </is>
      </c>
      <c r="D470" s="4" t="inlineStr">
        <is>
          <t>SKU106</t>
        </is>
      </c>
      <c r="E470" s="4" t="inlineStr">
        <is>
          <t>Corrugated Box 12x12</t>
        </is>
      </c>
      <c r="F470" s="4" t="inlineStr">
        <is>
          <t>Packaging &amp; Supplies</t>
        </is>
      </c>
      <c r="G470" s="4" t="inlineStr">
        <is>
          <t>B</t>
        </is>
      </c>
      <c r="H470" s="11" t="n">
        <v>1608</v>
      </c>
      <c r="I470" s="4" t="n">
        <v>316</v>
      </c>
      <c r="J470" s="13">
        <f>IF(I470&gt;0,H470/I470,"")</f>
        <v/>
      </c>
      <c r="K470" s="4">
        <f>IF(I470&lt;=0,"NO DEMAND",IF(H470=0,"STOCKOUT",IF(J470&lt;Config!$B$5,"CRITICAL",IF(J470&lt;Config!$B$6,"LOW",IF(J470&gt;Config!$B$7,"EXCESS","HEALTHY")))))</f>
        <v/>
      </c>
      <c r="L470" s="11" t="n">
        <v>400</v>
      </c>
      <c r="M470" s="11" t="n">
        <v>480</v>
      </c>
      <c r="N470" s="11">
        <f>H470*L470</f>
        <v/>
      </c>
      <c r="O470" s="11">
        <f>IF(I470&gt;0,I470*(M470-L470),0)</f>
        <v/>
      </c>
      <c r="P470" s="11" t="n">
        <v>2240</v>
      </c>
    </row>
    <row r="471">
      <c r="A471" s="4" t="inlineStr">
        <is>
          <t>WH04</t>
        </is>
      </c>
      <c r="B471" s="4" t="inlineStr">
        <is>
          <t>Bhiwandi DC</t>
        </is>
      </c>
      <c r="C471" s="4" t="inlineStr">
        <is>
          <t>West</t>
        </is>
      </c>
      <c r="D471" s="4" t="inlineStr">
        <is>
          <t>SKU107</t>
        </is>
      </c>
      <c r="E471" s="4" t="inlineStr">
        <is>
          <t>Stretch Film 500mm</t>
        </is>
      </c>
      <c r="F471" s="4" t="inlineStr">
        <is>
          <t>Packaging &amp; Supplies</t>
        </is>
      </c>
      <c r="G471" s="4" t="inlineStr">
        <is>
          <t>A</t>
        </is>
      </c>
      <c r="H471" s="11" t="n">
        <v>3774</v>
      </c>
      <c r="I471" s="4" t="n">
        <v>816</v>
      </c>
      <c r="J471" s="13">
        <f>IF(I471&gt;0,H471/I471,"")</f>
        <v/>
      </c>
      <c r="K471" s="4">
        <f>IF(I471&lt;=0,"NO DEMAND",IF(H471=0,"STOCKOUT",IF(J471&lt;Config!$B$5,"CRITICAL",IF(J471&lt;Config!$B$6,"LOW",IF(J471&gt;Config!$B$7,"EXCESS","HEALTHY")))))</f>
        <v/>
      </c>
      <c r="L471" s="11" t="n">
        <v>324</v>
      </c>
      <c r="M471" s="11" t="n">
        <v>383</v>
      </c>
      <c r="N471" s="11">
        <f>H471*L471</f>
        <v/>
      </c>
      <c r="O471" s="11">
        <f>IF(I471&gt;0,I471*(M471-L471),0)</f>
        <v/>
      </c>
      <c r="P471" s="11" t="n">
        <v>4880</v>
      </c>
    </row>
    <row r="472">
      <c r="A472" s="4" t="inlineStr">
        <is>
          <t>WH04</t>
        </is>
      </c>
      <c r="B472" s="4" t="inlineStr">
        <is>
          <t>Bhiwandi DC</t>
        </is>
      </c>
      <c r="C472" s="4" t="inlineStr">
        <is>
          <t>West</t>
        </is>
      </c>
      <c r="D472" s="4" t="inlineStr">
        <is>
          <t>SKU108</t>
        </is>
      </c>
      <c r="E472" s="4" t="inlineStr">
        <is>
          <t>BOPP Tape 48mm</t>
        </is>
      </c>
      <c r="F472" s="4" t="inlineStr">
        <is>
          <t>Packaging &amp; Supplies</t>
        </is>
      </c>
      <c r="G472" s="4" t="inlineStr">
        <is>
          <t>A</t>
        </is>
      </c>
      <c r="H472" s="11" t="n">
        <v>430</v>
      </c>
      <c r="I472" s="4" t="n">
        <v>47.5</v>
      </c>
      <c r="J472" s="13">
        <f>IF(I472&gt;0,H472/I472,"")</f>
        <v/>
      </c>
      <c r="K472" s="4">
        <f>IF(I472&lt;=0,"NO DEMAND",IF(H472=0,"STOCKOUT",IF(J472&lt;Config!$B$5,"CRITICAL",IF(J472&lt;Config!$B$6,"LOW",IF(J472&gt;Config!$B$7,"EXCESS","HEALTHY")))))</f>
        <v/>
      </c>
      <c r="L472" s="11" t="n">
        <v>699</v>
      </c>
      <c r="M472" s="11" t="n">
        <v>822</v>
      </c>
      <c r="N472" s="11">
        <f>H472*L472</f>
        <v/>
      </c>
      <c r="O472" s="11">
        <f>IF(I472&gt;0,I472*(M472-L472),0)</f>
        <v/>
      </c>
      <c r="P472" s="11" t="n">
        <v>0</v>
      </c>
    </row>
    <row r="473">
      <c r="A473" s="4" t="inlineStr">
        <is>
          <t>WH04</t>
        </is>
      </c>
      <c r="B473" s="4" t="inlineStr">
        <is>
          <t>Bhiwandi DC</t>
        </is>
      </c>
      <c r="C473" s="4" t="inlineStr">
        <is>
          <t>West</t>
        </is>
      </c>
      <c r="D473" s="4" t="inlineStr">
        <is>
          <t>SKU109</t>
        </is>
      </c>
      <c r="E473" s="4" t="inlineStr">
        <is>
          <t>Bubble Wrap Roll</t>
        </is>
      </c>
      <c r="F473" s="4" t="inlineStr">
        <is>
          <t>Packaging &amp; Supplies</t>
        </is>
      </c>
      <c r="G473" s="4" t="inlineStr">
        <is>
          <t>C</t>
        </is>
      </c>
      <c r="H473" s="11" t="n">
        <v>3159</v>
      </c>
      <c r="I473" s="4" t="n">
        <v>610</v>
      </c>
      <c r="J473" s="13">
        <f>IF(I473&gt;0,H473/I473,"")</f>
        <v/>
      </c>
      <c r="K473" s="4">
        <f>IF(I473&lt;=0,"NO DEMAND",IF(H473=0,"STOCKOUT",IF(J473&lt;Config!$B$5,"CRITICAL",IF(J473&lt;Config!$B$6,"LOW",IF(J473&gt;Config!$B$7,"EXCESS","HEALTHY")))))</f>
        <v/>
      </c>
      <c r="L473" s="11" t="n">
        <v>68</v>
      </c>
      <c r="M473" s="11" t="n">
        <v>80</v>
      </c>
      <c r="N473" s="11">
        <f>H473*L473</f>
        <v/>
      </c>
      <c r="O473" s="11">
        <f>IF(I473&gt;0,I473*(M473-L473),0)</f>
        <v/>
      </c>
      <c r="P473" s="11" t="n">
        <v>4460</v>
      </c>
    </row>
    <row r="474">
      <c r="A474" s="4" t="inlineStr">
        <is>
          <t>WH04</t>
        </is>
      </c>
      <c r="B474" s="4" t="inlineStr">
        <is>
          <t>Bhiwandi DC</t>
        </is>
      </c>
      <c r="C474" s="4" t="inlineStr">
        <is>
          <t>West</t>
        </is>
      </c>
      <c r="D474" s="4" t="inlineStr">
        <is>
          <t>SKU110</t>
        </is>
      </c>
      <c r="E474" s="4" t="inlineStr">
        <is>
          <t>Pallet Strapping Roll</t>
        </is>
      </c>
      <c r="F474" s="4" t="inlineStr">
        <is>
          <t>Packaging &amp; Supplies</t>
        </is>
      </c>
      <c r="G474" s="4" t="inlineStr">
        <is>
          <t>C</t>
        </is>
      </c>
      <c r="H474" s="11" t="n">
        <v>3819</v>
      </c>
      <c r="I474" s="4" t="n">
        <v>502.75</v>
      </c>
      <c r="J474" s="13">
        <f>IF(I474&gt;0,H474/I474,"")</f>
        <v/>
      </c>
      <c r="K474" s="4">
        <f>IF(I474&lt;=0,"NO DEMAND",IF(H474=0,"STOCKOUT",IF(J474&lt;Config!$B$5,"CRITICAL",IF(J474&lt;Config!$B$6,"LOW",IF(J474&gt;Config!$B$7,"EXCESS","HEALTHY")))))</f>
        <v/>
      </c>
      <c r="L474" s="11" t="n">
        <v>45</v>
      </c>
      <c r="M474" s="11" t="n">
        <v>53</v>
      </c>
      <c r="N474" s="11">
        <f>H474*L474</f>
        <v/>
      </c>
      <c r="O474" s="11">
        <f>IF(I474&gt;0,I474*(M474-L474),0)</f>
        <v/>
      </c>
      <c r="P474" s="11" t="n">
        <v>0</v>
      </c>
    </row>
    <row r="475">
      <c r="A475" s="4" t="inlineStr">
        <is>
          <t>WH04</t>
        </is>
      </c>
      <c r="B475" s="4" t="inlineStr">
        <is>
          <t>Bhiwandi DC</t>
        </is>
      </c>
      <c r="C475" s="4" t="inlineStr">
        <is>
          <t>West</t>
        </is>
      </c>
      <c r="D475" s="4" t="inlineStr">
        <is>
          <t>SKU111</t>
        </is>
      </c>
      <c r="E475" s="4" t="inlineStr">
        <is>
          <t>Shipping Labels 1000</t>
        </is>
      </c>
      <c r="F475" s="4" t="inlineStr">
        <is>
          <t>Packaging &amp; Supplies</t>
        </is>
      </c>
      <c r="G475" s="4" t="inlineStr">
        <is>
          <t>A</t>
        </is>
      </c>
      <c r="H475" s="11" t="n">
        <v>2826</v>
      </c>
      <c r="I475" s="4" t="n">
        <v>277.75</v>
      </c>
      <c r="J475" s="13">
        <f>IF(I475&gt;0,H475/I475,"")</f>
        <v/>
      </c>
      <c r="K475" s="4">
        <f>IF(I475&lt;=0,"NO DEMAND",IF(H475=0,"STOCKOUT",IF(J475&lt;Config!$B$5,"CRITICAL",IF(J475&lt;Config!$B$6,"LOW",IF(J475&gt;Config!$B$7,"EXCESS","HEALTHY")))))</f>
        <v/>
      </c>
      <c r="L475" s="11" t="n">
        <v>617</v>
      </c>
      <c r="M475" s="11" t="n">
        <v>741</v>
      </c>
      <c r="N475" s="11">
        <f>H475*L475</f>
        <v/>
      </c>
      <c r="O475" s="11">
        <f>IF(I475&gt;0,I475*(M475-L475),0)</f>
        <v/>
      </c>
      <c r="P475" s="11" t="n">
        <v>0</v>
      </c>
    </row>
    <row r="476">
      <c r="A476" s="4" t="inlineStr">
        <is>
          <t>WH04</t>
        </is>
      </c>
      <c r="B476" s="4" t="inlineStr">
        <is>
          <t>Bhiwandi DC</t>
        </is>
      </c>
      <c r="C476" s="4" t="inlineStr">
        <is>
          <t>West</t>
        </is>
      </c>
      <c r="D476" s="4" t="inlineStr">
        <is>
          <t>SKU112</t>
        </is>
      </c>
      <c r="E476" s="4" t="inlineStr">
        <is>
          <t>Poly Mailer 100pk</t>
        </is>
      </c>
      <c r="F476" s="4" t="inlineStr">
        <is>
          <t>Packaging &amp; Supplies</t>
        </is>
      </c>
      <c r="G476" s="4" t="inlineStr">
        <is>
          <t>C</t>
        </is>
      </c>
      <c r="H476" s="11" t="n">
        <v>778</v>
      </c>
      <c r="I476" s="4" t="n">
        <v>204</v>
      </c>
      <c r="J476" s="13">
        <f>IF(I476&gt;0,H476/I476,"")</f>
        <v/>
      </c>
      <c r="K476" s="4">
        <f>IF(I476&lt;=0,"NO DEMAND",IF(H476=0,"STOCKOUT",IF(J476&lt;Config!$B$5,"CRITICAL",IF(J476&lt;Config!$B$6,"LOW",IF(J476&gt;Config!$B$7,"EXCESS","HEALTHY")))))</f>
        <v/>
      </c>
      <c r="L476" s="11" t="n">
        <v>93</v>
      </c>
      <c r="M476" s="11" t="n">
        <v>113</v>
      </c>
      <c r="N476" s="11">
        <f>H476*L476</f>
        <v/>
      </c>
      <c r="O476" s="11">
        <f>IF(I476&gt;0,I476*(M476-L476),0)</f>
        <v/>
      </c>
      <c r="P476" s="11" t="n">
        <v>1220</v>
      </c>
    </row>
    <row r="477">
      <c r="A477" s="4" t="inlineStr">
        <is>
          <t>WH04</t>
        </is>
      </c>
      <c r="B477" s="4" t="inlineStr">
        <is>
          <t>Bhiwandi DC</t>
        </is>
      </c>
      <c r="C477" s="4" t="inlineStr">
        <is>
          <t>West</t>
        </is>
      </c>
      <c r="D477" s="4" t="inlineStr">
        <is>
          <t>SKU113</t>
        </is>
      </c>
      <c r="E477" s="4" t="inlineStr">
        <is>
          <t>Void Fill Paper</t>
        </is>
      </c>
      <c r="F477" s="4" t="inlineStr">
        <is>
          <t>Packaging &amp; Supplies</t>
        </is>
      </c>
      <c r="G477" s="4" t="inlineStr">
        <is>
          <t>C</t>
        </is>
      </c>
      <c r="H477" s="11" t="n">
        <v>228</v>
      </c>
      <c r="I477" s="4" t="n">
        <v>73.25</v>
      </c>
      <c r="J477" s="13">
        <f>IF(I477&gt;0,H477/I477,"")</f>
        <v/>
      </c>
      <c r="K477" s="4">
        <f>IF(I477&lt;=0,"NO DEMAND",IF(H477=0,"STOCKOUT",IF(J477&lt;Config!$B$5,"CRITICAL",IF(J477&lt;Config!$B$6,"LOW",IF(J477&gt;Config!$B$7,"EXCESS","HEALTHY")))))</f>
        <v/>
      </c>
      <c r="L477" s="11" t="n">
        <v>89</v>
      </c>
      <c r="M477" s="11" t="n">
        <v>108</v>
      </c>
      <c r="N477" s="11">
        <f>H477*L477</f>
        <v/>
      </c>
      <c r="O477" s="11">
        <f>IF(I477&gt;0,I477*(M477-L477),0)</f>
        <v/>
      </c>
      <c r="P477" s="11" t="n">
        <v>560</v>
      </c>
    </row>
    <row r="478">
      <c r="A478" s="4" t="inlineStr">
        <is>
          <t>WH04</t>
        </is>
      </c>
      <c r="B478" s="4" t="inlineStr">
        <is>
          <t>Bhiwandi DC</t>
        </is>
      </c>
      <c r="C478" s="4" t="inlineStr">
        <is>
          <t>West</t>
        </is>
      </c>
      <c r="D478" s="4" t="inlineStr">
        <is>
          <t>SKU114</t>
        </is>
      </c>
      <c r="E478" s="4" t="inlineStr">
        <is>
          <t>Cable Ties 100pk</t>
        </is>
      </c>
      <c r="F478" s="4" t="inlineStr">
        <is>
          <t>Packaging &amp; Supplies</t>
        </is>
      </c>
      <c r="G478" s="4" t="inlineStr">
        <is>
          <t>C</t>
        </is>
      </c>
      <c r="H478" s="11" t="n">
        <v>1003</v>
      </c>
      <c r="I478" s="4" t="n">
        <v>138</v>
      </c>
      <c r="J478" s="13">
        <f>IF(I478&gt;0,H478/I478,"")</f>
        <v/>
      </c>
      <c r="K478" s="4">
        <f>IF(I478&lt;=0,"NO DEMAND",IF(H478=0,"STOCKOUT",IF(J478&lt;Config!$B$5,"CRITICAL",IF(J478&lt;Config!$B$6,"LOW",IF(J478&gt;Config!$B$7,"EXCESS","HEALTHY")))))</f>
        <v/>
      </c>
      <c r="L478" s="11" t="n">
        <v>66</v>
      </c>
      <c r="M478" s="11" t="n">
        <v>80</v>
      </c>
      <c r="N478" s="11">
        <f>H478*L478</f>
        <v/>
      </c>
      <c r="O478" s="11">
        <f>IF(I478&gt;0,I478*(M478-L478),0)</f>
        <v/>
      </c>
      <c r="P478" s="11" t="n">
        <v>0</v>
      </c>
    </row>
    <row r="479">
      <c r="A479" s="4" t="inlineStr">
        <is>
          <t>WH04</t>
        </is>
      </c>
      <c r="B479" s="4" t="inlineStr">
        <is>
          <t>Bhiwandi DC</t>
        </is>
      </c>
      <c r="C479" s="4" t="inlineStr">
        <is>
          <t>West</t>
        </is>
      </c>
      <c r="D479" s="4" t="inlineStr">
        <is>
          <t>SKU115</t>
        </is>
      </c>
      <c r="E479" s="4" t="inlineStr">
        <is>
          <t>Edge Protectors 50pk</t>
        </is>
      </c>
      <c r="F479" s="4" t="inlineStr">
        <is>
          <t>Packaging &amp; Supplies</t>
        </is>
      </c>
      <c r="G479" s="4" t="inlineStr">
        <is>
          <t>C</t>
        </is>
      </c>
      <c r="H479" s="11" t="n">
        <v>665</v>
      </c>
      <c r="I479" s="4" t="n">
        <v>68.25</v>
      </c>
      <c r="J479" s="13">
        <f>IF(I479&gt;0,H479/I479,"")</f>
        <v/>
      </c>
      <c r="K479" s="4">
        <f>IF(I479&lt;=0,"NO DEMAND",IF(H479=0,"STOCKOUT",IF(J479&lt;Config!$B$5,"CRITICAL",IF(J479&lt;Config!$B$6,"LOW",IF(J479&gt;Config!$B$7,"EXCESS","HEALTHY")))))</f>
        <v/>
      </c>
      <c r="L479" s="11" t="n">
        <v>52</v>
      </c>
      <c r="M479" s="11" t="n">
        <v>63</v>
      </c>
      <c r="N479" s="11">
        <f>H479*L479</f>
        <v/>
      </c>
      <c r="O479" s="11">
        <f>IF(I479&gt;0,I479*(M479-L479),0)</f>
        <v/>
      </c>
      <c r="P479" s="11" t="n">
        <v>0</v>
      </c>
    </row>
    <row r="480">
      <c r="A480" s="4" t="inlineStr">
        <is>
          <t>WH04</t>
        </is>
      </c>
      <c r="B480" s="4" t="inlineStr">
        <is>
          <t>Bhiwandi DC</t>
        </is>
      </c>
      <c r="C480" s="4" t="inlineStr">
        <is>
          <t>West</t>
        </is>
      </c>
      <c r="D480" s="4" t="inlineStr">
        <is>
          <t>SKU116</t>
        </is>
      </c>
      <c r="E480" s="4" t="inlineStr">
        <is>
          <t>Pallet Wrap Hand</t>
        </is>
      </c>
      <c r="F480" s="4" t="inlineStr">
        <is>
          <t>Packaging &amp; Supplies</t>
        </is>
      </c>
      <c r="G480" s="4" t="inlineStr">
        <is>
          <t>C</t>
        </is>
      </c>
      <c r="H480" s="11" t="n">
        <v>129</v>
      </c>
      <c r="I480" s="4" t="n">
        <v>59</v>
      </c>
      <c r="J480" s="13">
        <f>IF(I480&gt;0,H480/I480,"")</f>
        <v/>
      </c>
      <c r="K480" s="4">
        <f>IF(I480&lt;=0,"NO DEMAND",IF(H480=0,"STOCKOUT",IF(J480&lt;Config!$B$5,"CRITICAL",IF(J480&lt;Config!$B$6,"LOW",IF(J480&gt;Config!$B$7,"EXCESS","HEALTHY")))))</f>
        <v/>
      </c>
      <c r="L480" s="11" t="n">
        <v>39</v>
      </c>
      <c r="M480" s="11" t="n">
        <v>47</v>
      </c>
      <c r="N480" s="11">
        <f>H480*L480</f>
        <v/>
      </c>
      <c r="O480" s="11">
        <f>IF(I480&gt;0,I480*(M480-L480),0)</f>
        <v/>
      </c>
      <c r="P480" s="11" t="n">
        <v>320</v>
      </c>
    </row>
    <row r="481">
      <c r="A481" s="4" t="inlineStr">
        <is>
          <t>WH04</t>
        </is>
      </c>
      <c r="B481" s="4" t="inlineStr">
        <is>
          <t>Bhiwandi DC</t>
        </is>
      </c>
      <c r="C481" s="4" t="inlineStr">
        <is>
          <t>West</t>
        </is>
      </c>
      <c r="D481" s="4" t="inlineStr">
        <is>
          <t>SKU117</t>
        </is>
      </c>
      <c r="E481" s="4" t="inlineStr">
        <is>
          <t>Courier Bags 100pk</t>
        </is>
      </c>
      <c r="F481" s="4" t="inlineStr">
        <is>
          <t>Packaging &amp; Supplies</t>
        </is>
      </c>
      <c r="G481" s="4" t="inlineStr">
        <is>
          <t>C</t>
        </is>
      </c>
      <c r="H481" s="11" t="n">
        <v>1576</v>
      </c>
      <c r="I481" s="4" t="n">
        <v>395.25</v>
      </c>
      <c r="J481" s="13">
        <f>IF(I481&gt;0,H481/I481,"")</f>
        <v/>
      </c>
      <c r="K481" s="4">
        <f>IF(I481&lt;=0,"NO DEMAND",IF(H481=0,"STOCKOUT",IF(J481&lt;Config!$B$5,"CRITICAL",IF(J481&lt;Config!$B$6,"LOW",IF(J481&gt;Config!$B$7,"EXCESS","HEALTHY")))))</f>
        <v/>
      </c>
      <c r="L481" s="11" t="n">
        <v>21</v>
      </c>
      <c r="M481" s="11" t="n">
        <v>25</v>
      </c>
      <c r="N481" s="11">
        <f>H481*L481</f>
        <v/>
      </c>
      <c r="O481" s="11">
        <f>IF(I481&gt;0,I481*(M481-L481),0)</f>
        <v/>
      </c>
      <c r="P481" s="11" t="n">
        <v>1920</v>
      </c>
    </row>
    <row r="482">
      <c r="A482" s="4" t="inlineStr">
        <is>
          <t>WH04</t>
        </is>
      </c>
      <c r="B482" s="4" t="inlineStr">
        <is>
          <t>Bhiwandi DC</t>
        </is>
      </c>
      <c r="C482" s="4" t="inlineStr">
        <is>
          <t>West</t>
        </is>
      </c>
      <c r="D482" s="4" t="inlineStr">
        <is>
          <t>SKU118</t>
        </is>
      </c>
      <c r="E482" s="4" t="inlineStr">
        <is>
          <t>Thermal Paper Roll 20pk</t>
        </is>
      </c>
      <c r="F482" s="4" t="inlineStr">
        <is>
          <t>Packaging &amp; Supplies</t>
        </is>
      </c>
      <c r="G482" s="4" t="inlineStr">
        <is>
          <t>B</t>
        </is>
      </c>
      <c r="H482" s="11" t="n">
        <v>6339</v>
      </c>
      <c r="I482" s="4" t="n">
        <v>606.5</v>
      </c>
      <c r="J482" s="13">
        <f>IF(I482&gt;0,H482/I482,"")</f>
        <v/>
      </c>
      <c r="K482" s="4">
        <f>IF(I482&lt;=0,"NO DEMAND",IF(H482=0,"STOCKOUT",IF(J482&lt;Config!$B$5,"CRITICAL",IF(J482&lt;Config!$B$6,"LOW",IF(J482&gt;Config!$B$7,"EXCESS","HEALTHY")))))</f>
        <v/>
      </c>
      <c r="L482" s="11" t="n">
        <v>181</v>
      </c>
      <c r="M482" s="11" t="n">
        <v>218</v>
      </c>
      <c r="N482" s="11">
        <f>H482*L482</f>
        <v/>
      </c>
      <c r="O482" s="11">
        <f>IF(I482&gt;0,I482*(M482-L482),0)</f>
        <v/>
      </c>
      <c r="P482" s="11" t="n">
        <v>0</v>
      </c>
    </row>
    <row r="483">
      <c r="A483" s="4" t="inlineStr">
        <is>
          <t>WH04</t>
        </is>
      </c>
      <c r="B483" s="4" t="inlineStr">
        <is>
          <t>Bhiwandi DC</t>
        </is>
      </c>
      <c r="C483" s="4" t="inlineStr">
        <is>
          <t>West</t>
        </is>
      </c>
      <c r="D483" s="4" t="inlineStr">
        <is>
          <t>SKU119</t>
        </is>
      </c>
      <c r="E483" s="4" t="inlineStr">
        <is>
          <t>Safety Gloves 12pk</t>
        </is>
      </c>
      <c r="F483" s="4" t="inlineStr">
        <is>
          <t>Packaging &amp; Supplies</t>
        </is>
      </c>
      <c r="G483" s="4" t="inlineStr">
        <is>
          <t>A</t>
        </is>
      </c>
      <c r="H483" s="11" t="n">
        <v>2865</v>
      </c>
      <c r="I483" s="4" t="n">
        <v>455.5</v>
      </c>
      <c r="J483" s="13">
        <f>IF(I483&gt;0,H483/I483,"")</f>
        <v/>
      </c>
      <c r="K483" s="4">
        <f>IF(I483&lt;=0,"NO DEMAND",IF(H483=0,"STOCKOUT",IF(J483&lt;Config!$B$5,"CRITICAL",IF(J483&lt;Config!$B$6,"LOW",IF(J483&gt;Config!$B$7,"EXCESS","HEALTHY")))))</f>
        <v/>
      </c>
      <c r="L483" s="11" t="n">
        <v>420</v>
      </c>
      <c r="M483" s="11" t="n">
        <v>511</v>
      </c>
      <c r="N483" s="11">
        <f>H483*L483</f>
        <v/>
      </c>
      <c r="O483" s="11">
        <f>IF(I483&gt;0,I483*(M483-L483),0)</f>
        <v/>
      </c>
      <c r="P483" s="11" t="n">
        <v>0</v>
      </c>
    </row>
    <row r="484">
      <c r="A484" s="4" t="inlineStr">
        <is>
          <t>WH04</t>
        </is>
      </c>
      <c r="B484" s="4" t="inlineStr">
        <is>
          <t>Bhiwandi DC</t>
        </is>
      </c>
      <c r="C484" s="4" t="inlineStr">
        <is>
          <t>West</t>
        </is>
      </c>
      <c r="D484" s="4" t="inlineStr">
        <is>
          <t>SKU120</t>
        </is>
      </c>
      <c r="E484" s="4" t="inlineStr">
        <is>
          <t>Cutter Blades 10pk</t>
        </is>
      </c>
      <c r="F484" s="4" t="inlineStr">
        <is>
          <t>Packaging &amp; Supplies</t>
        </is>
      </c>
      <c r="G484" s="4" t="inlineStr">
        <is>
          <t>C</t>
        </is>
      </c>
      <c r="H484" s="11" t="n">
        <v>4612</v>
      </c>
      <c r="I484" s="4" t="n">
        <v>756</v>
      </c>
      <c r="J484" s="13">
        <f>IF(I484&gt;0,H484/I484,"")</f>
        <v/>
      </c>
      <c r="K484" s="4">
        <f>IF(I484&lt;=0,"NO DEMAND",IF(H484=0,"STOCKOUT",IF(J484&lt;Config!$B$5,"CRITICAL",IF(J484&lt;Config!$B$6,"LOW",IF(J484&gt;Config!$B$7,"EXCESS","HEALTHY")))))</f>
        <v/>
      </c>
      <c r="L484" s="11" t="n">
        <v>30</v>
      </c>
      <c r="M484" s="11" t="n">
        <v>35</v>
      </c>
      <c r="N484" s="11">
        <f>H484*L484</f>
        <v/>
      </c>
      <c r="O484" s="11">
        <f>IF(I484&gt;0,I484*(M484-L484),0)</f>
        <v/>
      </c>
      <c r="P484" s="11" t="n">
        <v>0</v>
      </c>
    </row>
    <row r="485">
      <c r="A485" s="4" t="inlineStr">
        <is>
          <t>WH05</t>
        </is>
      </c>
      <c r="B485" s="4" t="inlineStr">
        <is>
          <t>Pune DC</t>
        </is>
      </c>
      <c r="C485" s="4" t="inlineStr">
        <is>
          <t>West</t>
        </is>
      </c>
      <c r="D485" s="4" t="inlineStr">
        <is>
          <t>SKU001</t>
        </is>
      </c>
      <c r="E485" s="4" t="inlineStr">
        <is>
          <t>Atta 5kg</t>
        </is>
      </c>
      <c r="F485" s="4" t="inlineStr">
        <is>
          <t>Packaged Staples</t>
        </is>
      </c>
      <c r="G485" s="4" t="inlineStr">
        <is>
          <t>A</t>
        </is>
      </c>
      <c r="H485" s="11" t="n">
        <v>0</v>
      </c>
      <c r="I485" s="4" t="n">
        <v>903</v>
      </c>
      <c r="J485" s="13">
        <f>IF(I485&gt;0,H485/I485,"")</f>
        <v/>
      </c>
      <c r="K485" s="4">
        <f>IF(I485&lt;=0,"NO DEMAND",IF(H485=0,"STOCKOUT",IF(J485&lt;Config!$B$5,"CRITICAL",IF(J485&lt;Config!$B$6,"LOW",IF(J485&gt;Config!$B$7,"EXCESS","HEALTHY")))))</f>
        <v/>
      </c>
      <c r="L485" s="11" t="n">
        <v>152</v>
      </c>
      <c r="M485" s="11" t="n">
        <v>168</v>
      </c>
      <c r="N485" s="11">
        <f>H485*L485</f>
        <v/>
      </c>
      <c r="O485" s="11">
        <f>IF(I485&gt;0,I485*(M485-L485),0)</f>
        <v/>
      </c>
      <c r="P485" s="11" t="n">
        <v>2820</v>
      </c>
    </row>
    <row r="486">
      <c r="A486" s="4" t="inlineStr">
        <is>
          <t>WH05</t>
        </is>
      </c>
      <c r="B486" s="4" t="inlineStr">
        <is>
          <t>Pune DC</t>
        </is>
      </c>
      <c r="C486" s="4" t="inlineStr">
        <is>
          <t>West</t>
        </is>
      </c>
      <c r="D486" s="4" t="inlineStr">
        <is>
          <t>SKU002</t>
        </is>
      </c>
      <c r="E486" s="4" t="inlineStr">
        <is>
          <t>Basmati Rice 5kg</t>
        </is>
      </c>
      <c r="F486" s="4" t="inlineStr">
        <is>
          <t>Packaged Staples</t>
        </is>
      </c>
      <c r="G486" s="4" t="inlineStr">
        <is>
          <t>B</t>
        </is>
      </c>
      <c r="H486" s="11" t="n">
        <v>2693</v>
      </c>
      <c r="I486" s="4" t="n">
        <v>712.25</v>
      </c>
      <c r="J486" s="13">
        <f>IF(I486&gt;0,H486/I486,"")</f>
        <v/>
      </c>
      <c r="K486" s="4">
        <f>IF(I486&lt;=0,"NO DEMAND",IF(H486=0,"STOCKOUT",IF(J486&lt;Config!$B$5,"CRITICAL",IF(J486&lt;Config!$B$6,"LOW",IF(J486&gt;Config!$B$7,"EXCESS","HEALTHY")))))</f>
        <v/>
      </c>
      <c r="L486" s="11" t="n">
        <v>59</v>
      </c>
      <c r="M486" s="11" t="n">
        <v>66</v>
      </c>
      <c r="N486" s="11">
        <f>H486*L486</f>
        <v/>
      </c>
      <c r="O486" s="11">
        <f>IF(I486&gt;0,I486*(M486-L486),0)</f>
        <v/>
      </c>
      <c r="P486" s="11" t="n">
        <v>0</v>
      </c>
    </row>
    <row r="487">
      <c r="A487" s="4" t="inlineStr">
        <is>
          <t>WH05</t>
        </is>
      </c>
      <c r="B487" s="4" t="inlineStr">
        <is>
          <t>Pune DC</t>
        </is>
      </c>
      <c r="C487" s="4" t="inlineStr">
        <is>
          <t>West</t>
        </is>
      </c>
      <c r="D487" s="4" t="inlineStr">
        <is>
          <t>SKU003</t>
        </is>
      </c>
      <c r="E487" s="4" t="inlineStr">
        <is>
          <t>Toor Dal 1kg</t>
        </is>
      </c>
      <c r="F487" s="4" t="inlineStr">
        <is>
          <t>Packaged Staples</t>
        </is>
      </c>
      <c r="G487" s="4" t="inlineStr">
        <is>
          <t>A</t>
        </is>
      </c>
      <c r="H487" s="11" t="n">
        <v>1620</v>
      </c>
      <c r="I487" s="4" t="n">
        <v>1023.5</v>
      </c>
      <c r="J487" s="13">
        <f>IF(I487&gt;0,H487/I487,"")</f>
        <v/>
      </c>
      <c r="K487" s="4">
        <f>IF(I487&lt;=0,"NO DEMAND",IF(H487=0,"STOCKOUT",IF(J487&lt;Config!$B$5,"CRITICAL",IF(J487&lt;Config!$B$6,"LOW",IF(J487&gt;Config!$B$7,"EXCESS","HEALTHY")))))</f>
        <v/>
      </c>
      <c r="L487" s="11" t="n">
        <v>61</v>
      </c>
      <c r="M487" s="11" t="n">
        <v>69</v>
      </c>
      <c r="N487" s="11">
        <f>H487*L487</f>
        <v/>
      </c>
      <c r="O487" s="11">
        <f>IF(I487&gt;0,I487*(M487-L487),0)</f>
        <v/>
      </c>
      <c r="P487" s="11" t="n">
        <v>4236</v>
      </c>
    </row>
    <row r="488">
      <c r="A488" s="4" t="inlineStr">
        <is>
          <t>WH05</t>
        </is>
      </c>
      <c r="B488" s="4" t="inlineStr">
        <is>
          <t>Pune DC</t>
        </is>
      </c>
      <c r="C488" s="4" t="inlineStr">
        <is>
          <t>West</t>
        </is>
      </c>
      <c r="D488" s="4" t="inlineStr">
        <is>
          <t>SKU004</t>
        </is>
      </c>
      <c r="E488" s="4" t="inlineStr">
        <is>
          <t>Moong Dal 1kg</t>
        </is>
      </c>
      <c r="F488" s="4" t="inlineStr">
        <is>
          <t>Packaged Staples</t>
        </is>
      </c>
      <c r="G488" s="4" t="inlineStr">
        <is>
          <t>B</t>
        </is>
      </c>
      <c r="H488" s="11" t="n">
        <v>584</v>
      </c>
      <c r="I488" s="4" t="n">
        <v>565.25</v>
      </c>
      <c r="J488" s="13">
        <f>IF(I488&gt;0,H488/I488,"")</f>
        <v/>
      </c>
      <c r="K488" s="4">
        <f>IF(I488&lt;=0,"NO DEMAND",IF(H488=0,"STOCKOUT",IF(J488&lt;Config!$B$5,"CRITICAL",IF(J488&lt;Config!$B$6,"LOW",IF(J488&gt;Config!$B$7,"EXCESS","HEALTHY")))))</f>
        <v/>
      </c>
      <c r="L488" s="11" t="n">
        <v>80</v>
      </c>
      <c r="M488" s="11" t="n">
        <v>91</v>
      </c>
      <c r="N488" s="11">
        <f>H488*L488</f>
        <v/>
      </c>
      <c r="O488" s="11">
        <f>IF(I488&gt;0,I488*(M488-L488),0)</f>
        <v/>
      </c>
      <c r="P488" s="11" t="n">
        <v>1920</v>
      </c>
    </row>
    <row r="489">
      <c r="A489" s="4" t="inlineStr">
        <is>
          <t>WH05</t>
        </is>
      </c>
      <c r="B489" s="4" t="inlineStr">
        <is>
          <t>Pune DC</t>
        </is>
      </c>
      <c r="C489" s="4" t="inlineStr">
        <is>
          <t>West</t>
        </is>
      </c>
      <c r="D489" s="4" t="inlineStr">
        <is>
          <t>SKU005</t>
        </is>
      </c>
      <c r="E489" s="4" t="inlineStr">
        <is>
          <t>Sunflower Oil 1L</t>
        </is>
      </c>
      <c r="F489" s="4" t="inlineStr">
        <is>
          <t>Packaged Staples</t>
        </is>
      </c>
      <c r="G489" s="4" t="inlineStr">
        <is>
          <t>A</t>
        </is>
      </c>
      <c r="H489" s="11" t="n">
        <v>3033</v>
      </c>
      <c r="I489" s="4" t="n">
        <v>880.5</v>
      </c>
      <c r="J489" s="13">
        <f>IF(I489&gt;0,H489/I489,"")</f>
        <v/>
      </c>
      <c r="K489" s="4">
        <f>IF(I489&lt;=0,"NO DEMAND",IF(H489=0,"STOCKOUT",IF(J489&lt;Config!$B$5,"CRITICAL",IF(J489&lt;Config!$B$6,"LOW",IF(J489&gt;Config!$B$7,"EXCESS","HEALTHY")))))</f>
        <v/>
      </c>
      <c r="L489" s="11" t="n">
        <v>245</v>
      </c>
      <c r="M489" s="11" t="n">
        <v>273</v>
      </c>
      <c r="N489" s="11">
        <f>H489*L489</f>
        <v/>
      </c>
      <c r="O489" s="11">
        <f>IF(I489&gt;0,I489*(M489-L489),0)</f>
        <v/>
      </c>
      <c r="P489" s="11" t="n">
        <v>0</v>
      </c>
    </row>
    <row r="490">
      <c r="A490" s="4" t="inlineStr">
        <is>
          <t>WH05</t>
        </is>
      </c>
      <c r="B490" s="4" t="inlineStr">
        <is>
          <t>Pune DC</t>
        </is>
      </c>
      <c r="C490" s="4" t="inlineStr">
        <is>
          <t>West</t>
        </is>
      </c>
      <c r="D490" s="4" t="inlineStr">
        <is>
          <t>SKU006</t>
        </is>
      </c>
      <c r="E490" s="4" t="inlineStr">
        <is>
          <t>Mustard Oil 1L</t>
        </is>
      </c>
      <c r="F490" s="4" t="inlineStr">
        <is>
          <t>Packaged Staples</t>
        </is>
      </c>
      <c r="G490" s="4" t="inlineStr">
        <is>
          <t>B</t>
        </is>
      </c>
      <c r="H490" s="11" t="n">
        <v>963</v>
      </c>
      <c r="I490" s="4" t="n">
        <v>433.75</v>
      </c>
      <c r="J490" s="13">
        <f>IF(I490&gt;0,H490/I490,"")</f>
        <v/>
      </c>
      <c r="K490" s="4">
        <f>IF(I490&lt;=0,"NO DEMAND",IF(H490=0,"STOCKOUT",IF(J490&lt;Config!$B$5,"CRITICAL",IF(J490&lt;Config!$B$6,"LOW",IF(J490&gt;Config!$B$7,"EXCESS","HEALTHY")))))</f>
        <v/>
      </c>
      <c r="L490" s="11" t="n">
        <v>68</v>
      </c>
      <c r="M490" s="11" t="n">
        <v>77</v>
      </c>
      <c r="N490" s="11">
        <f>H490*L490</f>
        <v/>
      </c>
      <c r="O490" s="11">
        <f>IF(I490&gt;0,I490*(M490-L490),0)</f>
        <v/>
      </c>
      <c r="P490" s="11" t="n">
        <v>1584</v>
      </c>
    </row>
    <row r="491">
      <c r="A491" s="4" t="inlineStr">
        <is>
          <t>WH05</t>
        </is>
      </c>
      <c r="B491" s="4" t="inlineStr">
        <is>
          <t>Pune DC</t>
        </is>
      </c>
      <c r="C491" s="4" t="inlineStr">
        <is>
          <t>West</t>
        </is>
      </c>
      <c r="D491" s="4" t="inlineStr">
        <is>
          <t>SKU007</t>
        </is>
      </c>
      <c r="E491" s="4" t="inlineStr">
        <is>
          <t>Sugar 1kg</t>
        </is>
      </c>
      <c r="F491" s="4" t="inlineStr">
        <is>
          <t>Packaged Staples</t>
        </is>
      </c>
      <c r="G491" s="4" t="inlineStr">
        <is>
          <t>A</t>
        </is>
      </c>
      <c r="H491" s="11" t="n">
        <v>3109</v>
      </c>
      <c r="I491" s="4" t="n">
        <v>833.75</v>
      </c>
      <c r="J491" s="13">
        <f>IF(I491&gt;0,H491/I491,"")</f>
        <v/>
      </c>
      <c r="K491" s="4">
        <f>IF(I491&lt;=0,"NO DEMAND",IF(H491=0,"STOCKOUT",IF(J491&lt;Config!$B$5,"CRITICAL",IF(J491&lt;Config!$B$6,"LOW",IF(J491&gt;Config!$B$7,"EXCESS","HEALTHY")))))</f>
        <v/>
      </c>
      <c r="L491" s="11" t="n">
        <v>129</v>
      </c>
      <c r="M491" s="11" t="n">
        <v>143</v>
      </c>
      <c r="N491" s="11">
        <f>H491*L491</f>
        <v/>
      </c>
      <c r="O491" s="11">
        <f>IF(I491&gt;0,I491*(M491-L491),0)</f>
        <v/>
      </c>
      <c r="P491" s="11" t="n">
        <v>0</v>
      </c>
    </row>
    <row r="492">
      <c r="A492" s="4" t="inlineStr">
        <is>
          <t>WH05</t>
        </is>
      </c>
      <c r="B492" s="4" t="inlineStr">
        <is>
          <t>Pune DC</t>
        </is>
      </c>
      <c r="C492" s="4" t="inlineStr">
        <is>
          <t>West</t>
        </is>
      </c>
      <c r="D492" s="4" t="inlineStr">
        <is>
          <t>SKU008</t>
        </is>
      </c>
      <c r="E492" s="4" t="inlineStr">
        <is>
          <t>Iodized Salt 1kg</t>
        </is>
      </c>
      <c r="F492" s="4" t="inlineStr">
        <is>
          <t>Packaged Staples</t>
        </is>
      </c>
      <c r="G492" s="4" t="inlineStr">
        <is>
          <t>A</t>
        </is>
      </c>
      <c r="H492" s="11" t="n">
        <v>1683</v>
      </c>
      <c r="I492" s="4" t="n">
        <v>608</v>
      </c>
      <c r="J492" s="13">
        <f>IF(I492&gt;0,H492/I492,"")</f>
        <v/>
      </c>
      <c r="K492" s="4">
        <f>IF(I492&lt;=0,"NO DEMAND",IF(H492=0,"STOCKOUT",IF(J492&lt;Config!$B$5,"CRITICAL",IF(J492&lt;Config!$B$6,"LOW",IF(J492&gt;Config!$B$7,"EXCESS","HEALTHY")))))</f>
        <v/>
      </c>
      <c r="L492" s="11" t="n">
        <v>140</v>
      </c>
      <c r="M492" s="11" t="n">
        <v>156</v>
      </c>
      <c r="N492" s="11">
        <f>H492*L492</f>
        <v/>
      </c>
      <c r="O492" s="11">
        <f>IF(I492&gt;0,I492*(M492-L492),0)</f>
        <v/>
      </c>
      <c r="P492" s="11" t="n">
        <v>0</v>
      </c>
    </row>
    <row r="493">
      <c r="A493" s="4" t="inlineStr">
        <is>
          <t>WH05</t>
        </is>
      </c>
      <c r="B493" s="4" t="inlineStr">
        <is>
          <t>Pune DC</t>
        </is>
      </c>
      <c r="C493" s="4" t="inlineStr">
        <is>
          <t>West</t>
        </is>
      </c>
      <c r="D493" s="4" t="inlineStr">
        <is>
          <t>SKU009</t>
        </is>
      </c>
      <c r="E493" s="4" t="inlineStr">
        <is>
          <t>Tea Leaves 500g</t>
        </is>
      </c>
      <c r="F493" s="4" t="inlineStr">
        <is>
          <t>Packaged Staples</t>
        </is>
      </c>
      <c r="G493" s="4" t="inlineStr">
        <is>
          <t>A</t>
        </is>
      </c>
      <c r="H493" s="11" t="n">
        <v>993</v>
      </c>
      <c r="I493" s="4" t="n">
        <v>795.25</v>
      </c>
      <c r="J493" s="13">
        <f>IF(I493&gt;0,H493/I493,"")</f>
        <v/>
      </c>
      <c r="K493" s="4">
        <f>IF(I493&lt;=0,"NO DEMAND",IF(H493=0,"STOCKOUT",IF(J493&lt;Config!$B$5,"CRITICAL",IF(J493&lt;Config!$B$6,"LOW",IF(J493&gt;Config!$B$7,"EXCESS","HEALTHY")))))</f>
        <v/>
      </c>
      <c r="L493" s="11" t="n">
        <v>103</v>
      </c>
      <c r="M493" s="11" t="n">
        <v>116</v>
      </c>
      <c r="N493" s="11">
        <f>H493*L493</f>
        <v/>
      </c>
      <c r="O493" s="11">
        <f>IF(I493&gt;0,I493*(M493-L493),0)</f>
        <v/>
      </c>
      <c r="P493" s="11" t="n">
        <v>2136</v>
      </c>
    </row>
    <row r="494">
      <c r="A494" s="4" t="inlineStr">
        <is>
          <t>WH05</t>
        </is>
      </c>
      <c r="B494" s="4" t="inlineStr">
        <is>
          <t>Pune DC</t>
        </is>
      </c>
      <c r="C494" s="4" t="inlineStr">
        <is>
          <t>West</t>
        </is>
      </c>
      <c r="D494" s="4" t="inlineStr">
        <is>
          <t>SKU010</t>
        </is>
      </c>
      <c r="E494" s="4" t="inlineStr">
        <is>
          <t>Poha 500g</t>
        </is>
      </c>
      <c r="F494" s="4" t="inlineStr">
        <is>
          <t>Packaged Staples</t>
        </is>
      </c>
      <c r="G494" s="4" t="inlineStr">
        <is>
          <t>B</t>
        </is>
      </c>
      <c r="H494" s="11" t="n">
        <v>1724</v>
      </c>
      <c r="I494" s="4" t="n">
        <v>499</v>
      </c>
      <c r="J494" s="13">
        <f>IF(I494&gt;0,H494/I494,"")</f>
        <v/>
      </c>
      <c r="K494" s="4">
        <f>IF(I494&lt;=0,"NO DEMAND",IF(H494=0,"STOCKOUT",IF(J494&lt;Config!$B$5,"CRITICAL",IF(J494&lt;Config!$B$6,"LOW",IF(J494&gt;Config!$B$7,"EXCESS","HEALTHY")))))</f>
        <v/>
      </c>
      <c r="L494" s="11" t="n">
        <v>40</v>
      </c>
      <c r="M494" s="11" t="n">
        <v>45</v>
      </c>
      <c r="N494" s="11">
        <f>H494*L494</f>
        <v/>
      </c>
      <c r="O494" s="11">
        <f>IF(I494&gt;0,I494*(M494-L494),0)</f>
        <v/>
      </c>
      <c r="P494" s="11" t="n">
        <v>0</v>
      </c>
    </row>
    <row r="495">
      <c r="A495" s="4" t="inlineStr">
        <is>
          <t>WH05</t>
        </is>
      </c>
      <c r="B495" s="4" t="inlineStr">
        <is>
          <t>Pune DC</t>
        </is>
      </c>
      <c r="C495" s="4" t="inlineStr">
        <is>
          <t>West</t>
        </is>
      </c>
      <c r="D495" s="4" t="inlineStr">
        <is>
          <t>SKU011</t>
        </is>
      </c>
      <c r="E495" s="4" t="inlineStr">
        <is>
          <t>Besan 1kg</t>
        </is>
      </c>
      <c r="F495" s="4" t="inlineStr">
        <is>
          <t>Packaged Staples</t>
        </is>
      </c>
      <c r="G495" s="4" t="inlineStr">
        <is>
          <t>A</t>
        </is>
      </c>
      <c r="H495" s="11" t="n">
        <v>1369</v>
      </c>
      <c r="I495" s="4" t="n">
        <v>788.5</v>
      </c>
      <c r="J495" s="13">
        <f>IF(I495&gt;0,H495/I495,"")</f>
        <v/>
      </c>
      <c r="K495" s="4">
        <f>IF(I495&lt;=0,"NO DEMAND",IF(H495=0,"STOCKOUT",IF(J495&lt;Config!$B$5,"CRITICAL",IF(J495&lt;Config!$B$6,"LOW",IF(J495&gt;Config!$B$7,"EXCESS","HEALTHY")))))</f>
        <v/>
      </c>
      <c r="L495" s="11" t="n">
        <v>110</v>
      </c>
      <c r="M495" s="11" t="n">
        <v>122</v>
      </c>
      <c r="N495" s="11">
        <f>H495*L495</f>
        <v/>
      </c>
      <c r="O495" s="11">
        <f>IF(I495&gt;0,I495*(M495-L495),0)</f>
        <v/>
      </c>
      <c r="P495" s="11" t="n">
        <v>2928</v>
      </c>
    </row>
    <row r="496">
      <c r="A496" s="4" t="inlineStr">
        <is>
          <t>WH05</t>
        </is>
      </c>
      <c r="B496" s="4" t="inlineStr">
        <is>
          <t>Pune DC</t>
        </is>
      </c>
      <c r="C496" s="4" t="inlineStr">
        <is>
          <t>West</t>
        </is>
      </c>
      <c r="D496" s="4" t="inlineStr">
        <is>
          <t>SKU012</t>
        </is>
      </c>
      <c r="E496" s="4" t="inlineStr">
        <is>
          <t>Rajma 1kg</t>
        </is>
      </c>
      <c r="F496" s="4" t="inlineStr">
        <is>
          <t>Packaged Staples</t>
        </is>
      </c>
      <c r="G496" s="4" t="inlineStr">
        <is>
          <t>B</t>
        </is>
      </c>
      <c r="H496" s="11" t="n">
        <v>2041</v>
      </c>
      <c r="I496" s="4" t="n">
        <v>902.75</v>
      </c>
      <c r="J496" s="13">
        <f>IF(I496&gt;0,H496/I496,"")</f>
        <v/>
      </c>
      <c r="K496" s="4">
        <f>IF(I496&lt;=0,"NO DEMAND",IF(H496=0,"STOCKOUT",IF(J496&lt;Config!$B$5,"CRITICAL",IF(J496&lt;Config!$B$6,"LOW",IF(J496&gt;Config!$B$7,"EXCESS","HEALTHY")))))</f>
        <v/>
      </c>
      <c r="L496" s="11" t="n">
        <v>45</v>
      </c>
      <c r="M496" s="11" t="n">
        <v>50</v>
      </c>
      <c r="N496" s="11">
        <f>H496*L496</f>
        <v/>
      </c>
      <c r="O496" s="11">
        <f>IF(I496&gt;0,I496*(M496-L496),0)</f>
        <v/>
      </c>
      <c r="P496" s="11" t="n">
        <v>0</v>
      </c>
    </row>
    <row r="497">
      <c r="A497" s="4" t="inlineStr">
        <is>
          <t>WH05</t>
        </is>
      </c>
      <c r="B497" s="4" t="inlineStr">
        <is>
          <t>Pune DC</t>
        </is>
      </c>
      <c r="C497" s="4" t="inlineStr">
        <is>
          <t>West</t>
        </is>
      </c>
      <c r="D497" s="4" t="inlineStr">
        <is>
          <t>SKU013</t>
        </is>
      </c>
      <c r="E497" s="4" t="inlineStr">
        <is>
          <t>Jaggery 1kg</t>
        </is>
      </c>
      <c r="F497" s="4" t="inlineStr">
        <is>
          <t>Packaged Staples</t>
        </is>
      </c>
      <c r="G497" s="4" t="inlineStr">
        <is>
          <t>A</t>
        </is>
      </c>
      <c r="H497" s="11" t="n">
        <v>1609</v>
      </c>
      <c r="I497" s="4" t="n">
        <v>1016.75</v>
      </c>
      <c r="J497" s="13">
        <f>IF(I497&gt;0,H497/I497,"")</f>
        <v/>
      </c>
      <c r="K497" s="4">
        <f>IF(I497&lt;=0,"NO DEMAND",IF(H497=0,"STOCKOUT",IF(J497&lt;Config!$B$5,"CRITICAL",IF(J497&lt;Config!$B$6,"LOW",IF(J497&gt;Config!$B$7,"EXCESS","HEALTHY")))))</f>
        <v/>
      </c>
      <c r="L497" s="11" t="n">
        <v>125</v>
      </c>
      <c r="M497" s="11" t="n">
        <v>140</v>
      </c>
      <c r="N497" s="11">
        <f>H497*L497</f>
        <v/>
      </c>
      <c r="O497" s="11">
        <f>IF(I497&gt;0,I497*(M497-L497),0)</f>
        <v/>
      </c>
      <c r="P497" s="11" t="n">
        <v>4740</v>
      </c>
    </row>
    <row r="498">
      <c r="A498" s="4" t="inlineStr">
        <is>
          <t>WH05</t>
        </is>
      </c>
      <c r="B498" s="4" t="inlineStr">
        <is>
          <t>Pune DC</t>
        </is>
      </c>
      <c r="C498" s="4" t="inlineStr">
        <is>
          <t>West</t>
        </is>
      </c>
      <c r="D498" s="4" t="inlineStr">
        <is>
          <t>SKU014</t>
        </is>
      </c>
      <c r="E498" s="4" t="inlineStr">
        <is>
          <t>Ghee 500ml</t>
        </is>
      </c>
      <c r="F498" s="4" t="inlineStr">
        <is>
          <t>Packaged Staples</t>
        </is>
      </c>
      <c r="G498" s="4" t="inlineStr">
        <is>
          <t>A</t>
        </is>
      </c>
      <c r="H498" s="11" t="n">
        <v>854</v>
      </c>
      <c r="I498" s="4" t="n">
        <v>335</v>
      </c>
      <c r="J498" s="13">
        <f>IF(I498&gt;0,H498/I498,"")</f>
        <v/>
      </c>
      <c r="K498" s="4">
        <f>IF(I498&lt;=0,"NO DEMAND",IF(H498=0,"STOCKOUT",IF(J498&lt;Config!$B$5,"CRITICAL",IF(J498&lt;Config!$B$6,"LOW",IF(J498&gt;Config!$B$7,"EXCESS","HEALTHY")))))</f>
        <v/>
      </c>
      <c r="L498" s="11" t="n">
        <v>240</v>
      </c>
      <c r="M498" s="11" t="n">
        <v>270</v>
      </c>
      <c r="N498" s="11">
        <f>H498*L498</f>
        <v/>
      </c>
      <c r="O498" s="11">
        <f>IF(I498&gt;0,I498*(M498-L498),0)</f>
        <v/>
      </c>
      <c r="P498" s="11" t="n">
        <v>0</v>
      </c>
    </row>
    <row r="499">
      <c r="A499" s="4" t="inlineStr">
        <is>
          <t>WH05</t>
        </is>
      </c>
      <c r="B499" s="4" t="inlineStr">
        <is>
          <t>Pune DC</t>
        </is>
      </c>
      <c r="C499" s="4" t="inlineStr">
        <is>
          <t>West</t>
        </is>
      </c>
      <c r="D499" s="4" t="inlineStr">
        <is>
          <t>SKU015</t>
        </is>
      </c>
      <c r="E499" s="4" t="inlineStr">
        <is>
          <t>Suji 1kg</t>
        </is>
      </c>
      <c r="F499" s="4" t="inlineStr">
        <is>
          <t>Packaged Staples</t>
        </is>
      </c>
      <c r="G499" s="4" t="inlineStr">
        <is>
          <t>C</t>
        </is>
      </c>
      <c r="H499" s="11" t="n">
        <v>481</v>
      </c>
      <c r="I499" s="4" t="n">
        <v>148.75</v>
      </c>
      <c r="J499" s="13">
        <f>IF(I499&gt;0,H499/I499,"")</f>
        <v/>
      </c>
      <c r="K499" s="4">
        <f>IF(I499&lt;=0,"NO DEMAND",IF(H499=0,"STOCKOUT",IF(J499&lt;Config!$B$5,"CRITICAL",IF(J499&lt;Config!$B$6,"LOW",IF(J499&gt;Config!$B$7,"EXCESS","HEALTHY")))))</f>
        <v/>
      </c>
      <c r="L499" s="11" t="n">
        <v>42</v>
      </c>
      <c r="M499" s="11" t="n">
        <v>47</v>
      </c>
      <c r="N499" s="11">
        <f>H499*L499</f>
        <v/>
      </c>
      <c r="O499" s="11">
        <f>IF(I499&gt;0,I499*(M499-L499),0)</f>
        <v/>
      </c>
      <c r="P499" s="11" t="n">
        <v>0</v>
      </c>
    </row>
    <row r="500">
      <c r="A500" s="4" t="inlineStr">
        <is>
          <t>WH05</t>
        </is>
      </c>
      <c r="B500" s="4" t="inlineStr">
        <is>
          <t>Pune DC</t>
        </is>
      </c>
      <c r="C500" s="4" t="inlineStr">
        <is>
          <t>West</t>
        </is>
      </c>
      <c r="D500" s="4" t="inlineStr">
        <is>
          <t>SKU016</t>
        </is>
      </c>
      <c r="E500" s="4" t="inlineStr">
        <is>
          <t>Cola 750ml</t>
        </is>
      </c>
      <c r="F500" s="4" t="inlineStr">
        <is>
          <t>Beverages</t>
        </is>
      </c>
      <c r="G500" s="4" t="inlineStr">
        <is>
          <t>C</t>
        </is>
      </c>
      <c r="H500" s="11" t="n">
        <v>603</v>
      </c>
      <c r="I500" s="4" t="n">
        <v>261.5</v>
      </c>
      <c r="J500" s="13">
        <f>IF(I500&gt;0,H500/I500,"")</f>
        <v/>
      </c>
      <c r="K500" s="4">
        <f>IF(I500&lt;=0,"NO DEMAND",IF(H500=0,"STOCKOUT",IF(J500&lt;Config!$B$5,"CRITICAL",IF(J500&lt;Config!$B$6,"LOW",IF(J500&gt;Config!$B$7,"EXCESS","HEALTHY")))))</f>
        <v/>
      </c>
      <c r="L500" s="11" t="n">
        <v>41</v>
      </c>
      <c r="M500" s="11" t="n">
        <v>47</v>
      </c>
      <c r="N500" s="11">
        <f>H500*L500</f>
        <v/>
      </c>
      <c r="O500" s="11">
        <f>IF(I500&gt;0,I500*(M500-L500),0)</f>
        <v/>
      </c>
      <c r="P500" s="11" t="n">
        <v>1320</v>
      </c>
    </row>
    <row r="501">
      <c r="A501" s="4" t="inlineStr">
        <is>
          <t>WH05</t>
        </is>
      </c>
      <c r="B501" s="4" t="inlineStr">
        <is>
          <t>Pune DC</t>
        </is>
      </c>
      <c r="C501" s="4" t="inlineStr">
        <is>
          <t>West</t>
        </is>
      </c>
      <c r="D501" s="4" t="inlineStr">
        <is>
          <t>SKU017</t>
        </is>
      </c>
      <c r="E501" s="4" t="inlineStr">
        <is>
          <t>Lemon Soda 600ml</t>
        </is>
      </c>
      <c r="F501" s="4" t="inlineStr">
        <is>
          <t>Beverages</t>
        </is>
      </c>
      <c r="G501" s="4" t="inlineStr">
        <is>
          <t>B</t>
        </is>
      </c>
      <c r="H501" s="11" t="n">
        <v>649</v>
      </c>
      <c r="I501" s="4" t="n">
        <v>157.5</v>
      </c>
      <c r="J501" s="13">
        <f>IF(I501&gt;0,H501/I501,"")</f>
        <v/>
      </c>
      <c r="K501" s="4">
        <f>IF(I501&lt;=0,"NO DEMAND",IF(H501=0,"STOCKOUT",IF(J501&lt;Config!$B$5,"CRITICAL",IF(J501&lt;Config!$B$6,"LOW",IF(J501&gt;Config!$B$7,"EXCESS","HEALTHY")))))</f>
        <v/>
      </c>
      <c r="L501" s="11" t="n">
        <v>42</v>
      </c>
      <c r="M501" s="11" t="n">
        <v>50</v>
      </c>
      <c r="N501" s="11">
        <f>H501*L501</f>
        <v/>
      </c>
      <c r="O501" s="11">
        <f>IF(I501&gt;0,I501*(M501-L501),0)</f>
        <v/>
      </c>
      <c r="P501" s="11" t="n">
        <v>0</v>
      </c>
    </row>
    <row r="502">
      <c r="A502" s="4" t="inlineStr">
        <is>
          <t>WH05</t>
        </is>
      </c>
      <c r="B502" s="4" t="inlineStr">
        <is>
          <t>Pune DC</t>
        </is>
      </c>
      <c r="C502" s="4" t="inlineStr">
        <is>
          <t>West</t>
        </is>
      </c>
      <c r="D502" s="4" t="inlineStr">
        <is>
          <t>SKU018</t>
        </is>
      </c>
      <c r="E502" s="4" t="inlineStr">
        <is>
          <t>Mango Drink 1L</t>
        </is>
      </c>
      <c r="F502" s="4" t="inlineStr">
        <is>
          <t>Beverages</t>
        </is>
      </c>
      <c r="G502" s="4" t="inlineStr">
        <is>
          <t>A</t>
        </is>
      </c>
      <c r="H502" s="11" t="n">
        <v>2137</v>
      </c>
      <c r="I502" s="4" t="n">
        <v>1281.75</v>
      </c>
      <c r="J502" s="13">
        <f>IF(I502&gt;0,H502/I502,"")</f>
        <v/>
      </c>
      <c r="K502" s="4">
        <f>IF(I502&lt;=0,"NO DEMAND",IF(H502=0,"STOCKOUT",IF(J502&lt;Config!$B$5,"CRITICAL",IF(J502&lt;Config!$B$6,"LOW",IF(J502&gt;Config!$B$7,"EXCESS","HEALTHY")))))</f>
        <v/>
      </c>
      <c r="L502" s="11" t="n">
        <v>101</v>
      </c>
      <c r="M502" s="11" t="n">
        <v>117</v>
      </c>
      <c r="N502" s="11">
        <f>H502*L502</f>
        <v/>
      </c>
      <c r="O502" s="11">
        <f>IF(I502&gt;0,I502*(M502-L502),0)</f>
        <v/>
      </c>
      <c r="P502" s="11" t="n">
        <v>0</v>
      </c>
    </row>
    <row r="503">
      <c r="A503" s="4" t="inlineStr">
        <is>
          <t>WH05</t>
        </is>
      </c>
      <c r="B503" s="4" t="inlineStr">
        <is>
          <t>Pune DC</t>
        </is>
      </c>
      <c r="C503" s="4" t="inlineStr">
        <is>
          <t>West</t>
        </is>
      </c>
      <c r="D503" s="4" t="inlineStr">
        <is>
          <t>SKU019</t>
        </is>
      </c>
      <c r="E503" s="4" t="inlineStr">
        <is>
          <t>Packaged Water 1L</t>
        </is>
      </c>
      <c r="F503" s="4" t="inlineStr">
        <is>
          <t>Beverages</t>
        </is>
      </c>
      <c r="G503" s="4" t="inlineStr">
        <is>
          <t>A</t>
        </is>
      </c>
      <c r="H503" s="11" t="n">
        <v>921</v>
      </c>
      <c r="I503" s="4" t="n">
        <v>987.25</v>
      </c>
      <c r="J503" s="13">
        <f>IF(I503&gt;0,H503/I503,"")</f>
        <v/>
      </c>
      <c r="K503" s="4">
        <f>IF(I503&lt;=0,"NO DEMAND",IF(H503=0,"STOCKOUT",IF(J503&lt;Config!$B$5,"CRITICAL",IF(J503&lt;Config!$B$6,"LOW",IF(J503&gt;Config!$B$7,"EXCESS","HEALTHY")))))</f>
        <v/>
      </c>
      <c r="L503" s="11" t="n">
        <v>57</v>
      </c>
      <c r="M503" s="11" t="n">
        <v>68</v>
      </c>
      <c r="N503" s="11">
        <f>H503*L503</f>
        <v/>
      </c>
      <c r="O503" s="11">
        <f>IF(I503&gt;0,I503*(M503-L503),0)</f>
        <v/>
      </c>
      <c r="P503" s="11" t="n">
        <v>3024</v>
      </c>
    </row>
    <row r="504">
      <c r="A504" s="4" t="inlineStr">
        <is>
          <t>WH05</t>
        </is>
      </c>
      <c r="B504" s="4" t="inlineStr">
        <is>
          <t>Pune DC</t>
        </is>
      </c>
      <c r="C504" s="4" t="inlineStr">
        <is>
          <t>West</t>
        </is>
      </c>
      <c r="D504" s="4" t="inlineStr">
        <is>
          <t>SKU020</t>
        </is>
      </c>
      <c r="E504" s="4" t="inlineStr">
        <is>
          <t>Energy Drink 250ml</t>
        </is>
      </c>
      <c r="F504" s="4" t="inlineStr">
        <is>
          <t>Beverages</t>
        </is>
      </c>
      <c r="G504" s="4" t="inlineStr">
        <is>
          <t>B</t>
        </is>
      </c>
      <c r="H504" s="11" t="n">
        <v>3983</v>
      </c>
      <c r="I504" s="4" t="n">
        <v>890.25</v>
      </c>
      <c r="J504" s="13">
        <f>IF(I504&gt;0,H504/I504,"")</f>
        <v/>
      </c>
      <c r="K504" s="4">
        <f>IF(I504&lt;=0,"NO DEMAND",IF(H504=0,"STOCKOUT",IF(J504&lt;Config!$B$5,"CRITICAL",IF(J504&lt;Config!$B$6,"LOW",IF(J504&gt;Config!$B$7,"EXCESS","HEALTHY")))))</f>
        <v/>
      </c>
      <c r="L504" s="11" t="n">
        <v>24</v>
      </c>
      <c r="M504" s="11" t="n">
        <v>28</v>
      </c>
      <c r="N504" s="11">
        <f>H504*L504</f>
        <v/>
      </c>
      <c r="O504" s="11">
        <f>IF(I504&gt;0,I504*(M504-L504),0)</f>
        <v/>
      </c>
      <c r="P504" s="11" t="n">
        <v>0</v>
      </c>
    </row>
    <row r="505">
      <c r="A505" s="4" t="inlineStr">
        <is>
          <t>WH05</t>
        </is>
      </c>
      <c r="B505" s="4" t="inlineStr">
        <is>
          <t>Pune DC</t>
        </is>
      </c>
      <c r="C505" s="4" t="inlineStr">
        <is>
          <t>West</t>
        </is>
      </c>
      <c r="D505" s="4" t="inlineStr">
        <is>
          <t>SKU021</t>
        </is>
      </c>
      <c r="E505" s="4" t="inlineStr">
        <is>
          <t>Fruit Juice 1L</t>
        </is>
      </c>
      <c r="F505" s="4" t="inlineStr">
        <is>
          <t>Beverages</t>
        </is>
      </c>
      <c r="G505" s="4" t="inlineStr">
        <is>
          <t>A</t>
        </is>
      </c>
      <c r="H505" s="11" t="n">
        <v>2372</v>
      </c>
      <c r="I505" s="4" t="n">
        <v>204.75</v>
      </c>
      <c r="J505" s="13">
        <f>IF(I505&gt;0,H505/I505,"")</f>
        <v/>
      </c>
      <c r="K505" s="4">
        <f>IF(I505&lt;=0,"NO DEMAND",IF(H505=0,"STOCKOUT",IF(J505&lt;Config!$B$5,"CRITICAL",IF(J505&lt;Config!$B$6,"LOW",IF(J505&gt;Config!$B$7,"EXCESS","HEALTHY")))))</f>
        <v/>
      </c>
      <c r="L505" s="11" t="n">
        <v>54</v>
      </c>
      <c r="M505" s="11" t="n">
        <v>63</v>
      </c>
      <c r="N505" s="11">
        <f>H505*L505</f>
        <v/>
      </c>
      <c r="O505" s="11">
        <f>IF(I505&gt;0,I505*(M505-L505),0)</f>
        <v/>
      </c>
      <c r="P505" s="11" t="n">
        <v>0</v>
      </c>
    </row>
    <row r="506">
      <c r="A506" s="4" t="inlineStr">
        <is>
          <t>WH05</t>
        </is>
      </c>
      <c r="B506" s="4" t="inlineStr">
        <is>
          <t>Pune DC</t>
        </is>
      </c>
      <c r="C506" s="4" t="inlineStr">
        <is>
          <t>West</t>
        </is>
      </c>
      <c r="D506" s="4" t="inlineStr">
        <is>
          <t>SKU022</t>
        </is>
      </c>
      <c r="E506" s="4" t="inlineStr">
        <is>
          <t>Iced Tea 500ml</t>
        </is>
      </c>
      <c r="F506" s="4" t="inlineStr">
        <is>
          <t>Beverages</t>
        </is>
      </c>
      <c r="G506" s="4" t="inlineStr">
        <is>
          <t>A</t>
        </is>
      </c>
      <c r="H506" s="11" t="n">
        <v>2888</v>
      </c>
      <c r="I506" s="4" t="n">
        <v>1210.5</v>
      </c>
      <c r="J506" s="13">
        <f>IF(I506&gt;0,H506/I506,"")</f>
        <v/>
      </c>
      <c r="K506" s="4">
        <f>IF(I506&lt;=0,"NO DEMAND",IF(H506=0,"STOCKOUT",IF(J506&lt;Config!$B$5,"CRITICAL",IF(J506&lt;Config!$B$6,"LOW",IF(J506&gt;Config!$B$7,"EXCESS","HEALTHY")))))</f>
        <v/>
      </c>
      <c r="L506" s="11" t="n">
        <v>53</v>
      </c>
      <c r="M506" s="11" t="n">
        <v>64</v>
      </c>
      <c r="N506" s="11">
        <f>H506*L506</f>
        <v/>
      </c>
      <c r="O506" s="11">
        <f>IF(I506&gt;0,I506*(M506-L506),0)</f>
        <v/>
      </c>
      <c r="P506" s="11" t="n">
        <v>4104</v>
      </c>
    </row>
    <row r="507">
      <c r="A507" s="4" t="inlineStr">
        <is>
          <t>WH05</t>
        </is>
      </c>
      <c r="B507" s="4" t="inlineStr">
        <is>
          <t>Pune DC</t>
        </is>
      </c>
      <c r="C507" s="4" t="inlineStr">
        <is>
          <t>West</t>
        </is>
      </c>
      <c r="D507" s="4" t="inlineStr">
        <is>
          <t>SKU023</t>
        </is>
      </c>
      <c r="E507" s="4" t="inlineStr">
        <is>
          <t>Coconut Water 200ml</t>
        </is>
      </c>
      <c r="F507" s="4" t="inlineStr">
        <is>
          <t>Beverages</t>
        </is>
      </c>
      <c r="G507" s="4" t="inlineStr">
        <is>
          <t>A</t>
        </is>
      </c>
      <c r="H507" s="11" t="n">
        <v>2576</v>
      </c>
      <c r="I507" s="4" t="n">
        <v>1290.5</v>
      </c>
      <c r="J507" s="13">
        <f>IF(I507&gt;0,H507/I507,"")</f>
        <v/>
      </c>
      <c r="K507" s="4">
        <f>IF(I507&lt;=0,"NO DEMAND",IF(H507=0,"STOCKOUT",IF(J507&lt;Config!$B$5,"CRITICAL",IF(J507&lt;Config!$B$6,"LOW",IF(J507&gt;Config!$B$7,"EXCESS","HEALTHY")))))</f>
        <v/>
      </c>
      <c r="L507" s="11" t="n">
        <v>59</v>
      </c>
      <c r="M507" s="11" t="n">
        <v>69</v>
      </c>
      <c r="N507" s="11">
        <f>H507*L507</f>
        <v/>
      </c>
      <c r="O507" s="11">
        <f>IF(I507&gt;0,I507*(M507-L507),0)</f>
        <v/>
      </c>
      <c r="P507" s="11" t="n">
        <v>4032</v>
      </c>
    </row>
    <row r="508">
      <c r="A508" s="4" t="inlineStr">
        <is>
          <t>WH05</t>
        </is>
      </c>
      <c r="B508" s="4" t="inlineStr">
        <is>
          <t>Pune DC</t>
        </is>
      </c>
      <c r="C508" s="4" t="inlineStr">
        <is>
          <t>West</t>
        </is>
      </c>
      <c r="D508" s="4" t="inlineStr">
        <is>
          <t>SKU024</t>
        </is>
      </c>
      <c r="E508" s="4" t="inlineStr">
        <is>
          <t>Instant Coffee 100g</t>
        </is>
      </c>
      <c r="F508" s="4" t="inlineStr">
        <is>
          <t>Beverages</t>
        </is>
      </c>
      <c r="G508" s="4" t="inlineStr">
        <is>
          <t>C</t>
        </is>
      </c>
      <c r="H508" s="11" t="n">
        <v>2722</v>
      </c>
      <c r="I508" s="4" t="n">
        <v>532</v>
      </c>
      <c r="J508" s="13">
        <f>IF(I508&gt;0,H508/I508,"")</f>
        <v/>
      </c>
      <c r="K508" s="4">
        <f>IF(I508&lt;=0,"NO DEMAND",IF(H508=0,"STOCKOUT",IF(J508&lt;Config!$B$5,"CRITICAL",IF(J508&lt;Config!$B$6,"LOW",IF(J508&gt;Config!$B$7,"EXCESS","HEALTHY")))))</f>
        <v/>
      </c>
      <c r="L508" s="11" t="n">
        <v>27</v>
      </c>
      <c r="M508" s="11" t="n">
        <v>31</v>
      </c>
      <c r="N508" s="11">
        <f>H508*L508</f>
        <v/>
      </c>
      <c r="O508" s="11">
        <f>IF(I508&gt;0,I508*(M508-L508),0)</f>
        <v/>
      </c>
      <c r="P508" s="11" t="n">
        <v>0</v>
      </c>
    </row>
    <row r="509">
      <c r="A509" s="4" t="inlineStr">
        <is>
          <t>WH05</t>
        </is>
      </c>
      <c r="B509" s="4" t="inlineStr">
        <is>
          <t>Pune DC</t>
        </is>
      </c>
      <c r="C509" s="4" t="inlineStr">
        <is>
          <t>West</t>
        </is>
      </c>
      <c r="D509" s="4" t="inlineStr">
        <is>
          <t>SKU025</t>
        </is>
      </c>
      <c r="E509" s="4" t="inlineStr">
        <is>
          <t>Tea Bags 100pk</t>
        </is>
      </c>
      <c r="F509" s="4" t="inlineStr">
        <is>
          <t>Beverages</t>
        </is>
      </c>
      <c r="G509" s="4" t="inlineStr">
        <is>
          <t>C</t>
        </is>
      </c>
      <c r="H509" s="11" t="n">
        <v>3980</v>
      </c>
      <c r="I509" s="4" t="n">
        <v>1205.75</v>
      </c>
      <c r="J509" s="13">
        <f>IF(I509&gt;0,H509/I509,"")</f>
        <v/>
      </c>
      <c r="K509" s="4">
        <f>IF(I509&lt;=0,"NO DEMAND",IF(H509=0,"STOCKOUT",IF(J509&lt;Config!$B$5,"CRITICAL",IF(J509&lt;Config!$B$6,"LOW",IF(J509&gt;Config!$B$7,"EXCESS","HEALTHY")))))</f>
        <v/>
      </c>
      <c r="L509" s="11" t="n">
        <v>24</v>
      </c>
      <c r="M509" s="11" t="n">
        <v>28</v>
      </c>
      <c r="N509" s="11">
        <f>H509*L509</f>
        <v/>
      </c>
      <c r="O509" s="11">
        <f>IF(I509&gt;0,I509*(M509-L509),0)</f>
        <v/>
      </c>
      <c r="P509" s="11" t="n">
        <v>0</v>
      </c>
    </row>
    <row r="510">
      <c r="A510" s="4" t="inlineStr">
        <is>
          <t>WH05</t>
        </is>
      </c>
      <c r="B510" s="4" t="inlineStr">
        <is>
          <t>Pune DC</t>
        </is>
      </c>
      <c r="C510" s="4" t="inlineStr">
        <is>
          <t>West</t>
        </is>
      </c>
      <c r="D510" s="4" t="inlineStr">
        <is>
          <t>SKU026</t>
        </is>
      </c>
      <c r="E510" s="4" t="inlineStr">
        <is>
          <t>Buttermilk 200ml</t>
        </is>
      </c>
      <c r="F510" s="4" t="inlineStr">
        <is>
          <t>Beverages</t>
        </is>
      </c>
      <c r="G510" s="4" t="inlineStr">
        <is>
          <t>B</t>
        </is>
      </c>
      <c r="H510" s="11" t="n">
        <v>641</v>
      </c>
      <c r="I510" s="4" t="n">
        <v>744.25</v>
      </c>
      <c r="J510" s="13">
        <f>IF(I510&gt;0,H510/I510,"")</f>
        <v/>
      </c>
      <c r="K510" s="4">
        <f>IF(I510&lt;=0,"NO DEMAND",IF(H510=0,"STOCKOUT",IF(J510&lt;Config!$B$5,"CRITICAL",IF(J510&lt;Config!$B$6,"LOW",IF(J510&gt;Config!$B$7,"EXCESS","HEALTHY")))))</f>
        <v/>
      </c>
      <c r="L510" s="11" t="n">
        <v>31</v>
      </c>
      <c r="M510" s="11" t="n">
        <v>36</v>
      </c>
      <c r="N510" s="11">
        <f>H510*L510</f>
        <v/>
      </c>
      <c r="O510" s="11">
        <f>IF(I510&gt;0,I510*(M510-L510),0)</f>
        <v/>
      </c>
      <c r="P510" s="11" t="n">
        <v>3024</v>
      </c>
    </row>
    <row r="511">
      <c r="A511" s="4" t="inlineStr">
        <is>
          <t>WH05</t>
        </is>
      </c>
      <c r="B511" s="4" t="inlineStr">
        <is>
          <t>Pune DC</t>
        </is>
      </c>
      <c r="C511" s="4" t="inlineStr">
        <is>
          <t>West</t>
        </is>
      </c>
      <c r="D511" s="4" t="inlineStr">
        <is>
          <t>SKU027</t>
        </is>
      </c>
      <c r="E511" s="4" t="inlineStr">
        <is>
          <t>Lassi 200ml</t>
        </is>
      </c>
      <c r="F511" s="4" t="inlineStr">
        <is>
          <t>Beverages</t>
        </is>
      </c>
      <c r="G511" s="4" t="inlineStr">
        <is>
          <t>A</t>
        </is>
      </c>
      <c r="H511" s="11" t="n">
        <v>1081</v>
      </c>
      <c r="I511" s="4" t="n">
        <v>180.75</v>
      </c>
      <c r="J511" s="13">
        <f>IF(I511&gt;0,H511/I511,"")</f>
        <v/>
      </c>
      <c r="K511" s="4">
        <f>IF(I511&lt;=0,"NO DEMAND",IF(H511=0,"STOCKOUT",IF(J511&lt;Config!$B$5,"CRITICAL",IF(J511&lt;Config!$B$6,"LOW",IF(J511&gt;Config!$B$7,"EXCESS","HEALTHY")))))</f>
        <v/>
      </c>
      <c r="L511" s="11" t="n">
        <v>60</v>
      </c>
      <c r="M511" s="11" t="n">
        <v>72</v>
      </c>
      <c r="N511" s="11">
        <f>H511*L511</f>
        <v/>
      </c>
      <c r="O511" s="11">
        <f>IF(I511&gt;0,I511*(M511-L511),0)</f>
        <v/>
      </c>
      <c r="P511" s="11" t="n">
        <v>0</v>
      </c>
    </row>
    <row r="512">
      <c r="A512" s="4" t="inlineStr">
        <is>
          <t>WH05</t>
        </is>
      </c>
      <c r="B512" s="4" t="inlineStr">
        <is>
          <t>Pune DC</t>
        </is>
      </c>
      <c r="C512" s="4" t="inlineStr">
        <is>
          <t>West</t>
        </is>
      </c>
      <c r="D512" s="4" t="inlineStr">
        <is>
          <t>SKU028</t>
        </is>
      </c>
      <c r="E512" s="4" t="inlineStr">
        <is>
          <t>Sports Drink 500ml</t>
        </is>
      </c>
      <c r="F512" s="4" t="inlineStr">
        <is>
          <t>Beverages</t>
        </is>
      </c>
      <c r="G512" s="4" t="inlineStr">
        <is>
          <t>A</t>
        </is>
      </c>
      <c r="H512" s="11" t="n">
        <v>1208</v>
      </c>
      <c r="I512" s="4" t="n">
        <v>672.25</v>
      </c>
      <c r="J512" s="13">
        <f>IF(I512&gt;0,H512/I512,"")</f>
        <v/>
      </c>
      <c r="K512" s="4">
        <f>IF(I512&lt;=0,"NO DEMAND",IF(H512=0,"STOCKOUT",IF(J512&lt;Config!$B$5,"CRITICAL",IF(J512&lt;Config!$B$6,"LOW",IF(J512&gt;Config!$B$7,"EXCESS","HEALTHY")))))</f>
        <v/>
      </c>
      <c r="L512" s="11" t="n">
        <v>110</v>
      </c>
      <c r="M512" s="11" t="n">
        <v>131</v>
      </c>
      <c r="N512" s="11">
        <f>H512*L512</f>
        <v/>
      </c>
      <c r="O512" s="11">
        <f>IF(I512&gt;0,I512*(M512-L512),0)</f>
        <v/>
      </c>
      <c r="P512" s="11" t="n">
        <v>0</v>
      </c>
    </row>
    <row r="513">
      <c r="A513" s="4" t="inlineStr">
        <is>
          <t>WH05</t>
        </is>
      </c>
      <c r="B513" s="4" t="inlineStr">
        <is>
          <t>Pune DC</t>
        </is>
      </c>
      <c r="C513" s="4" t="inlineStr">
        <is>
          <t>West</t>
        </is>
      </c>
      <c r="D513" s="4" t="inlineStr">
        <is>
          <t>SKU029</t>
        </is>
      </c>
      <c r="E513" s="4" t="inlineStr">
        <is>
          <t>Tonic Water 300ml</t>
        </is>
      </c>
      <c r="F513" s="4" t="inlineStr">
        <is>
          <t>Beverages</t>
        </is>
      </c>
      <c r="G513" s="4" t="inlineStr">
        <is>
          <t>B</t>
        </is>
      </c>
      <c r="H513" s="11" t="n">
        <v>514</v>
      </c>
      <c r="I513" s="4" t="n">
        <v>911</v>
      </c>
      <c r="J513" s="13">
        <f>IF(I513&gt;0,H513/I513,"")</f>
        <v/>
      </c>
      <c r="K513" s="4">
        <f>IF(I513&lt;=0,"NO DEMAND",IF(H513=0,"STOCKOUT",IF(J513&lt;Config!$B$5,"CRITICAL",IF(J513&lt;Config!$B$6,"LOW",IF(J513&gt;Config!$B$7,"EXCESS","HEALTHY")))))</f>
        <v/>
      </c>
      <c r="L513" s="11" t="n">
        <v>23</v>
      </c>
      <c r="M513" s="11" t="n">
        <v>27</v>
      </c>
      <c r="N513" s="11">
        <f>H513*L513</f>
        <v/>
      </c>
      <c r="O513" s="11">
        <f>IF(I513&gt;0,I513*(M513-L513),0)</f>
        <v/>
      </c>
      <c r="P513" s="11" t="n">
        <v>3480</v>
      </c>
    </row>
    <row r="514">
      <c r="A514" s="4" t="inlineStr">
        <is>
          <t>WH05</t>
        </is>
      </c>
      <c r="B514" s="4" t="inlineStr">
        <is>
          <t>Pune DC</t>
        </is>
      </c>
      <c r="C514" s="4" t="inlineStr">
        <is>
          <t>West</t>
        </is>
      </c>
      <c r="D514" s="4" t="inlineStr">
        <is>
          <t>SKU030</t>
        </is>
      </c>
      <c r="E514" s="4" t="inlineStr">
        <is>
          <t>Malt Drink 500g</t>
        </is>
      </c>
      <c r="F514" s="4" t="inlineStr">
        <is>
          <t>Beverages</t>
        </is>
      </c>
      <c r="G514" s="4" t="inlineStr">
        <is>
          <t>C</t>
        </is>
      </c>
      <c r="H514" s="11" t="n">
        <v>5763</v>
      </c>
      <c r="I514" s="4" t="n">
        <v>853.25</v>
      </c>
      <c r="J514" s="13">
        <f>IF(I514&gt;0,H514/I514,"")</f>
        <v/>
      </c>
      <c r="K514" s="4">
        <f>IF(I514&lt;=0,"NO DEMAND",IF(H514=0,"STOCKOUT",IF(J514&lt;Config!$B$5,"CRITICAL",IF(J514&lt;Config!$B$6,"LOW",IF(J514&gt;Config!$B$7,"EXCESS","HEALTHY")))))</f>
        <v/>
      </c>
      <c r="L514" s="11" t="n">
        <v>31</v>
      </c>
      <c r="M514" s="11" t="n">
        <v>37</v>
      </c>
      <c r="N514" s="11">
        <f>H514*L514</f>
        <v/>
      </c>
      <c r="O514" s="11">
        <f>IF(I514&gt;0,I514*(M514-L514),0)</f>
        <v/>
      </c>
      <c r="P514" s="11" t="n">
        <v>0</v>
      </c>
    </row>
    <row r="515">
      <c r="A515" s="4" t="inlineStr">
        <is>
          <t>WH05</t>
        </is>
      </c>
      <c r="B515" s="4" t="inlineStr">
        <is>
          <t>Pune DC</t>
        </is>
      </c>
      <c r="C515" s="4" t="inlineStr">
        <is>
          <t>West</t>
        </is>
      </c>
      <c r="D515" s="4" t="inlineStr">
        <is>
          <t>SKU031</t>
        </is>
      </c>
      <c r="E515" s="4" t="inlineStr">
        <is>
          <t>Potato Chips 90g</t>
        </is>
      </c>
      <c r="F515" s="4" t="inlineStr">
        <is>
          <t>Snacks &amp; Confectionery</t>
        </is>
      </c>
      <c r="G515" s="4" t="inlineStr">
        <is>
          <t>C</t>
        </is>
      </c>
      <c r="H515" s="11" t="n">
        <v>7521</v>
      </c>
      <c r="I515" s="4" t="n">
        <v>1848.25</v>
      </c>
      <c r="J515" s="13">
        <f>IF(I515&gt;0,H515/I515,"")</f>
        <v/>
      </c>
      <c r="K515" s="4">
        <f>IF(I515&lt;=0,"NO DEMAND",IF(H515=0,"STOCKOUT",IF(J515&lt;Config!$B$5,"CRITICAL",IF(J515&lt;Config!$B$6,"LOW",IF(J515&gt;Config!$B$7,"EXCESS","HEALTHY")))))</f>
        <v/>
      </c>
      <c r="L515" s="11" t="n">
        <v>13</v>
      </c>
      <c r="M515" s="11" t="n">
        <v>16</v>
      </c>
      <c r="N515" s="11">
        <f>H515*L515</f>
        <v/>
      </c>
      <c r="O515" s="11">
        <f>IF(I515&gt;0,I515*(M515-L515),0)</f>
        <v/>
      </c>
      <c r="P515" s="11" t="n">
        <v>0</v>
      </c>
    </row>
    <row r="516">
      <c r="A516" s="4" t="inlineStr">
        <is>
          <t>WH05</t>
        </is>
      </c>
      <c r="B516" s="4" t="inlineStr">
        <is>
          <t>Pune DC</t>
        </is>
      </c>
      <c r="C516" s="4" t="inlineStr">
        <is>
          <t>West</t>
        </is>
      </c>
      <c r="D516" s="4" t="inlineStr">
        <is>
          <t>SKU032</t>
        </is>
      </c>
      <c r="E516" s="4" t="inlineStr">
        <is>
          <t>Namkeen Mix 400g</t>
        </is>
      </c>
      <c r="F516" s="4" t="inlineStr">
        <is>
          <t>Snacks &amp; Confectionery</t>
        </is>
      </c>
      <c r="G516" s="4" t="inlineStr">
        <is>
          <t>C</t>
        </is>
      </c>
      <c r="H516" s="11" t="n">
        <v>3009</v>
      </c>
      <c r="I516" s="4" t="n">
        <v>773.75</v>
      </c>
      <c r="J516" s="13">
        <f>IF(I516&gt;0,H516/I516,"")</f>
        <v/>
      </c>
      <c r="K516" s="4">
        <f>IF(I516&lt;=0,"NO DEMAND",IF(H516=0,"STOCKOUT",IF(J516&lt;Config!$B$5,"CRITICAL",IF(J516&lt;Config!$B$6,"LOW",IF(J516&gt;Config!$B$7,"EXCESS","HEALTHY")))))</f>
        <v/>
      </c>
      <c r="L516" s="11" t="n">
        <v>14</v>
      </c>
      <c r="M516" s="11" t="n">
        <v>17</v>
      </c>
      <c r="N516" s="11">
        <f>H516*L516</f>
        <v/>
      </c>
      <c r="O516" s="11">
        <f>IF(I516&gt;0,I516*(M516-L516),0)</f>
        <v/>
      </c>
      <c r="P516" s="11" t="n">
        <v>0</v>
      </c>
    </row>
    <row r="517">
      <c r="A517" s="4" t="inlineStr">
        <is>
          <t>WH05</t>
        </is>
      </c>
      <c r="B517" s="4" t="inlineStr">
        <is>
          <t>Pune DC</t>
        </is>
      </c>
      <c r="C517" s="4" t="inlineStr">
        <is>
          <t>West</t>
        </is>
      </c>
      <c r="D517" s="4" t="inlineStr">
        <is>
          <t>SKU033</t>
        </is>
      </c>
      <c r="E517" s="4" t="inlineStr">
        <is>
          <t>Glucose Biscuits 300g</t>
        </is>
      </c>
      <c r="F517" s="4" t="inlineStr">
        <is>
          <t>Snacks &amp; Confectionery</t>
        </is>
      </c>
      <c r="G517" s="4" t="inlineStr">
        <is>
          <t>A</t>
        </is>
      </c>
      <c r="H517" s="11" t="n">
        <v>4739</v>
      </c>
      <c r="I517" s="4" t="n">
        <v>1016</v>
      </c>
      <c r="J517" s="13">
        <f>IF(I517&gt;0,H517/I517,"")</f>
        <v/>
      </c>
      <c r="K517" s="4">
        <f>IF(I517&lt;=0,"NO DEMAND",IF(H517=0,"STOCKOUT",IF(J517&lt;Config!$B$5,"CRITICAL",IF(J517&lt;Config!$B$6,"LOW",IF(J517&gt;Config!$B$7,"EXCESS","HEALTHY")))))</f>
        <v/>
      </c>
      <c r="L517" s="11" t="n">
        <v>119</v>
      </c>
      <c r="M517" s="11" t="n">
        <v>144</v>
      </c>
      <c r="N517" s="11">
        <f>H517*L517</f>
        <v/>
      </c>
      <c r="O517" s="11">
        <f>IF(I517&gt;0,I517*(M517-L517),0)</f>
        <v/>
      </c>
      <c r="P517" s="11" t="n">
        <v>0</v>
      </c>
    </row>
    <row r="518">
      <c r="A518" s="4" t="inlineStr">
        <is>
          <t>WH05</t>
        </is>
      </c>
      <c r="B518" s="4" t="inlineStr">
        <is>
          <t>Pune DC</t>
        </is>
      </c>
      <c r="C518" s="4" t="inlineStr">
        <is>
          <t>West</t>
        </is>
      </c>
      <c r="D518" s="4" t="inlineStr">
        <is>
          <t>SKU034</t>
        </is>
      </c>
      <c r="E518" s="4" t="inlineStr">
        <is>
          <t>Cream Biscuits 120g</t>
        </is>
      </c>
      <c r="F518" s="4" t="inlineStr">
        <is>
          <t>Snacks &amp; Confectionery</t>
        </is>
      </c>
      <c r="G518" s="4" t="inlineStr">
        <is>
          <t>B</t>
        </is>
      </c>
      <c r="H518" s="11" t="n">
        <v>2085</v>
      </c>
      <c r="I518" s="4" t="n">
        <v>208</v>
      </c>
      <c r="J518" s="13">
        <f>IF(I518&gt;0,H518/I518,"")</f>
        <v/>
      </c>
      <c r="K518" s="4">
        <f>IF(I518&lt;=0,"NO DEMAND",IF(H518=0,"STOCKOUT",IF(J518&lt;Config!$B$5,"CRITICAL",IF(J518&lt;Config!$B$6,"LOW",IF(J518&gt;Config!$B$7,"EXCESS","HEALTHY")))))</f>
        <v/>
      </c>
      <c r="L518" s="11" t="n">
        <v>61</v>
      </c>
      <c r="M518" s="11" t="n">
        <v>73</v>
      </c>
      <c r="N518" s="11">
        <f>H518*L518</f>
        <v/>
      </c>
      <c r="O518" s="11">
        <f>IF(I518&gt;0,I518*(M518-L518),0)</f>
        <v/>
      </c>
      <c r="P518" s="11" t="n">
        <v>0</v>
      </c>
    </row>
    <row r="519">
      <c r="A519" s="4" t="inlineStr">
        <is>
          <t>WH05</t>
        </is>
      </c>
      <c r="B519" s="4" t="inlineStr">
        <is>
          <t>Pune DC</t>
        </is>
      </c>
      <c r="C519" s="4" t="inlineStr">
        <is>
          <t>West</t>
        </is>
      </c>
      <c r="D519" s="4" t="inlineStr">
        <is>
          <t>SKU035</t>
        </is>
      </c>
      <c r="E519" s="4" t="inlineStr">
        <is>
          <t>Chocolate Bar 40g</t>
        </is>
      </c>
      <c r="F519" s="4" t="inlineStr">
        <is>
          <t>Snacks &amp; Confectionery</t>
        </is>
      </c>
      <c r="G519" s="4" t="inlineStr">
        <is>
          <t>C</t>
        </is>
      </c>
      <c r="H519" s="11" t="n">
        <v>2715</v>
      </c>
      <c r="I519" s="4" t="n">
        <v>633.75</v>
      </c>
      <c r="J519" s="13">
        <f>IF(I519&gt;0,H519/I519,"")</f>
        <v/>
      </c>
      <c r="K519" s="4">
        <f>IF(I519&lt;=0,"NO DEMAND",IF(H519=0,"STOCKOUT",IF(J519&lt;Config!$B$5,"CRITICAL",IF(J519&lt;Config!$B$6,"LOW",IF(J519&gt;Config!$B$7,"EXCESS","HEALTHY")))))</f>
        <v/>
      </c>
      <c r="L519" s="11" t="n">
        <v>16</v>
      </c>
      <c r="M519" s="11" t="n">
        <v>20</v>
      </c>
      <c r="N519" s="11">
        <f>H519*L519</f>
        <v/>
      </c>
      <c r="O519" s="11">
        <f>IF(I519&gt;0,I519*(M519-L519),0)</f>
        <v/>
      </c>
      <c r="P519" s="11" t="n">
        <v>0</v>
      </c>
    </row>
    <row r="520">
      <c r="A520" s="4" t="inlineStr">
        <is>
          <t>WH05</t>
        </is>
      </c>
      <c r="B520" s="4" t="inlineStr">
        <is>
          <t>Pune DC</t>
        </is>
      </c>
      <c r="C520" s="4" t="inlineStr">
        <is>
          <t>West</t>
        </is>
      </c>
      <c r="D520" s="4" t="inlineStr">
        <is>
          <t>SKU036</t>
        </is>
      </c>
      <c r="E520" s="4" t="inlineStr">
        <is>
          <t>Instant Noodles 70g</t>
        </is>
      </c>
      <c r="F520" s="4" t="inlineStr">
        <is>
          <t>Snacks &amp; Confectionery</t>
        </is>
      </c>
      <c r="G520" s="4" t="inlineStr">
        <is>
          <t>C</t>
        </is>
      </c>
      <c r="H520" s="11" t="n">
        <v>1436</v>
      </c>
      <c r="I520" s="4" t="n">
        <v>226</v>
      </c>
      <c r="J520" s="13">
        <f>IF(I520&gt;0,H520/I520,"")</f>
        <v/>
      </c>
      <c r="K520" s="4">
        <f>IF(I520&lt;=0,"NO DEMAND",IF(H520=0,"STOCKOUT",IF(J520&lt;Config!$B$5,"CRITICAL",IF(J520&lt;Config!$B$6,"LOW",IF(J520&gt;Config!$B$7,"EXCESS","HEALTHY")))))</f>
        <v/>
      </c>
      <c r="L520" s="11" t="n">
        <v>19</v>
      </c>
      <c r="M520" s="11" t="n">
        <v>24</v>
      </c>
      <c r="N520" s="11">
        <f>H520*L520</f>
        <v/>
      </c>
      <c r="O520" s="11">
        <f>IF(I520&gt;0,I520*(M520-L520),0)</f>
        <v/>
      </c>
      <c r="P520" s="11" t="n">
        <v>0</v>
      </c>
    </row>
    <row r="521">
      <c r="A521" s="4" t="inlineStr">
        <is>
          <t>WH05</t>
        </is>
      </c>
      <c r="B521" s="4" t="inlineStr">
        <is>
          <t>Pune DC</t>
        </is>
      </c>
      <c r="C521" s="4" t="inlineStr">
        <is>
          <t>West</t>
        </is>
      </c>
      <c r="D521" s="4" t="inlineStr">
        <is>
          <t>SKU037</t>
        </is>
      </c>
      <c r="E521" s="4" t="inlineStr">
        <is>
          <t>Popcorn 60g</t>
        </is>
      </c>
      <c r="F521" s="4" t="inlineStr">
        <is>
          <t>Snacks &amp; Confectionery</t>
        </is>
      </c>
      <c r="G521" s="4" t="inlineStr">
        <is>
          <t>A</t>
        </is>
      </c>
      <c r="H521" s="11" t="n">
        <v>1622</v>
      </c>
      <c r="I521" s="4" t="n">
        <v>815</v>
      </c>
      <c r="J521" s="13">
        <f>IF(I521&gt;0,H521/I521,"")</f>
        <v/>
      </c>
      <c r="K521" s="4">
        <f>IF(I521&lt;=0,"NO DEMAND",IF(H521=0,"STOCKOUT",IF(J521&lt;Config!$B$5,"CRITICAL",IF(J521&lt;Config!$B$6,"LOW",IF(J521&gt;Config!$B$7,"EXCESS","HEALTHY")))))</f>
        <v/>
      </c>
      <c r="L521" s="11" t="n">
        <v>137</v>
      </c>
      <c r="M521" s="11" t="n">
        <v>163</v>
      </c>
      <c r="N521" s="11">
        <f>H521*L521</f>
        <v/>
      </c>
      <c r="O521" s="11">
        <f>IF(I521&gt;0,I521*(M521-L521),0)</f>
        <v/>
      </c>
      <c r="P521" s="11" t="n">
        <v>0</v>
      </c>
    </row>
    <row r="522">
      <c r="A522" s="4" t="inlineStr">
        <is>
          <t>WH05</t>
        </is>
      </c>
      <c r="B522" s="4" t="inlineStr">
        <is>
          <t>Pune DC</t>
        </is>
      </c>
      <c r="C522" s="4" t="inlineStr">
        <is>
          <t>West</t>
        </is>
      </c>
      <c r="D522" s="4" t="inlineStr">
        <is>
          <t>SKU038</t>
        </is>
      </c>
      <c r="E522" s="4" t="inlineStr">
        <is>
          <t>Peanut Chikki 200g</t>
        </is>
      </c>
      <c r="F522" s="4" t="inlineStr">
        <is>
          <t>Snacks &amp; Confectionery</t>
        </is>
      </c>
      <c r="G522" s="4" t="inlineStr">
        <is>
          <t>C</t>
        </is>
      </c>
      <c r="H522" s="11" t="n">
        <v>4588</v>
      </c>
      <c r="I522" s="4" t="n">
        <v>778.75</v>
      </c>
      <c r="J522" s="13">
        <f>IF(I522&gt;0,H522/I522,"")</f>
        <v/>
      </c>
      <c r="K522" s="4">
        <f>IF(I522&lt;=0,"NO DEMAND",IF(H522=0,"STOCKOUT",IF(J522&lt;Config!$B$5,"CRITICAL",IF(J522&lt;Config!$B$6,"LOW",IF(J522&gt;Config!$B$7,"EXCESS","HEALTHY")))))</f>
        <v/>
      </c>
      <c r="L522" s="11" t="n">
        <v>18</v>
      </c>
      <c r="M522" s="11" t="n">
        <v>22</v>
      </c>
      <c r="N522" s="11">
        <f>H522*L522</f>
        <v/>
      </c>
      <c r="O522" s="11">
        <f>IF(I522&gt;0,I522*(M522-L522),0)</f>
        <v/>
      </c>
      <c r="P522" s="11" t="n">
        <v>0</v>
      </c>
    </row>
    <row r="523">
      <c r="A523" s="4" t="inlineStr">
        <is>
          <t>WH05</t>
        </is>
      </c>
      <c r="B523" s="4" t="inlineStr">
        <is>
          <t>Pune DC</t>
        </is>
      </c>
      <c r="C523" s="4" t="inlineStr">
        <is>
          <t>West</t>
        </is>
      </c>
      <c r="D523" s="4" t="inlineStr">
        <is>
          <t>SKU039</t>
        </is>
      </c>
      <c r="E523" s="4" t="inlineStr">
        <is>
          <t>Cookies 200g</t>
        </is>
      </c>
      <c r="F523" s="4" t="inlineStr">
        <is>
          <t>Snacks &amp; Confectionery</t>
        </is>
      </c>
      <c r="G523" s="4" t="inlineStr">
        <is>
          <t>A</t>
        </is>
      </c>
      <c r="H523" s="11" t="n">
        <v>1298</v>
      </c>
      <c r="I523" s="4" t="n">
        <v>1140.25</v>
      </c>
      <c r="J523" s="13">
        <f>IF(I523&gt;0,H523/I523,"")</f>
        <v/>
      </c>
      <c r="K523" s="4">
        <f>IF(I523&lt;=0,"NO DEMAND",IF(H523=0,"STOCKOUT",IF(J523&lt;Config!$B$5,"CRITICAL",IF(J523&lt;Config!$B$6,"LOW",IF(J523&gt;Config!$B$7,"EXCESS","HEALTHY")))))</f>
        <v/>
      </c>
      <c r="L523" s="11" t="n">
        <v>126</v>
      </c>
      <c r="M523" s="11" t="n">
        <v>150</v>
      </c>
      <c r="N523" s="11">
        <f>H523*L523</f>
        <v/>
      </c>
      <c r="O523" s="11">
        <f>IF(I523&gt;0,I523*(M523-L523),0)</f>
        <v/>
      </c>
      <c r="P523" s="11" t="n">
        <v>0</v>
      </c>
    </row>
    <row r="524">
      <c r="A524" s="4" t="inlineStr">
        <is>
          <t>WH05</t>
        </is>
      </c>
      <c r="B524" s="4" t="inlineStr">
        <is>
          <t>Pune DC</t>
        </is>
      </c>
      <c r="C524" s="4" t="inlineStr">
        <is>
          <t>West</t>
        </is>
      </c>
      <c r="D524" s="4" t="inlineStr">
        <is>
          <t>SKU040</t>
        </is>
      </c>
      <c r="E524" s="4" t="inlineStr">
        <is>
          <t>Wafers 75g</t>
        </is>
      </c>
      <c r="F524" s="4" t="inlineStr">
        <is>
          <t>Snacks &amp; Confectionery</t>
        </is>
      </c>
      <c r="G524" s="4" t="inlineStr">
        <is>
          <t>A</t>
        </is>
      </c>
      <c r="H524" s="11" t="n">
        <v>4025</v>
      </c>
      <c r="I524" s="4" t="n">
        <v>1028.75</v>
      </c>
      <c r="J524" s="13">
        <f>IF(I524&gt;0,H524/I524,"")</f>
        <v/>
      </c>
      <c r="K524" s="4">
        <f>IF(I524&lt;=0,"NO DEMAND",IF(H524=0,"STOCKOUT",IF(J524&lt;Config!$B$5,"CRITICAL",IF(J524&lt;Config!$B$6,"LOW",IF(J524&gt;Config!$B$7,"EXCESS","HEALTHY")))))</f>
        <v/>
      </c>
      <c r="L524" s="11" t="n">
        <v>90</v>
      </c>
      <c r="M524" s="11" t="n">
        <v>109</v>
      </c>
      <c r="N524" s="11">
        <f>H524*L524</f>
        <v/>
      </c>
      <c r="O524" s="11">
        <f>IF(I524&gt;0,I524*(M524-L524),0)</f>
        <v/>
      </c>
      <c r="P524" s="11" t="n">
        <v>0</v>
      </c>
    </row>
    <row r="525">
      <c r="A525" s="4" t="inlineStr">
        <is>
          <t>WH05</t>
        </is>
      </c>
      <c r="B525" s="4" t="inlineStr">
        <is>
          <t>Pune DC</t>
        </is>
      </c>
      <c r="C525" s="4" t="inlineStr">
        <is>
          <t>West</t>
        </is>
      </c>
      <c r="D525" s="4" t="inlineStr">
        <is>
          <t>SKU041</t>
        </is>
      </c>
      <c r="E525" s="4" t="inlineStr">
        <is>
          <t>Mathri 250g</t>
        </is>
      </c>
      <c r="F525" s="4" t="inlineStr">
        <is>
          <t>Snacks &amp; Confectionery</t>
        </is>
      </c>
      <c r="G525" s="4" t="inlineStr">
        <is>
          <t>A</t>
        </is>
      </c>
      <c r="H525" s="11" t="n">
        <v>3257</v>
      </c>
      <c r="I525" s="4" t="n">
        <v>870.5</v>
      </c>
      <c r="J525" s="13">
        <f>IF(I525&gt;0,H525/I525,"")</f>
        <v/>
      </c>
      <c r="K525" s="4">
        <f>IF(I525&lt;=0,"NO DEMAND",IF(H525=0,"STOCKOUT",IF(J525&lt;Config!$B$5,"CRITICAL",IF(J525&lt;Config!$B$6,"LOW",IF(J525&gt;Config!$B$7,"EXCESS","HEALTHY")))))</f>
        <v/>
      </c>
      <c r="L525" s="11" t="n">
        <v>100</v>
      </c>
      <c r="M525" s="11" t="n">
        <v>125</v>
      </c>
      <c r="N525" s="11">
        <f>H525*L525</f>
        <v/>
      </c>
      <c r="O525" s="11">
        <f>IF(I525&gt;0,I525*(M525-L525),0)</f>
        <v/>
      </c>
      <c r="P525" s="11" t="n">
        <v>0</v>
      </c>
    </row>
    <row r="526">
      <c r="A526" s="4" t="inlineStr">
        <is>
          <t>WH05</t>
        </is>
      </c>
      <c r="B526" s="4" t="inlineStr">
        <is>
          <t>Pune DC</t>
        </is>
      </c>
      <c r="C526" s="4" t="inlineStr">
        <is>
          <t>West</t>
        </is>
      </c>
      <c r="D526" s="4" t="inlineStr">
        <is>
          <t>SKU042</t>
        </is>
      </c>
      <c r="E526" s="4" t="inlineStr">
        <is>
          <t>Dry Fruit Mix 250g</t>
        </is>
      </c>
      <c r="F526" s="4" t="inlineStr">
        <is>
          <t>Snacks &amp; Confectionery</t>
        </is>
      </c>
      <c r="G526" s="4" t="inlineStr">
        <is>
          <t>A</t>
        </is>
      </c>
      <c r="H526" s="11" t="n">
        <v>2980</v>
      </c>
      <c r="I526" s="4" t="n">
        <v>1376</v>
      </c>
      <c r="J526" s="13">
        <f>IF(I526&gt;0,H526/I526,"")</f>
        <v/>
      </c>
      <c r="K526" s="4">
        <f>IF(I526&lt;=0,"NO DEMAND",IF(H526=0,"STOCKOUT",IF(J526&lt;Config!$B$5,"CRITICAL",IF(J526&lt;Config!$B$6,"LOW",IF(J526&gt;Config!$B$7,"EXCESS","HEALTHY")))))</f>
        <v/>
      </c>
      <c r="L526" s="11" t="n">
        <v>74</v>
      </c>
      <c r="M526" s="11" t="n">
        <v>88</v>
      </c>
      <c r="N526" s="11">
        <f>H526*L526</f>
        <v/>
      </c>
      <c r="O526" s="11">
        <f>IF(I526&gt;0,I526*(M526-L526),0)</f>
        <v/>
      </c>
      <c r="P526" s="11" t="n">
        <v>0</v>
      </c>
    </row>
    <row r="527">
      <c r="A527" s="4" t="inlineStr">
        <is>
          <t>WH05</t>
        </is>
      </c>
      <c r="B527" s="4" t="inlineStr">
        <is>
          <t>Pune DC</t>
        </is>
      </c>
      <c r="C527" s="4" t="inlineStr">
        <is>
          <t>West</t>
        </is>
      </c>
      <c r="D527" s="4" t="inlineStr">
        <is>
          <t>SKU043</t>
        </is>
      </c>
      <c r="E527" s="4" t="inlineStr">
        <is>
          <t>Soan Papdi 500g</t>
        </is>
      </c>
      <c r="F527" s="4" t="inlineStr">
        <is>
          <t>Snacks &amp; Confectionery</t>
        </is>
      </c>
      <c r="G527" s="4" t="inlineStr">
        <is>
          <t>C</t>
        </is>
      </c>
      <c r="H527" s="11" t="n">
        <v>1346</v>
      </c>
      <c r="I527" s="4" t="n">
        <v>806.25</v>
      </c>
      <c r="J527" s="13">
        <f>IF(I527&gt;0,H527/I527,"")</f>
        <v/>
      </c>
      <c r="K527" s="4">
        <f>IF(I527&lt;=0,"NO DEMAND",IF(H527=0,"STOCKOUT",IF(J527&lt;Config!$B$5,"CRITICAL",IF(J527&lt;Config!$B$6,"LOW",IF(J527&gt;Config!$B$7,"EXCESS","HEALTHY")))))</f>
        <v/>
      </c>
      <c r="L527" s="11" t="n">
        <v>15</v>
      </c>
      <c r="M527" s="11" t="n">
        <v>18</v>
      </c>
      <c r="N527" s="11">
        <f>H527*L527</f>
        <v/>
      </c>
      <c r="O527" s="11">
        <f>IF(I527&gt;0,I527*(M527-L527),0)</f>
        <v/>
      </c>
      <c r="P527" s="11" t="n">
        <v>3468</v>
      </c>
    </row>
    <row r="528">
      <c r="A528" s="4" t="inlineStr">
        <is>
          <t>WH05</t>
        </is>
      </c>
      <c r="B528" s="4" t="inlineStr">
        <is>
          <t>Pune DC</t>
        </is>
      </c>
      <c r="C528" s="4" t="inlineStr">
        <is>
          <t>West</t>
        </is>
      </c>
      <c r="D528" s="4" t="inlineStr">
        <is>
          <t>SKU044</t>
        </is>
      </c>
      <c r="E528" s="4" t="inlineStr">
        <is>
          <t>Rusk 300g</t>
        </is>
      </c>
      <c r="F528" s="4" t="inlineStr">
        <is>
          <t>Snacks &amp; Confectionery</t>
        </is>
      </c>
      <c r="G528" s="4" t="inlineStr">
        <is>
          <t>A</t>
        </is>
      </c>
      <c r="H528" s="11" t="n">
        <v>3202</v>
      </c>
      <c r="I528" s="4" t="n">
        <v>1904.75</v>
      </c>
      <c r="J528" s="13">
        <f>IF(I528&gt;0,H528/I528,"")</f>
        <v/>
      </c>
      <c r="K528" s="4">
        <f>IF(I528&lt;=0,"NO DEMAND",IF(H528=0,"STOCKOUT",IF(J528&lt;Config!$B$5,"CRITICAL",IF(J528&lt;Config!$B$6,"LOW",IF(J528&gt;Config!$B$7,"EXCESS","HEALTHY")))))</f>
        <v/>
      </c>
      <c r="L528" s="11" t="n">
        <v>57</v>
      </c>
      <c r="M528" s="11" t="n">
        <v>70</v>
      </c>
      <c r="N528" s="11">
        <f>H528*L528</f>
        <v/>
      </c>
      <c r="O528" s="11">
        <f>IF(I528&gt;0,I528*(M528-L528),0)</f>
        <v/>
      </c>
      <c r="P528" s="11" t="n">
        <v>0</v>
      </c>
    </row>
    <row r="529">
      <c r="A529" s="4" t="inlineStr">
        <is>
          <t>WH05</t>
        </is>
      </c>
      <c r="B529" s="4" t="inlineStr">
        <is>
          <t>Pune DC</t>
        </is>
      </c>
      <c r="C529" s="4" t="inlineStr">
        <is>
          <t>West</t>
        </is>
      </c>
      <c r="D529" s="4" t="inlineStr">
        <is>
          <t>SKU045</t>
        </is>
      </c>
      <c r="E529" s="4" t="inlineStr">
        <is>
          <t>Candy Pack 150g</t>
        </is>
      </c>
      <c r="F529" s="4" t="inlineStr">
        <is>
          <t>Snacks &amp; Confectionery</t>
        </is>
      </c>
      <c r="G529" s="4" t="inlineStr">
        <is>
          <t>C</t>
        </is>
      </c>
      <c r="H529" s="11" t="n">
        <v>549</v>
      </c>
      <c r="I529" s="4" t="n">
        <v>1407.75</v>
      </c>
      <c r="J529" s="13">
        <f>IF(I529&gt;0,H529/I529,"")</f>
        <v/>
      </c>
      <c r="K529" s="4">
        <f>IF(I529&lt;=0,"NO DEMAND",IF(H529=0,"STOCKOUT",IF(J529&lt;Config!$B$5,"CRITICAL",IF(J529&lt;Config!$B$6,"LOW",IF(J529&gt;Config!$B$7,"EXCESS","HEALTHY")))))</f>
        <v/>
      </c>
      <c r="L529" s="11" t="n">
        <v>22</v>
      </c>
      <c r="M529" s="11" t="n">
        <v>27</v>
      </c>
      <c r="N529" s="11">
        <f>H529*L529</f>
        <v/>
      </c>
      <c r="O529" s="11">
        <f>IF(I529&gt;0,I529*(M529-L529),0)</f>
        <v/>
      </c>
      <c r="P529" s="11" t="n">
        <v>5748</v>
      </c>
    </row>
    <row r="530">
      <c r="A530" s="4" t="inlineStr">
        <is>
          <t>WH05</t>
        </is>
      </c>
      <c r="B530" s="4" t="inlineStr">
        <is>
          <t>Pune DC</t>
        </is>
      </c>
      <c r="C530" s="4" t="inlineStr">
        <is>
          <t>West</t>
        </is>
      </c>
      <c r="D530" s="4" t="inlineStr">
        <is>
          <t>SKU046</t>
        </is>
      </c>
      <c r="E530" s="4" t="inlineStr">
        <is>
          <t>Shampoo 340ml</t>
        </is>
      </c>
      <c r="F530" s="4" t="inlineStr">
        <is>
          <t>Personal Care</t>
        </is>
      </c>
      <c r="G530" s="4" t="inlineStr">
        <is>
          <t>C</t>
        </is>
      </c>
      <c r="H530" s="11" t="n">
        <v>257</v>
      </c>
      <c r="I530" s="4" t="n">
        <v>368.5</v>
      </c>
      <c r="J530" s="13">
        <f>IF(I530&gt;0,H530/I530,"")</f>
        <v/>
      </c>
      <c r="K530" s="4">
        <f>IF(I530&lt;=0,"NO DEMAND",IF(H530=0,"STOCKOUT",IF(J530&lt;Config!$B$5,"CRITICAL",IF(J530&lt;Config!$B$6,"LOW",IF(J530&gt;Config!$B$7,"EXCESS","HEALTHY")))))</f>
        <v/>
      </c>
      <c r="L530" s="11" t="n">
        <v>51</v>
      </c>
      <c r="M530" s="11" t="n">
        <v>67</v>
      </c>
      <c r="N530" s="11">
        <f>H530*L530</f>
        <v/>
      </c>
      <c r="O530" s="11">
        <f>IF(I530&gt;0,I530*(M530-L530),0)</f>
        <v/>
      </c>
      <c r="P530" s="11" t="n">
        <v>1260</v>
      </c>
    </row>
    <row r="531">
      <c r="A531" s="4" t="inlineStr">
        <is>
          <t>WH05</t>
        </is>
      </c>
      <c r="B531" s="4" t="inlineStr">
        <is>
          <t>Pune DC</t>
        </is>
      </c>
      <c r="C531" s="4" t="inlineStr">
        <is>
          <t>West</t>
        </is>
      </c>
      <c r="D531" s="4" t="inlineStr">
        <is>
          <t>SKU047</t>
        </is>
      </c>
      <c r="E531" s="4" t="inlineStr">
        <is>
          <t>Soap 4-pack</t>
        </is>
      </c>
      <c r="F531" s="4" t="inlineStr">
        <is>
          <t>Personal Care</t>
        </is>
      </c>
      <c r="G531" s="4" t="inlineStr">
        <is>
          <t>C</t>
        </is>
      </c>
      <c r="H531" s="11" t="n">
        <v>904</v>
      </c>
      <c r="I531" s="4" t="n">
        <v>296.25</v>
      </c>
      <c r="J531" s="13">
        <f>IF(I531&gt;0,H531/I531,"")</f>
        <v/>
      </c>
      <c r="K531" s="4">
        <f>IF(I531&lt;=0,"NO DEMAND",IF(H531=0,"STOCKOUT",IF(J531&lt;Config!$B$5,"CRITICAL",IF(J531&lt;Config!$B$6,"LOW",IF(J531&gt;Config!$B$7,"EXCESS","HEALTHY")))))</f>
        <v/>
      </c>
      <c r="L531" s="11" t="n">
        <v>37</v>
      </c>
      <c r="M531" s="11" t="n">
        <v>47</v>
      </c>
      <c r="N531" s="11">
        <f>H531*L531</f>
        <v/>
      </c>
      <c r="O531" s="11">
        <f>IF(I531&gt;0,I531*(M531-L531),0)</f>
        <v/>
      </c>
      <c r="P531" s="11" t="n">
        <v>0</v>
      </c>
    </row>
    <row r="532">
      <c r="A532" s="4" t="inlineStr">
        <is>
          <t>WH05</t>
        </is>
      </c>
      <c r="B532" s="4" t="inlineStr">
        <is>
          <t>Pune DC</t>
        </is>
      </c>
      <c r="C532" s="4" t="inlineStr">
        <is>
          <t>West</t>
        </is>
      </c>
      <c r="D532" s="4" t="inlineStr">
        <is>
          <t>SKU048</t>
        </is>
      </c>
      <c r="E532" s="4" t="inlineStr">
        <is>
          <t>Toothpaste 150g</t>
        </is>
      </c>
      <c r="F532" s="4" t="inlineStr">
        <is>
          <t>Personal Care</t>
        </is>
      </c>
      <c r="G532" s="4" t="inlineStr">
        <is>
          <t>C</t>
        </is>
      </c>
      <c r="H532" s="11" t="n">
        <v>1686</v>
      </c>
      <c r="I532" s="4" t="n">
        <v>264.25</v>
      </c>
      <c r="J532" s="13">
        <f>IF(I532&gt;0,H532/I532,"")</f>
        <v/>
      </c>
      <c r="K532" s="4">
        <f>IF(I532&lt;=0,"NO DEMAND",IF(H532=0,"STOCKOUT",IF(J532&lt;Config!$B$5,"CRITICAL",IF(J532&lt;Config!$B$6,"LOW",IF(J532&gt;Config!$B$7,"EXCESS","HEALTHY")))))</f>
        <v/>
      </c>
      <c r="L532" s="11" t="n">
        <v>51</v>
      </c>
      <c r="M532" s="11" t="n">
        <v>67</v>
      </c>
      <c r="N532" s="11">
        <f>H532*L532</f>
        <v/>
      </c>
      <c r="O532" s="11">
        <f>IF(I532&gt;0,I532*(M532-L532),0)</f>
        <v/>
      </c>
      <c r="P532" s="11" t="n">
        <v>0</v>
      </c>
    </row>
    <row r="533">
      <c r="A533" s="4" t="inlineStr">
        <is>
          <t>WH05</t>
        </is>
      </c>
      <c r="B533" s="4" t="inlineStr">
        <is>
          <t>Pune DC</t>
        </is>
      </c>
      <c r="C533" s="4" t="inlineStr">
        <is>
          <t>West</t>
        </is>
      </c>
      <c r="D533" s="4" t="inlineStr">
        <is>
          <t>SKU049</t>
        </is>
      </c>
      <c r="E533" s="4" t="inlineStr">
        <is>
          <t>Face Wash 100ml</t>
        </is>
      </c>
      <c r="F533" s="4" t="inlineStr">
        <is>
          <t>Personal Care</t>
        </is>
      </c>
      <c r="G533" s="4" t="inlineStr">
        <is>
          <t>C</t>
        </is>
      </c>
      <c r="H533" s="11" t="n">
        <v>469</v>
      </c>
      <c r="I533" s="4" t="n">
        <v>182.5</v>
      </c>
      <c r="J533" s="13">
        <f>IF(I533&gt;0,H533/I533,"")</f>
        <v/>
      </c>
      <c r="K533" s="4">
        <f>IF(I533&lt;=0,"NO DEMAND",IF(H533=0,"STOCKOUT",IF(J533&lt;Config!$B$5,"CRITICAL",IF(J533&lt;Config!$B$6,"LOW",IF(J533&gt;Config!$B$7,"EXCESS","HEALTHY")))))</f>
        <v/>
      </c>
      <c r="L533" s="11" t="n">
        <v>32</v>
      </c>
      <c r="M533" s="11" t="n">
        <v>41</v>
      </c>
      <c r="N533" s="11">
        <f>H533*L533</f>
        <v/>
      </c>
      <c r="O533" s="11">
        <f>IF(I533&gt;0,I533*(M533-L533),0)</f>
        <v/>
      </c>
      <c r="P533" s="11" t="n">
        <v>0</v>
      </c>
    </row>
    <row r="534">
      <c r="A534" s="4" t="inlineStr">
        <is>
          <t>WH05</t>
        </is>
      </c>
      <c r="B534" s="4" t="inlineStr">
        <is>
          <t>Pune DC</t>
        </is>
      </c>
      <c r="C534" s="4" t="inlineStr">
        <is>
          <t>West</t>
        </is>
      </c>
      <c r="D534" s="4" t="inlineStr">
        <is>
          <t>SKU050</t>
        </is>
      </c>
      <c r="E534" s="4" t="inlineStr">
        <is>
          <t>Body Lotion 400ml</t>
        </is>
      </c>
      <c r="F534" s="4" t="inlineStr">
        <is>
          <t>Personal Care</t>
        </is>
      </c>
      <c r="G534" s="4" t="inlineStr">
        <is>
          <t>B</t>
        </is>
      </c>
      <c r="H534" s="11" t="n">
        <v>538</v>
      </c>
      <c r="I534" s="4" t="n">
        <v>244.75</v>
      </c>
      <c r="J534" s="13">
        <f>IF(I534&gt;0,H534/I534,"")</f>
        <v/>
      </c>
      <c r="K534" s="4">
        <f>IF(I534&lt;=0,"NO DEMAND",IF(H534=0,"STOCKOUT",IF(J534&lt;Config!$B$5,"CRITICAL",IF(J534&lt;Config!$B$6,"LOW",IF(J534&gt;Config!$B$7,"EXCESS","HEALTHY")))))</f>
        <v/>
      </c>
      <c r="L534" s="11" t="n">
        <v>138</v>
      </c>
      <c r="M534" s="11" t="n">
        <v>175</v>
      </c>
      <c r="N534" s="11">
        <f>H534*L534</f>
        <v/>
      </c>
      <c r="O534" s="11">
        <f>IF(I534&gt;0,I534*(M534-L534),0)</f>
        <v/>
      </c>
      <c r="P534" s="11" t="n">
        <v>0</v>
      </c>
    </row>
    <row r="535">
      <c r="A535" s="4" t="inlineStr">
        <is>
          <t>WH05</t>
        </is>
      </c>
      <c r="B535" s="4" t="inlineStr">
        <is>
          <t>Pune DC</t>
        </is>
      </c>
      <c r="C535" s="4" t="inlineStr">
        <is>
          <t>West</t>
        </is>
      </c>
      <c r="D535" s="4" t="inlineStr">
        <is>
          <t>SKU051</t>
        </is>
      </c>
      <c r="E535" s="4" t="inlineStr">
        <is>
          <t>Hair Oil 200ml</t>
        </is>
      </c>
      <c r="F535" s="4" t="inlineStr">
        <is>
          <t>Personal Care</t>
        </is>
      </c>
      <c r="G535" s="4" t="inlineStr">
        <is>
          <t>B</t>
        </is>
      </c>
      <c r="H535" s="11" t="n">
        <v>1075</v>
      </c>
      <c r="I535" s="4" t="n">
        <v>332</v>
      </c>
      <c r="J535" s="13">
        <f>IF(I535&gt;0,H535/I535,"")</f>
        <v/>
      </c>
      <c r="K535" s="4">
        <f>IF(I535&lt;=0,"NO DEMAND",IF(H535=0,"STOCKOUT",IF(J535&lt;Config!$B$5,"CRITICAL",IF(J535&lt;Config!$B$6,"LOW",IF(J535&gt;Config!$B$7,"EXCESS","HEALTHY")))))</f>
        <v/>
      </c>
      <c r="L535" s="11" t="n">
        <v>156</v>
      </c>
      <c r="M535" s="11" t="n">
        <v>203</v>
      </c>
      <c r="N535" s="11">
        <f>H535*L535</f>
        <v/>
      </c>
      <c r="O535" s="11">
        <f>IF(I535&gt;0,I535*(M535-L535),0)</f>
        <v/>
      </c>
      <c r="P535" s="11" t="n">
        <v>0</v>
      </c>
    </row>
    <row r="536">
      <c r="A536" s="4" t="inlineStr">
        <is>
          <t>WH05</t>
        </is>
      </c>
      <c r="B536" s="4" t="inlineStr">
        <is>
          <t>Pune DC</t>
        </is>
      </c>
      <c r="C536" s="4" t="inlineStr">
        <is>
          <t>West</t>
        </is>
      </c>
      <c r="D536" s="4" t="inlineStr">
        <is>
          <t>SKU052</t>
        </is>
      </c>
      <c r="E536" s="4" t="inlineStr">
        <is>
          <t>Deodorant 150ml</t>
        </is>
      </c>
      <c r="F536" s="4" t="inlineStr">
        <is>
          <t>Personal Care</t>
        </is>
      </c>
      <c r="G536" s="4" t="inlineStr">
        <is>
          <t>B</t>
        </is>
      </c>
      <c r="H536" s="11" t="n">
        <v>1491</v>
      </c>
      <c r="I536" s="4" t="n">
        <v>336.75</v>
      </c>
      <c r="J536" s="13">
        <f>IF(I536&gt;0,H536/I536,"")</f>
        <v/>
      </c>
      <c r="K536" s="4">
        <f>IF(I536&lt;=0,"NO DEMAND",IF(H536=0,"STOCKOUT",IF(J536&lt;Config!$B$5,"CRITICAL",IF(J536&lt;Config!$B$6,"LOW",IF(J536&gt;Config!$B$7,"EXCESS","HEALTHY")))))</f>
        <v/>
      </c>
      <c r="L536" s="11" t="n">
        <v>133</v>
      </c>
      <c r="M536" s="11" t="n">
        <v>179</v>
      </c>
      <c r="N536" s="11">
        <f>H536*L536</f>
        <v/>
      </c>
      <c r="O536" s="11">
        <f>IF(I536&gt;0,I536*(M536-L536),0)</f>
        <v/>
      </c>
      <c r="P536" s="11" t="n">
        <v>0</v>
      </c>
    </row>
    <row r="537">
      <c r="A537" s="4" t="inlineStr">
        <is>
          <t>WH05</t>
        </is>
      </c>
      <c r="B537" s="4" t="inlineStr">
        <is>
          <t>Pune DC</t>
        </is>
      </c>
      <c r="C537" s="4" t="inlineStr">
        <is>
          <t>West</t>
        </is>
      </c>
      <c r="D537" s="4" t="inlineStr">
        <is>
          <t>SKU053</t>
        </is>
      </c>
      <c r="E537" s="4" t="inlineStr">
        <is>
          <t>Sanitary Pads 20pk</t>
        </is>
      </c>
      <c r="F537" s="4" t="inlineStr">
        <is>
          <t>Personal Care</t>
        </is>
      </c>
      <c r="G537" s="4" t="inlineStr">
        <is>
          <t>C</t>
        </is>
      </c>
      <c r="H537" s="11" t="n">
        <v>1</v>
      </c>
      <c r="I537" s="4" t="n">
        <v>118.5</v>
      </c>
      <c r="J537" s="13">
        <f>IF(I537&gt;0,H537/I537,"")</f>
        <v/>
      </c>
      <c r="K537" s="4">
        <f>IF(I537&lt;=0,"NO DEMAND",IF(H537=0,"STOCKOUT",IF(J537&lt;Config!$B$5,"CRITICAL",IF(J537&lt;Config!$B$6,"LOW",IF(J537&gt;Config!$B$7,"EXCESS","HEALTHY")))))</f>
        <v/>
      </c>
      <c r="L537" s="11" t="n">
        <v>31</v>
      </c>
      <c r="M537" s="11" t="n">
        <v>39</v>
      </c>
      <c r="N537" s="11">
        <f>H537*L537</f>
        <v/>
      </c>
      <c r="O537" s="11">
        <f>IF(I537&gt;0,I537*(M537-L537),0)</f>
        <v/>
      </c>
      <c r="P537" s="11" t="n">
        <v>1368</v>
      </c>
    </row>
    <row r="538">
      <c r="A538" s="4" t="inlineStr">
        <is>
          <t>WH05</t>
        </is>
      </c>
      <c r="B538" s="4" t="inlineStr">
        <is>
          <t>Pune DC</t>
        </is>
      </c>
      <c r="C538" s="4" t="inlineStr">
        <is>
          <t>West</t>
        </is>
      </c>
      <c r="D538" s="4" t="inlineStr">
        <is>
          <t>SKU054</t>
        </is>
      </c>
      <c r="E538" s="4" t="inlineStr">
        <is>
          <t>Razor 5pk</t>
        </is>
      </c>
      <c r="F538" s="4" t="inlineStr">
        <is>
          <t>Personal Care</t>
        </is>
      </c>
      <c r="G538" s="4" t="inlineStr">
        <is>
          <t>B</t>
        </is>
      </c>
      <c r="H538" s="11" t="n">
        <v>838</v>
      </c>
      <c r="I538" s="4" t="n">
        <v>146.25</v>
      </c>
      <c r="J538" s="13">
        <f>IF(I538&gt;0,H538/I538,"")</f>
        <v/>
      </c>
      <c r="K538" s="4">
        <f>IF(I538&lt;=0,"NO DEMAND",IF(H538=0,"STOCKOUT",IF(J538&lt;Config!$B$5,"CRITICAL",IF(J538&lt;Config!$B$6,"LOW",IF(J538&gt;Config!$B$7,"EXCESS","HEALTHY")))))</f>
        <v/>
      </c>
      <c r="L538" s="11" t="n">
        <v>106</v>
      </c>
      <c r="M538" s="11" t="n">
        <v>137</v>
      </c>
      <c r="N538" s="11">
        <f>H538*L538</f>
        <v/>
      </c>
      <c r="O538" s="11">
        <f>IF(I538&gt;0,I538*(M538-L538),0)</f>
        <v/>
      </c>
      <c r="P538" s="11" t="n">
        <v>0</v>
      </c>
    </row>
    <row r="539">
      <c r="A539" s="4" t="inlineStr">
        <is>
          <t>WH05</t>
        </is>
      </c>
      <c r="B539" s="4" t="inlineStr">
        <is>
          <t>Pune DC</t>
        </is>
      </c>
      <c r="C539" s="4" t="inlineStr">
        <is>
          <t>West</t>
        </is>
      </c>
      <c r="D539" s="4" t="inlineStr">
        <is>
          <t>SKU055</t>
        </is>
      </c>
      <c r="E539" s="4" t="inlineStr">
        <is>
          <t>Talc 300g</t>
        </is>
      </c>
      <c r="F539" s="4" t="inlineStr">
        <is>
          <t>Personal Care</t>
        </is>
      </c>
      <c r="G539" s="4" t="inlineStr">
        <is>
          <t>B</t>
        </is>
      </c>
      <c r="H539" s="11" t="n">
        <v>305</v>
      </c>
      <c r="I539" s="4" t="n">
        <v>399</v>
      </c>
      <c r="J539" s="13">
        <f>IF(I539&gt;0,H539/I539,"")</f>
        <v/>
      </c>
      <c r="K539" s="4">
        <f>IF(I539&lt;=0,"NO DEMAND",IF(H539=0,"STOCKOUT",IF(J539&lt;Config!$B$5,"CRITICAL",IF(J539&lt;Config!$B$6,"LOW",IF(J539&gt;Config!$B$7,"EXCESS","HEALTHY")))))</f>
        <v/>
      </c>
      <c r="L539" s="11" t="n">
        <v>77</v>
      </c>
      <c r="M539" s="11" t="n">
        <v>100</v>
      </c>
      <c r="N539" s="11">
        <f>H539*L539</f>
        <v/>
      </c>
      <c r="O539" s="11">
        <f>IF(I539&gt;0,I539*(M539-L539),0)</f>
        <v/>
      </c>
      <c r="P539" s="11" t="n">
        <v>1824</v>
      </c>
    </row>
    <row r="540">
      <c r="A540" s="4" t="inlineStr">
        <is>
          <t>WH05</t>
        </is>
      </c>
      <c r="B540" s="4" t="inlineStr">
        <is>
          <t>Pune DC</t>
        </is>
      </c>
      <c r="C540" s="4" t="inlineStr">
        <is>
          <t>West</t>
        </is>
      </c>
      <c r="D540" s="4" t="inlineStr">
        <is>
          <t>SKU056</t>
        </is>
      </c>
      <c r="E540" s="4" t="inlineStr">
        <is>
          <t>Sunscreen 50g</t>
        </is>
      </c>
      <c r="F540" s="4" t="inlineStr">
        <is>
          <t>Personal Care</t>
        </is>
      </c>
      <c r="G540" s="4" t="inlineStr">
        <is>
          <t>A</t>
        </is>
      </c>
      <c r="H540" s="11" t="n">
        <v>142</v>
      </c>
      <c r="I540" s="4" t="n">
        <v>43.75</v>
      </c>
      <c r="J540" s="13">
        <f>IF(I540&gt;0,H540/I540,"")</f>
        <v/>
      </c>
      <c r="K540" s="4">
        <f>IF(I540&lt;=0,"NO DEMAND",IF(H540=0,"STOCKOUT",IF(J540&lt;Config!$B$5,"CRITICAL",IF(J540&lt;Config!$B$6,"LOW",IF(J540&gt;Config!$B$7,"EXCESS","HEALTHY")))))</f>
        <v/>
      </c>
      <c r="L540" s="11" t="n">
        <v>393</v>
      </c>
      <c r="M540" s="11" t="n">
        <v>510</v>
      </c>
      <c r="N540" s="11">
        <f>H540*L540</f>
        <v/>
      </c>
      <c r="O540" s="11">
        <f>IF(I540&gt;0,I540*(M540-L540),0)</f>
        <v/>
      </c>
      <c r="P540" s="11" t="n">
        <v>0</v>
      </c>
    </row>
    <row r="541">
      <c r="A541" s="4" t="inlineStr">
        <is>
          <t>WH05</t>
        </is>
      </c>
      <c r="B541" s="4" t="inlineStr">
        <is>
          <t>Pune DC</t>
        </is>
      </c>
      <c r="C541" s="4" t="inlineStr">
        <is>
          <t>West</t>
        </is>
      </c>
      <c r="D541" s="4" t="inlineStr">
        <is>
          <t>SKU057</t>
        </is>
      </c>
      <c r="E541" s="4" t="inlineStr">
        <is>
          <t>Hand Wash 250ml</t>
        </is>
      </c>
      <c r="F541" s="4" t="inlineStr">
        <is>
          <t>Personal Care</t>
        </is>
      </c>
      <c r="G541" s="4" t="inlineStr">
        <is>
          <t>C</t>
        </is>
      </c>
      <c r="H541" s="11" t="n">
        <v>405</v>
      </c>
      <c r="I541" s="4" t="n">
        <v>202.5</v>
      </c>
      <c r="J541" s="13">
        <f>IF(I541&gt;0,H541/I541,"")</f>
        <v/>
      </c>
      <c r="K541" s="4">
        <f>IF(I541&lt;=0,"NO DEMAND",IF(H541=0,"STOCKOUT",IF(J541&lt;Config!$B$5,"CRITICAL",IF(J541&lt;Config!$B$6,"LOW",IF(J541&gt;Config!$B$7,"EXCESS","HEALTHY")))))</f>
        <v/>
      </c>
      <c r="L541" s="11" t="n">
        <v>108</v>
      </c>
      <c r="M541" s="11" t="n">
        <v>136</v>
      </c>
      <c r="N541" s="11">
        <f>H541*L541</f>
        <v/>
      </c>
      <c r="O541" s="11">
        <f>IF(I541&gt;0,I541*(M541-L541),0)</f>
        <v/>
      </c>
      <c r="P541" s="11" t="n">
        <v>780</v>
      </c>
    </row>
    <row r="542">
      <c r="A542" s="4" t="inlineStr">
        <is>
          <t>WH05</t>
        </is>
      </c>
      <c r="B542" s="4" t="inlineStr">
        <is>
          <t>Pune DC</t>
        </is>
      </c>
      <c r="C542" s="4" t="inlineStr">
        <is>
          <t>West</t>
        </is>
      </c>
      <c r="D542" s="4" t="inlineStr">
        <is>
          <t>SKU058</t>
        </is>
      </c>
      <c r="E542" s="4" t="inlineStr">
        <is>
          <t>Kajal Pack</t>
        </is>
      </c>
      <c r="F542" s="4" t="inlineStr">
        <is>
          <t>Personal Care</t>
        </is>
      </c>
      <c r="G542" s="4" t="inlineStr">
        <is>
          <t>A</t>
        </is>
      </c>
      <c r="H542" s="11" t="n">
        <v>260</v>
      </c>
      <c r="I542" s="4" t="n">
        <v>212.75</v>
      </c>
      <c r="J542" s="13">
        <f>IF(I542&gt;0,H542/I542,"")</f>
        <v/>
      </c>
      <c r="K542" s="4">
        <f>IF(I542&lt;=0,"NO DEMAND",IF(H542=0,"STOCKOUT",IF(J542&lt;Config!$B$5,"CRITICAL",IF(J542&lt;Config!$B$6,"LOW",IF(J542&gt;Config!$B$7,"EXCESS","HEALTHY")))))</f>
        <v/>
      </c>
      <c r="L542" s="11" t="n">
        <v>392</v>
      </c>
      <c r="M542" s="11" t="n">
        <v>498</v>
      </c>
      <c r="N542" s="11">
        <f>H542*L542</f>
        <v/>
      </c>
      <c r="O542" s="11">
        <f>IF(I542&gt;0,I542*(M542-L542),0)</f>
        <v/>
      </c>
      <c r="P542" s="11" t="n">
        <v>996</v>
      </c>
    </row>
    <row r="543">
      <c r="A543" s="4" t="inlineStr">
        <is>
          <t>WH05</t>
        </is>
      </c>
      <c r="B543" s="4" t="inlineStr">
        <is>
          <t>Pune DC</t>
        </is>
      </c>
      <c r="C543" s="4" t="inlineStr">
        <is>
          <t>West</t>
        </is>
      </c>
      <c r="D543" s="4" t="inlineStr">
        <is>
          <t>SKU059</t>
        </is>
      </c>
      <c r="E543" s="4" t="inlineStr">
        <is>
          <t>Lip Balm</t>
        </is>
      </c>
      <c r="F543" s="4" t="inlineStr">
        <is>
          <t>Personal Care</t>
        </is>
      </c>
      <c r="G543" s="4" t="inlineStr">
        <is>
          <t>B</t>
        </is>
      </c>
      <c r="H543" s="11" t="n">
        <v>235</v>
      </c>
      <c r="I543" s="4" t="n">
        <v>205.25</v>
      </c>
      <c r="J543" s="13">
        <f>IF(I543&gt;0,H543/I543,"")</f>
        <v/>
      </c>
      <c r="K543" s="4">
        <f>IF(I543&lt;=0,"NO DEMAND",IF(H543=0,"STOCKOUT",IF(J543&lt;Config!$B$5,"CRITICAL",IF(J543&lt;Config!$B$6,"LOW",IF(J543&gt;Config!$B$7,"EXCESS","HEALTHY")))))</f>
        <v/>
      </c>
      <c r="L543" s="11" t="n">
        <v>150</v>
      </c>
      <c r="M543" s="11" t="n">
        <v>198</v>
      </c>
      <c r="N543" s="11">
        <f>H543*L543</f>
        <v/>
      </c>
      <c r="O543" s="11">
        <f>IF(I543&gt;0,I543*(M543-L543),0)</f>
        <v/>
      </c>
      <c r="P543" s="11" t="n">
        <v>828</v>
      </c>
    </row>
    <row r="544">
      <c r="A544" s="4" t="inlineStr">
        <is>
          <t>WH05</t>
        </is>
      </c>
      <c r="B544" s="4" t="inlineStr">
        <is>
          <t>Pune DC</t>
        </is>
      </c>
      <c r="C544" s="4" t="inlineStr">
        <is>
          <t>West</t>
        </is>
      </c>
      <c r="D544" s="4" t="inlineStr">
        <is>
          <t>SKU060</t>
        </is>
      </c>
      <c r="E544" s="4" t="inlineStr">
        <is>
          <t>Mouthwash 250ml</t>
        </is>
      </c>
      <c r="F544" s="4" t="inlineStr">
        <is>
          <t>Personal Care</t>
        </is>
      </c>
      <c r="G544" s="4" t="inlineStr">
        <is>
          <t>A</t>
        </is>
      </c>
      <c r="H544" s="11" t="n">
        <v>1931</v>
      </c>
      <c r="I544" s="4" t="n">
        <v>734.5</v>
      </c>
      <c r="J544" s="13">
        <f>IF(I544&gt;0,H544/I544,"")</f>
        <v/>
      </c>
      <c r="K544" s="4">
        <f>IF(I544&lt;=0,"NO DEMAND",IF(H544=0,"STOCKOUT",IF(J544&lt;Config!$B$5,"CRITICAL",IF(J544&lt;Config!$B$6,"LOW",IF(J544&gt;Config!$B$7,"EXCESS","HEALTHY")))))</f>
        <v/>
      </c>
      <c r="L544" s="11" t="n">
        <v>376</v>
      </c>
      <c r="M544" s="11" t="n">
        <v>491</v>
      </c>
      <c r="N544" s="11">
        <f>H544*L544</f>
        <v/>
      </c>
      <c r="O544" s="11">
        <f>IF(I544&gt;0,I544*(M544-L544),0)</f>
        <v/>
      </c>
      <c r="P544" s="11" t="n">
        <v>0</v>
      </c>
    </row>
    <row r="545">
      <c r="A545" s="4" t="inlineStr">
        <is>
          <t>WH05</t>
        </is>
      </c>
      <c r="B545" s="4" t="inlineStr">
        <is>
          <t>Pune DC</t>
        </is>
      </c>
      <c r="C545" s="4" t="inlineStr">
        <is>
          <t>West</t>
        </is>
      </c>
      <c r="D545" s="4" t="inlineStr">
        <is>
          <t>SKU061</t>
        </is>
      </c>
      <c r="E545" s="4" t="inlineStr">
        <is>
          <t>Detergent Powder 2kg</t>
        </is>
      </c>
      <c r="F545" s="4" t="inlineStr">
        <is>
          <t>Home Care</t>
        </is>
      </c>
      <c r="G545" s="4" t="inlineStr">
        <is>
          <t>B</t>
        </is>
      </c>
      <c r="H545" s="11" t="n">
        <v>1010</v>
      </c>
      <c r="I545" s="4" t="n">
        <v>348</v>
      </c>
      <c r="J545" s="13">
        <f>IF(I545&gt;0,H545/I545,"")</f>
        <v/>
      </c>
      <c r="K545" s="4">
        <f>IF(I545&lt;=0,"NO DEMAND",IF(H545=0,"STOCKOUT",IF(J545&lt;Config!$B$5,"CRITICAL",IF(J545&lt;Config!$B$6,"LOW",IF(J545&gt;Config!$B$7,"EXCESS","HEALTHY")))))</f>
        <v/>
      </c>
      <c r="L545" s="11" t="n">
        <v>104</v>
      </c>
      <c r="M545" s="11" t="n">
        <v>132</v>
      </c>
      <c r="N545" s="11">
        <f>H545*L545</f>
        <v/>
      </c>
      <c r="O545" s="11">
        <f>IF(I545&gt;0,I545*(M545-L545),0)</f>
        <v/>
      </c>
      <c r="P545" s="11" t="n">
        <v>1416</v>
      </c>
    </row>
    <row r="546">
      <c r="A546" s="4" t="inlineStr">
        <is>
          <t>WH05</t>
        </is>
      </c>
      <c r="B546" s="4" t="inlineStr">
        <is>
          <t>Pune DC</t>
        </is>
      </c>
      <c r="C546" s="4" t="inlineStr">
        <is>
          <t>West</t>
        </is>
      </c>
      <c r="D546" s="4" t="inlineStr">
        <is>
          <t>SKU062</t>
        </is>
      </c>
      <c r="E546" s="4" t="inlineStr">
        <is>
          <t>Dishwash Liquid 750ml</t>
        </is>
      </c>
      <c r="F546" s="4" t="inlineStr">
        <is>
          <t>Home Care</t>
        </is>
      </c>
      <c r="G546" s="4" t="inlineStr">
        <is>
          <t>A</t>
        </is>
      </c>
      <c r="H546" s="11" t="n">
        <v>443</v>
      </c>
      <c r="I546" s="4" t="n">
        <v>103.5</v>
      </c>
      <c r="J546" s="13">
        <f>IF(I546&gt;0,H546/I546,"")</f>
        <v/>
      </c>
      <c r="K546" s="4">
        <f>IF(I546&lt;=0,"NO DEMAND",IF(H546=0,"STOCKOUT",IF(J546&lt;Config!$B$5,"CRITICAL",IF(J546&lt;Config!$B$6,"LOW",IF(J546&gt;Config!$B$7,"EXCESS","HEALTHY")))))</f>
        <v/>
      </c>
      <c r="L546" s="11" t="n">
        <v>122</v>
      </c>
      <c r="M546" s="11" t="n">
        <v>148</v>
      </c>
      <c r="N546" s="11">
        <f>H546*L546</f>
        <v/>
      </c>
      <c r="O546" s="11">
        <f>IF(I546&gt;0,I546*(M546-L546),0)</f>
        <v/>
      </c>
      <c r="P546" s="11" t="n">
        <v>0</v>
      </c>
    </row>
    <row r="547">
      <c r="A547" s="4" t="inlineStr">
        <is>
          <t>WH05</t>
        </is>
      </c>
      <c r="B547" s="4" t="inlineStr">
        <is>
          <t>Pune DC</t>
        </is>
      </c>
      <c r="C547" s="4" t="inlineStr">
        <is>
          <t>West</t>
        </is>
      </c>
      <c r="D547" s="4" t="inlineStr">
        <is>
          <t>SKU063</t>
        </is>
      </c>
      <c r="E547" s="4" t="inlineStr">
        <is>
          <t>Floor Cleaner 1L</t>
        </is>
      </c>
      <c r="F547" s="4" t="inlineStr">
        <is>
          <t>Home Care</t>
        </is>
      </c>
      <c r="G547" s="4" t="inlineStr">
        <is>
          <t>C</t>
        </is>
      </c>
      <c r="H547" s="11" t="n">
        <v>429</v>
      </c>
      <c r="I547" s="4" t="n">
        <v>103.5</v>
      </c>
      <c r="J547" s="13">
        <f>IF(I547&gt;0,H547/I547,"")</f>
        <v/>
      </c>
      <c r="K547" s="4">
        <f>IF(I547&lt;=0,"NO DEMAND",IF(H547=0,"STOCKOUT",IF(J547&lt;Config!$B$5,"CRITICAL",IF(J547&lt;Config!$B$6,"LOW",IF(J547&gt;Config!$B$7,"EXCESS","HEALTHY")))))</f>
        <v/>
      </c>
      <c r="L547" s="11" t="n">
        <v>44</v>
      </c>
      <c r="M547" s="11" t="n">
        <v>56</v>
      </c>
      <c r="N547" s="11">
        <f>H547*L547</f>
        <v/>
      </c>
      <c r="O547" s="11">
        <f>IF(I547&gt;0,I547*(M547-L547),0)</f>
        <v/>
      </c>
      <c r="P547" s="11" t="n">
        <v>0</v>
      </c>
    </row>
    <row r="548">
      <c r="A548" s="4" t="inlineStr">
        <is>
          <t>WH05</t>
        </is>
      </c>
      <c r="B548" s="4" t="inlineStr">
        <is>
          <t>Pune DC</t>
        </is>
      </c>
      <c r="C548" s="4" t="inlineStr">
        <is>
          <t>West</t>
        </is>
      </c>
      <c r="D548" s="4" t="inlineStr">
        <is>
          <t>SKU064</t>
        </is>
      </c>
      <c r="E548" s="4" t="inlineStr">
        <is>
          <t>Toilet Cleaner 500ml</t>
        </is>
      </c>
      <c r="F548" s="4" t="inlineStr">
        <is>
          <t>Home Care</t>
        </is>
      </c>
      <c r="G548" s="4" t="inlineStr">
        <is>
          <t>C</t>
        </is>
      </c>
      <c r="H548" s="11" t="n">
        <v>536</v>
      </c>
      <c r="I548" s="4" t="n">
        <v>192.5</v>
      </c>
      <c r="J548" s="13">
        <f>IF(I548&gt;0,H548/I548,"")</f>
        <v/>
      </c>
      <c r="K548" s="4">
        <f>IF(I548&lt;=0,"NO DEMAND",IF(H548=0,"STOCKOUT",IF(J548&lt;Config!$B$5,"CRITICAL",IF(J548&lt;Config!$B$6,"LOW",IF(J548&gt;Config!$B$7,"EXCESS","HEALTHY")))))</f>
        <v/>
      </c>
      <c r="L548" s="11" t="n">
        <v>102</v>
      </c>
      <c r="M548" s="11" t="n">
        <v>128</v>
      </c>
      <c r="N548" s="11">
        <f>H548*L548</f>
        <v/>
      </c>
      <c r="O548" s="11">
        <f>IF(I548&gt;0,I548*(M548-L548),0)</f>
        <v/>
      </c>
      <c r="P548" s="11" t="n">
        <v>0</v>
      </c>
    </row>
    <row r="549">
      <c r="A549" s="4" t="inlineStr">
        <is>
          <t>WH05</t>
        </is>
      </c>
      <c r="B549" s="4" t="inlineStr">
        <is>
          <t>Pune DC</t>
        </is>
      </c>
      <c r="C549" s="4" t="inlineStr">
        <is>
          <t>West</t>
        </is>
      </c>
      <c r="D549" s="4" t="inlineStr">
        <is>
          <t>SKU065</t>
        </is>
      </c>
      <c r="E549" s="4" t="inlineStr">
        <is>
          <t>Glass Cleaner 500ml</t>
        </is>
      </c>
      <c r="F549" s="4" t="inlineStr">
        <is>
          <t>Home Care</t>
        </is>
      </c>
      <c r="G549" s="4" t="inlineStr">
        <is>
          <t>B</t>
        </is>
      </c>
      <c r="H549" s="11" t="n">
        <v>1228</v>
      </c>
      <c r="I549" s="4" t="n">
        <v>589.5</v>
      </c>
      <c r="J549" s="13">
        <f>IF(I549&gt;0,H549/I549,"")</f>
        <v/>
      </c>
      <c r="K549" s="4">
        <f>IF(I549&lt;=0,"NO DEMAND",IF(H549=0,"STOCKOUT",IF(J549&lt;Config!$B$5,"CRITICAL",IF(J549&lt;Config!$B$6,"LOW",IF(J549&gt;Config!$B$7,"EXCESS","HEALTHY")))))</f>
        <v/>
      </c>
      <c r="L549" s="11" t="n">
        <v>82</v>
      </c>
      <c r="M549" s="11" t="n">
        <v>102</v>
      </c>
      <c r="N549" s="11">
        <f>H549*L549</f>
        <v/>
      </c>
      <c r="O549" s="11">
        <f>IF(I549&gt;0,I549*(M549-L549),0)</f>
        <v/>
      </c>
      <c r="P549" s="11" t="n">
        <v>2736</v>
      </c>
    </row>
    <row r="550">
      <c r="A550" s="4" t="inlineStr">
        <is>
          <t>WH05</t>
        </is>
      </c>
      <c r="B550" s="4" t="inlineStr">
        <is>
          <t>Pune DC</t>
        </is>
      </c>
      <c r="C550" s="4" t="inlineStr">
        <is>
          <t>West</t>
        </is>
      </c>
      <c r="D550" s="4" t="inlineStr">
        <is>
          <t>SKU066</t>
        </is>
      </c>
      <c r="E550" s="4" t="inlineStr">
        <is>
          <t>Fabric Softener 1L</t>
        </is>
      </c>
      <c r="F550" s="4" t="inlineStr">
        <is>
          <t>Home Care</t>
        </is>
      </c>
      <c r="G550" s="4" t="inlineStr">
        <is>
          <t>B</t>
        </is>
      </c>
      <c r="H550" s="11" t="n">
        <v>842</v>
      </c>
      <c r="I550" s="4" t="n">
        <v>571</v>
      </c>
      <c r="J550" s="13">
        <f>IF(I550&gt;0,H550/I550,"")</f>
        <v/>
      </c>
      <c r="K550" s="4">
        <f>IF(I550&lt;=0,"NO DEMAND",IF(H550=0,"STOCKOUT",IF(J550&lt;Config!$B$5,"CRITICAL",IF(J550&lt;Config!$B$6,"LOW",IF(J550&gt;Config!$B$7,"EXCESS","HEALTHY")))))</f>
        <v/>
      </c>
      <c r="L550" s="11" t="n">
        <v>51</v>
      </c>
      <c r="M550" s="11" t="n">
        <v>65</v>
      </c>
      <c r="N550" s="11">
        <f>H550*L550</f>
        <v/>
      </c>
      <c r="O550" s="11">
        <f>IF(I550&gt;0,I550*(M550-L550),0)</f>
        <v/>
      </c>
      <c r="P550" s="11" t="n">
        <v>1884</v>
      </c>
    </row>
    <row r="551">
      <c r="A551" s="4" t="inlineStr">
        <is>
          <t>WH05</t>
        </is>
      </c>
      <c r="B551" s="4" t="inlineStr">
        <is>
          <t>Pune DC</t>
        </is>
      </c>
      <c r="C551" s="4" t="inlineStr">
        <is>
          <t>West</t>
        </is>
      </c>
      <c r="D551" s="4" t="inlineStr">
        <is>
          <t>SKU067</t>
        </is>
      </c>
      <c r="E551" s="4" t="inlineStr">
        <is>
          <t>Mosquito Coil 10pk</t>
        </is>
      </c>
      <c r="F551" s="4" t="inlineStr">
        <is>
          <t>Home Care</t>
        </is>
      </c>
      <c r="G551" s="4" t="inlineStr">
        <is>
          <t>A</t>
        </is>
      </c>
      <c r="H551" s="11" t="n">
        <v>1764</v>
      </c>
      <c r="I551" s="4" t="n">
        <v>393</v>
      </c>
      <c r="J551" s="13">
        <f>IF(I551&gt;0,H551/I551,"")</f>
        <v/>
      </c>
      <c r="K551" s="4">
        <f>IF(I551&lt;=0,"NO DEMAND",IF(H551=0,"STOCKOUT",IF(J551&lt;Config!$B$5,"CRITICAL",IF(J551&lt;Config!$B$6,"LOW",IF(J551&gt;Config!$B$7,"EXCESS","HEALTHY")))))</f>
        <v/>
      </c>
      <c r="L551" s="11" t="n">
        <v>200</v>
      </c>
      <c r="M551" s="11" t="n">
        <v>257</v>
      </c>
      <c r="N551" s="11">
        <f>H551*L551</f>
        <v/>
      </c>
      <c r="O551" s="11">
        <f>IF(I551&gt;0,I551*(M551-L551),0)</f>
        <v/>
      </c>
      <c r="P551" s="11" t="n">
        <v>0</v>
      </c>
    </row>
    <row r="552">
      <c r="A552" s="4" t="inlineStr">
        <is>
          <t>WH05</t>
        </is>
      </c>
      <c r="B552" s="4" t="inlineStr">
        <is>
          <t>Pune DC</t>
        </is>
      </c>
      <c r="C552" s="4" t="inlineStr">
        <is>
          <t>West</t>
        </is>
      </c>
      <c r="D552" s="4" t="inlineStr">
        <is>
          <t>SKU068</t>
        </is>
      </c>
      <c r="E552" s="4" t="inlineStr">
        <is>
          <t>Air Freshener 250ml</t>
        </is>
      </c>
      <c r="F552" s="4" t="inlineStr">
        <is>
          <t>Home Care</t>
        </is>
      </c>
      <c r="G552" s="4" t="inlineStr">
        <is>
          <t>A</t>
        </is>
      </c>
      <c r="H552" s="11" t="n">
        <v>1468</v>
      </c>
      <c r="I552" s="4" t="n">
        <v>590</v>
      </c>
      <c r="J552" s="13">
        <f>IF(I552&gt;0,H552/I552,"")</f>
        <v/>
      </c>
      <c r="K552" s="4">
        <f>IF(I552&lt;=0,"NO DEMAND",IF(H552=0,"STOCKOUT",IF(J552&lt;Config!$B$5,"CRITICAL",IF(J552&lt;Config!$B$6,"LOW",IF(J552&gt;Config!$B$7,"EXCESS","HEALTHY")))))</f>
        <v/>
      </c>
      <c r="L552" s="11" t="n">
        <v>99</v>
      </c>
      <c r="M552" s="11" t="n">
        <v>123</v>
      </c>
      <c r="N552" s="11">
        <f>H552*L552</f>
        <v/>
      </c>
      <c r="O552" s="11">
        <f>IF(I552&gt;0,I552*(M552-L552),0)</f>
        <v/>
      </c>
      <c r="P552" s="11" t="n">
        <v>0</v>
      </c>
    </row>
    <row r="553">
      <c r="A553" s="4" t="inlineStr">
        <is>
          <t>WH05</t>
        </is>
      </c>
      <c r="B553" s="4" t="inlineStr">
        <is>
          <t>Pune DC</t>
        </is>
      </c>
      <c r="C553" s="4" t="inlineStr">
        <is>
          <t>West</t>
        </is>
      </c>
      <c r="D553" s="4" t="inlineStr">
        <is>
          <t>SKU069</t>
        </is>
      </c>
      <c r="E553" s="4" t="inlineStr">
        <is>
          <t>Garbage Bags 30pk</t>
        </is>
      </c>
      <c r="F553" s="4" t="inlineStr">
        <is>
          <t>Home Care</t>
        </is>
      </c>
      <c r="G553" s="4" t="inlineStr">
        <is>
          <t>B</t>
        </is>
      </c>
      <c r="H553" s="11" t="n">
        <v>198</v>
      </c>
      <c r="I553" s="4" t="n">
        <v>159</v>
      </c>
      <c r="J553" s="13">
        <f>IF(I553&gt;0,H553/I553,"")</f>
        <v/>
      </c>
      <c r="K553" s="4">
        <f>IF(I553&lt;=0,"NO DEMAND",IF(H553=0,"STOCKOUT",IF(J553&lt;Config!$B$5,"CRITICAL",IF(J553&lt;Config!$B$6,"LOW",IF(J553&gt;Config!$B$7,"EXCESS","HEALTHY")))))</f>
        <v/>
      </c>
      <c r="L553" s="11" t="n">
        <v>202</v>
      </c>
      <c r="M553" s="11" t="n">
        <v>252</v>
      </c>
      <c r="N553" s="11">
        <f>H553*L553</f>
        <v/>
      </c>
      <c r="O553" s="11">
        <f>IF(I553&gt;0,I553*(M553-L553),0)</f>
        <v/>
      </c>
      <c r="P553" s="11" t="n">
        <v>636</v>
      </c>
    </row>
    <row r="554">
      <c r="A554" s="4" t="inlineStr">
        <is>
          <t>WH05</t>
        </is>
      </c>
      <c r="B554" s="4" t="inlineStr">
        <is>
          <t>Pune DC</t>
        </is>
      </c>
      <c r="C554" s="4" t="inlineStr">
        <is>
          <t>West</t>
        </is>
      </c>
      <c r="D554" s="4" t="inlineStr">
        <is>
          <t>SKU070</t>
        </is>
      </c>
      <c r="E554" s="4" t="inlineStr">
        <is>
          <t>Scrub Pad 3pk</t>
        </is>
      </c>
      <c r="F554" s="4" t="inlineStr">
        <is>
          <t>Home Care</t>
        </is>
      </c>
      <c r="G554" s="4" t="inlineStr">
        <is>
          <t>A</t>
        </is>
      </c>
      <c r="H554" s="11" t="n">
        <v>2044</v>
      </c>
      <c r="I554" s="4" t="n">
        <v>372</v>
      </c>
      <c r="J554" s="13">
        <f>IF(I554&gt;0,H554/I554,"")</f>
        <v/>
      </c>
      <c r="K554" s="4">
        <f>IF(I554&lt;=0,"NO DEMAND",IF(H554=0,"STOCKOUT",IF(J554&lt;Config!$B$5,"CRITICAL",IF(J554&lt;Config!$B$6,"LOW",IF(J554&gt;Config!$B$7,"EXCESS","HEALTHY")))))</f>
        <v/>
      </c>
      <c r="L554" s="11" t="n">
        <v>121</v>
      </c>
      <c r="M554" s="11" t="n">
        <v>153</v>
      </c>
      <c r="N554" s="11">
        <f>H554*L554</f>
        <v/>
      </c>
      <c r="O554" s="11">
        <f>IF(I554&gt;0,I554*(M554-L554),0)</f>
        <v/>
      </c>
      <c r="P554" s="11" t="n">
        <v>0</v>
      </c>
    </row>
    <row r="555">
      <c r="A555" s="4" t="inlineStr">
        <is>
          <t>WH05</t>
        </is>
      </c>
      <c r="B555" s="4" t="inlineStr">
        <is>
          <t>Pune DC</t>
        </is>
      </c>
      <c r="C555" s="4" t="inlineStr">
        <is>
          <t>West</t>
        </is>
      </c>
      <c r="D555" s="4" t="inlineStr">
        <is>
          <t>SKU071</t>
        </is>
      </c>
      <c r="E555" s="4" t="inlineStr">
        <is>
          <t>Bleach 500ml</t>
        </is>
      </c>
      <c r="F555" s="4" t="inlineStr">
        <is>
          <t>Home Care</t>
        </is>
      </c>
      <c r="G555" s="4" t="inlineStr">
        <is>
          <t>C</t>
        </is>
      </c>
      <c r="H555" s="11" t="n">
        <v>1200</v>
      </c>
      <c r="I555" s="4" t="n">
        <v>243.75</v>
      </c>
      <c r="J555" s="13">
        <f>IF(I555&gt;0,H555/I555,"")</f>
        <v/>
      </c>
      <c r="K555" s="4">
        <f>IF(I555&lt;=0,"NO DEMAND",IF(H555=0,"STOCKOUT",IF(J555&lt;Config!$B$5,"CRITICAL",IF(J555&lt;Config!$B$6,"LOW",IF(J555&gt;Config!$B$7,"EXCESS","HEALTHY")))))</f>
        <v/>
      </c>
      <c r="L555" s="11" t="n">
        <v>41</v>
      </c>
      <c r="M555" s="11" t="n">
        <v>51</v>
      </c>
      <c r="N555" s="11">
        <f>H555*L555</f>
        <v/>
      </c>
      <c r="O555" s="11">
        <f>IF(I555&gt;0,I555*(M555-L555),0)</f>
        <v/>
      </c>
      <c r="P555" s="11" t="n">
        <v>0</v>
      </c>
    </row>
    <row r="556">
      <c r="A556" s="4" t="inlineStr">
        <is>
          <t>WH05</t>
        </is>
      </c>
      <c r="B556" s="4" t="inlineStr">
        <is>
          <t>Pune DC</t>
        </is>
      </c>
      <c r="C556" s="4" t="inlineStr">
        <is>
          <t>West</t>
        </is>
      </c>
      <c r="D556" s="4" t="inlineStr">
        <is>
          <t>SKU072</t>
        </is>
      </c>
      <c r="E556" s="4" t="inlineStr">
        <is>
          <t>Phenyl 1L</t>
        </is>
      </c>
      <c r="F556" s="4" t="inlineStr">
        <is>
          <t>Home Care</t>
        </is>
      </c>
      <c r="G556" s="4" t="inlineStr">
        <is>
          <t>B</t>
        </is>
      </c>
      <c r="H556" s="11" t="n">
        <v>189</v>
      </c>
      <c r="I556" s="4" t="n">
        <v>327.75</v>
      </c>
      <c r="J556" s="13">
        <f>IF(I556&gt;0,H556/I556,"")</f>
        <v/>
      </c>
      <c r="K556" s="4">
        <f>IF(I556&lt;=0,"NO DEMAND",IF(H556=0,"STOCKOUT",IF(J556&lt;Config!$B$5,"CRITICAL",IF(J556&lt;Config!$B$6,"LOW",IF(J556&gt;Config!$B$7,"EXCESS","HEALTHY")))))</f>
        <v/>
      </c>
      <c r="L556" s="11" t="n">
        <v>137</v>
      </c>
      <c r="M556" s="11" t="n">
        <v>170</v>
      </c>
      <c r="N556" s="11">
        <f>H556*L556</f>
        <v/>
      </c>
      <c r="O556" s="11">
        <f>IF(I556&gt;0,I556*(M556-L556),0)</f>
        <v/>
      </c>
      <c r="P556" s="11" t="n">
        <v>1212</v>
      </c>
    </row>
    <row r="557">
      <c r="A557" s="4" t="inlineStr">
        <is>
          <t>WH05</t>
        </is>
      </c>
      <c r="B557" s="4" t="inlineStr">
        <is>
          <t>Pune DC</t>
        </is>
      </c>
      <c r="C557" s="4" t="inlineStr">
        <is>
          <t>West</t>
        </is>
      </c>
      <c r="D557" s="4" t="inlineStr">
        <is>
          <t>SKU073</t>
        </is>
      </c>
      <c r="E557" s="4" t="inlineStr">
        <is>
          <t>Agarbatti 100pk</t>
        </is>
      </c>
      <c r="F557" s="4" t="inlineStr">
        <is>
          <t>Home Care</t>
        </is>
      </c>
      <c r="G557" s="4" t="inlineStr">
        <is>
          <t>C</t>
        </is>
      </c>
      <c r="H557" s="11" t="n">
        <v>1159</v>
      </c>
      <c r="I557" s="4" t="n">
        <v>339</v>
      </c>
      <c r="J557" s="13">
        <f>IF(I557&gt;0,H557/I557,"")</f>
        <v/>
      </c>
      <c r="K557" s="4">
        <f>IF(I557&lt;=0,"NO DEMAND",IF(H557=0,"STOCKOUT",IF(J557&lt;Config!$B$5,"CRITICAL",IF(J557&lt;Config!$B$6,"LOW",IF(J557&gt;Config!$B$7,"EXCESS","HEALTHY")))))</f>
        <v/>
      </c>
      <c r="L557" s="11" t="n">
        <v>59</v>
      </c>
      <c r="M557" s="11" t="n">
        <v>75</v>
      </c>
      <c r="N557" s="11">
        <f>H557*L557</f>
        <v/>
      </c>
      <c r="O557" s="11">
        <f>IF(I557&gt;0,I557*(M557-L557),0)</f>
        <v/>
      </c>
      <c r="P557" s="11" t="n">
        <v>0</v>
      </c>
    </row>
    <row r="558">
      <c r="A558" s="4" t="inlineStr">
        <is>
          <t>WH05</t>
        </is>
      </c>
      <c r="B558" s="4" t="inlineStr">
        <is>
          <t>Pune DC</t>
        </is>
      </c>
      <c r="C558" s="4" t="inlineStr">
        <is>
          <t>West</t>
        </is>
      </c>
      <c r="D558" s="4" t="inlineStr">
        <is>
          <t>SKU074</t>
        </is>
      </c>
      <c r="E558" s="4" t="inlineStr">
        <is>
          <t>Matchbox 10pk</t>
        </is>
      </c>
      <c r="F558" s="4" t="inlineStr">
        <is>
          <t>Home Care</t>
        </is>
      </c>
      <c r="G558" s="4" t="inlineStr">
        <is>
          <t>A</t>
        </is>
      </c>
      <c r="H558" s="11" t="n">
        <v>226</v>
      </c>
      <c r="I558" s="4" t="n">
        <v>71</v>
      </c>
      <c r="J558" s="13">
        <f>IF(I558&gt;0,H558/I558,"")</f>
        <v/>
      </c>
      <c r="K558" s="4">
        <f>IF(I558&lt;=0,"NO DEMAND",IF(H558=0,"STOCKOUT",IF(J558&lt;Config!$B$5,"CRITICAL",IF(J558&lt;Config!$B$6,"LOW",IF(J558&gt;Config!$B$7,"EXCESS","HEALTHY")))))</f>
        <v/>
      </c>
      <c r="L558" s="11" t="n">
        <v>257</v>
      </c>
      <c r="M558" s="11" t="n">
        <v>315</v>
      </c>
      <c r="N558" s="11">
        <f>H558*L558</f>
        <v/>
      </c>
      <c r="O558" s="11">
        <f>IF(I558&gt;0,I558*(M558-L558),0)</f>
        <v/>
      </c>
      <c r="P558" s="11" t="n">
        <v>0</v>
      </c>
    </row>
    <row r="559">
      <c r="A559" s="4" t="inlineStr">
        <is>
          <t>WH05</t>
        </is>
      </c>
      <c r="B559" s="4" t="inlineStr">
        <is>
          <t>Pune DC</t>
        </is>
      </c>
      <c r="C559" s="4" t="inlineStr">
        <is>
          <t>West</t>
        </is>
      </c>
      <c r="D559" s="4" t="inlineStr">
        <is>
          <t>SKU075</t>
        </is>
      </c>
      <c r="E559" s="4" t="inlineStr">
        <is>
          <t>Naphthalene Balls 200g</t>
        </is>
      </c>
      <c r="F559" s="4" t="inlineStr">
        <is>
          <t>Home Care</t>
        </is>
      </c>
      <c r="G559" s="4" t="inlineStr">
        <is>
          <t>C</t>
        </is>
      </c>
      <c r="H559" s="11" t="n">
        <v>947</v>
      </c>
      <c r="I559" s="4" t="n">
        <v>298</v>
      </c>
      <c r="J559" s="13">
        <f>IF(I559&gt;0,H559/I559,"")</f>
        <v/>
      </c>
      <c r="K559" s="4">
        <f>IF(I559&lt;=0,"NO DEMAND",IF(H559=0,"STOCKOUT",IF(J559&lt;Config!$B$5,"CRITICAL",IF(J559&lt;Config!$B$6,"LOW",IF(J559&gt;Config!$B$7,"EXCESS","HEALTHY")))))</f>
        <v/>
      </c>
      <c r="L559" s="11" t="n">
        <v>49</v>
      </c>
      <c r="M559" s="11" t="n">
        <v>60</v>
      </c>
      <c r="N559" s="11">
        <f>H559*L559</f>
        <v/>
      </c>
      <c r="O559" s="11">
        <f>IF(I559&gt;0,I559*(M559-L559),0)</f>
        <v/>
      </c>
      <c r="P559" s="11" t="n">
        <v>0</v>
      </c>
    </row>
    <row r="560">
      <c r="A560" s="4" t="inlineStr">
        <is>
          <t>WH05</t>
        </is>
      </c>
      <c r="B560" s="4" t="inlineStr">
        <is>
          <t>Pune DC</t>
        </is>
      </c>
      <c r="C560" s="4" t="inlineStr">
        <is>
          <t>West</t>
        </is>
      </c>
      <c r="D560" s="4" t="inlineStr">
        <is>
          <t>SKU076</t>
        </is>
      </c>
      <c r="E560" s="4" t="inlineStr">
        <is>
          <t>USB-C Cable 1m</t>
        </is>
      </c>
      <c r="F560" s="4" t="inlineStr">
        <is>
          <t>Electronics Accessories</t>
        </is>
      </c>
      <c r="G560" s="4" t="inlineStr">
        <is>
          <t>A</t>
        </is>
      </c>
      <c r="H560" s="11" t="n">
        <v>809</v>
      </c>
      <c r="I560" s="4" t="n">
        <v>143.75</v>
      </c>
      <c r="J560" s="13">
        <f>IF(I560&gt;0,H560/I560,"")</f>
        <v/>
      </c>
      <c r="K560" s="4">
        <f>IF(I560&lt;=0,"NO DEMAND",IF(H560=0,"STOCKOUT",IF(J560&lt;Config!$B$5,"CRITICAL",IF(J560&lt;Config!$B$6,"LOW",IF(J560&gt;Config!$B$7,"EXCESS","HEALTHY")))))</f>
        <v/>
      </c>
      <c r="L560" s="11" t="n">
        <v>441</v>
      </c>
      <c r="M560" s="11" t="n">
        <v>572</v>
      </c>
      <c r="N560" s="11">
        <f>H560*L560</f>
        <v/>
      </c>
      <c r="O560" s="11">
        <f>IF(I560&gt;0,I560*(M560-L560),0)</f>
        <v/>
      </c>
      <c r="P560" s="11" t="n">
        <v>0</v>
      </c>
    </row>
    <row r="561">
      <c r="A561" s="4" t="inlineStr">
        <is>
          <t>WH05</t>
        </is>
      </c>
      <c r="B561" s="4" t="inlineStr">
        <is>
          <t>Pune DC</t>
        </is>
      </c>
      <c r="C561" s="4" t="inlineStr">
        <is>
          <t>West</t>
        </is>
      </c>
      <c r="D561" s="4" t="inlineStr">
        <is>
          <t>SKU077</t>
        </is>
      </c>
      <c r="E561" s="4" t="inlineStr">
        <is>
          <t>Fast Charger 25W</t>
        </is>
      </c>
      <c r="F561" s="4" t="inlineStr">
        <is>
          <t>Electronics Accessories</t>
        </is>
      </c>
      <c r="G561" s="4" t="inlineStr">
        <is>
          <t>B</t>
        </is>
      </c>
      <c r="H561" s="11" t="n">
        <v>0</v>
      </c>
      <c r="I561" s="4" t="n">
        <v>193.25</v>
      </c>
      <c r="J561" s="13">
        <f>IF(I561&gt;0,H561/I561,"")</f>
        <v/>
      </c>
      <c r="K561" s="4">
        <f>IF(I561&lt;=0,"NO DEMAND",IF(H561=0,"STOCKOUT",IF(J561&lt;Config!$B$5,"CRITICAL",IF(J561&lt;Config!$B$6,"LOW",IF(J561&gt;Config!$B$7,"EXCESS","HEALTHY")))))</f>
        <v/>
      </c>
      <c r="L561" s="11" t="n">
        <v>364</v>
      </c>
      <c r="M561" s="11" t="n">
        <v>465</v>
      </c>
      <c r="N561" s="11">
        <f>H561*L561</f>
        <v/>
      </c>
      <c r="O561" s="11">
        <f>IF(I561&gt;0,I561*(M561-L561),0)</f>
        <v/>
      </c>
      <c r="P561" s="11" t="n">
        <v>1610</v>
      </c>
    </row>
    <row r="562">
      <c r="A562" s="4" t="inlineStr">
        <is>
          <t>WH05</t>
        </is>
      </c>
      <c r="B562" s="4" t="inlineStr">
        <is>
          <t>Pune DC</t>
        </is>
      </c>
      <c r="C562" s="4" t="inlineStr">
        <is>
          <t>West</t>
        </is>
      </c>
      <c r="D562" s="4" t="inlineStr">
        <is>
          <t>SKU078</t>
        </is>
      </c>
      <c r="E562" s="4" t="inlineStr">
        <is>
          <t>Power Bank 10000mAh</t>
        </is>
      </c>
      <c r="F562" s="4" t="inlineStr">
        <is>
          <t>Electronics Accessories</t>
        </is>
      </c>
      <c r="G562" s="4" t="inlineStr">
        <is>
          <t>B</t>
        </is>
      </c>
      <c r="H562" s="11" t="n">
        <v>265</v>
      </c>
      <c r="I562" s="4" t="n">
        <v>164.75</v>
      </c>
      <c r="J562" s="13">
        <f>IF(I562&gt;0,H562/I562,"")</f>
        <v/>
      </c>
      <c r="K562" s="4">
        <f>IF(I562&lt;=0,"NO DEMAND",IF(H562=0,"STOCKOUT",IF(J562&lt;Config!$B$5,"CRITICAL",IF(J562&lt;Config!$B$6,"LOW",IF(J562&gt;Config!$B$7,"EXCESS","HEALTHY")))))</f>
        <v/>
      </c>
      <c r="L562" s="11" t="n">
        <v>359</v>
      </c>
      <c r="M562" s="11" t="n">
        <v>471</v>
      </c>
      <c r="N562" s="11">
        <f>H562*L562</f>
        <v/>
      </c>
      <c r="O562" s="11">
        <f>IF(I562&gt;0,I562*(M562-L562),0)</f>
        <v/>
      </c>
      <c r="P562" s="11" t="n">
        <v>610</v>
      </c>
    </row>
    <row r="563">
      <c r="A563" s="4" t="inlineStr">
        <is>
          <t>WH05</t>
        </is>
      </c>
      <c r="B563" s="4" t="inlineStr">
        <is>
          <t>Pune DC</t>
        </is>
      </c>
      <c r="C563" s="4" t="inlineStr">
        <is>
          <t>West</t>
        </is>
      </c>
      <c r="D563" s="4" t="inlineStr">
        <is>
          <t>SKU079</t>
        </is>
      </c>
      <c r="E563" s="4" t="inlineStr">
        <is>
          <t>Wired Earphones</t>
        </is>
      </c>
      <c r="F563" s="4" t="inlineStr">
        <is>
          <t>Electronics Accessories</t>
        </is>
      </c>
      <c r="G563" s="4" t="inlineStr">
        <is>
          <t>A</t>
        </is>
      </c>
      <c r="H563" s="11" t="n">
        <v>387</v>
      </c>
      <c r="I563" s="4" t="n">
        <v>188.25</v>
      </c>
      <c r="J563" s="13">
        <f>IF(I563&gt;0,H563/I563,"")</f>
        <v/>
      </c>
      <c r="K563" s="4">
        <f>IF(I563&lt;=0,"NO DEMAND",IF(H563=0,"STOCKOUT",IF(J563&lt;Config!$B$5,"CRITICAL",IF(J563&lt;Config!$B$6,"LOW",IF(J563&gt;Config!$B$7,"EXCESS","HEALTHY")))))</f>
        <v/>
      </c>
      <c r="L563" s="11" t="n">
        <v>1110</v>
      </c>
      <c r="M563" s="11" t="n">
        <v>1412</v>
      </c>
      <c r="N563" s="11">
        <f>H563*L563</f>
        <v/>
      </c>
      <c r="O563" s="11">
        <f>IF(I563&gt;0,I563*(M563-L563),0)</f>
        <v/>
      </c>
      <c r="P563" s="11" t="n">
        <v>600</v>
      </c>
    </row>
    <row r="564">
      <c r="A564" s="4" t="inlineStr">
        <is>
          <t>WH05</t>
        </is>
      </c>
      <c r="B564" s="4" t="inlineStr">
        <is>
          <t>Pune DC</t>
        </is>
      </c>
      <c r="C564" s="4" t="inlineStr">
        <is>
          <t>West</t>
        </is>
      </c>
      <c r="D564" s="4" t="inlineStr">
        <is>
          <t>SKU080</t>
        </is>
      </c>
      <c r="E564" s="4" t="inlineStr">
        <is>
          <t>TWS Earbuds</t>
        </is>
      </c>
      <c r="F564" s="4" t="inlineStr">
        <is>
          <t>Electronics Accessories</t>
        </is>
      </c>
      <c r="G564" s="4" t="inlineStr">
        <is>
          <t>A</t>
        </is>
      </c>
      <c r="H564" s="11" t="n">
        <v>175</v>
      </c>
      <c r="I564" s="4" t="n">
        <v>44.5</v>
      </c>
      <c r="J564" s="13">
        <f>IF(I564&gt;0,H564/I564,"")</f>
        <v/>
      </c>
      <c r="K564" s="4">
        <f>IF(I564&lt;=0,"NO DEMAND",IF(H564=0,"STOCKOUT",IF(J564&lt;Config!$B$5,"CRITICAL",IF(J564&lt;Config!$B$6,"LOW",IF(J564&gt;Config!$B$7,"EXCESS","HEALTHY")))))</f>
        <v/>
      </c>
      <c r="L564" s="11" t="n">
        <v>2238</v>
      </c>
      <c r="M564" s="11" t="n">
        <v>2947</v>
      </c>
      <c r="N564" s="11">
        <f>H564*L564</f>
        <v/>
      </c>
      <c r="O564" s="11">
        <f>IF(I564&gt;0,I564*(M564-L564),0)</f>
        <v/>
      </c>
      <c r="P564" s="11" t="n">
        <v>0</v>
      </c>
    </row>
    <row r="565">
      <c r="A565" s="4" t="inlineStr">
        <is>
          <t>WH05</t>
        </is>
      </c>
      <c r="B565" s="4" t="inlineStr">
        <is>
          <t>Pune DC</t>
        </is>
      </c>
      <c r="C565" s="4" t="inlineStr">
        <is>
          <t>West</t>
        </is>
      </c>
      <c r="D565" s="4" t="inlineStr">
        <is>
          <t>SKU081</t>
        </is>
      </c>
      <c r="E565" s="4" t="inlineStr">
        <is>
          <t>Bluetooth Speaker</t>
        </is>
      </c>
      <c r="F565" s="4" t="inlineStr">
        <is>
          <t>Electronics Accessories</t>
        </is>
      </c>
      <c r="G565" s="4" t="inlineStr">
        <is>
          <t>B</t>
        </is>
      </c>
      <c r="H565" s="11" t="n">
        <v>355</v>
      </c>
      <c r="I565" s="4" t="n">
        <v>325</v>
      </c>
      <c r="J565" s="13">
        <f>IF(I565&gt;0,H565/I565,"")</f>
        <v/>
      </c>
      <c r="K565" s="4">
        <f>IF(I565&lt;=0,"NO DEMAND",IF(H565=0,"STOCKOUT",IF(J565&lt;Config!$B$5,"CRITICAL",IF(J565&lt;Config!$B$6,"LOW",IF(J565&gt;Config!$B$7,"EXCESS","HEALTHY")))))</f>
        <v/>
      </c>
      <c r="L565" s="11" t="n">
        <v>227</v>
      </c>
      <c r="M565" s="11" t="n">
        <v>293</v>
      </c>
      <c r="N565" s="11">
        <f>H565*L565</f>
        <v/>
      </c>
      <c r="O565" s="11">
        <f>IF(I565&gt;0,I565*(M565-L565),0)</f>
        <v/>
      </c>
      <c r="P565" s="11" t="n">
        <v>2090</v>
      </c>
    </row>
    <row r="566">
      <c r="A566" s="4" t="inlineStr">
        <is>
          <t>WH05</t>
        </is>
      </c>
      <c r="B566" s="4" t="inlineStr">
        <is>
          <t>Pune DC</t>
        </is>
      </c>
      <c r="C566" s="4" t="inlineStr">
        <is>
          <t>West</t>
        </is>
      </c>
      <c r="D566" s="4" t="inlineStr">
        <is>
          <t>SKU082</t>
        </is>
      </c>
      <c r="E566" s="4" t="inlineStr">
        <is>
          <t>Phone Case</t>
        </is>
      </c>
      <c r="F566" s="4" t="inlineStr">
        <is>
          <t>Electronics Accessories</t>
        </is>
      </c>
      <c r="G566" s="4" t="inlineStr">
        <is>
          <t>B</t>
        </is>
      </c>
      <c r="H566" s="11" t="n">
        <v>13</v>
      </c>
      <c r="I566" s="4" t="n">
        <v>102.75</v>
      </c>
      <c r="J566" s="13">
        <f>IF(I566&gt;0,H566/I566,"")</f>
        <v/>
      </c>
      <c r="K566" s="4">
        <f>IF(I566&lt;=0,"NO DEMAND",IF(H566=0,"STOCKOUT",IF(J566&lt;Config!$B$5,"CRITICAL",IF(J566&lt;Config!$B$6,"LOW",IF(J566&gt;Config!$B$7,"EXCESS","HEALTHY")))))</f>
        <v/>
      </c>
      <c r="L566" s="11" t="n">
        <v>665</v>
      </c>
      <c r="M566" s="11" t="n">
        <v>835</v>
      </c>
      <c r="N566" s="11">
        <f>H566*L566</f>
        <v/>
      </c>
      <c r="O566" s="11">
        <f>IF(I566&gt;0,I566*(M566-L566),0)</f>
        <v/>
      </c>
      <c r="P566" s="11" t="n">
        <v>470</v>
      </c>
    </row>
    <row r="567">
      <c r="A567" s="4" t="inlineStr">
        <is>
          <t>WH05</t>
        </is>
      </c>
      <c r="B567" s="4" t="inlineStr">
        <is>
          <t>Pune DC</t>
        </is>
      </c>
      <c r="C567" s="4" t="inlineStr">
        <is>
          <t>West</t>
        </is>
      </c>
      <c r="D567" s="4" t="inlineStr">
        <is>
          <t>SKU083</t>
        </is>
      </c>
      <c r="E567" s="4" t="inlineStr">
        <is>
          <t>Screen Guard</t>
        </is>
      </c>
      <c r="F567" s="4" t="inlineStr">
        <is>
          <t>Electronics Accessories</t>
        </is>
      </c>
      <c r="G567" s="4" t="inlineStr">
        <is>
          <t>C</t>
        </is>
      </c>
      <c r="H567" s="11" t="n">
        <v>170</v>
      </c>
      <c r="I567" s="4" t="n">
        <v>95</v>
      </c>
      <c r="J567" s="13">
        <f>IF(I567&gt;0,H567/I567,"")</f>
        <v/>
      </c>
      <c r="K567" s="4">
        <f>IF(I567&lt;=0,"NO DEMAND",IF(H567=0,"STOCKOUT",IF(J567&lt;Config!$B$5,"CRITICAL",IF(J567&lt;Config!$B$6,"LOW",IF(J567&gt;Config!$B$7,"EXCESS","HEALTHY")))))</f>
        <v/>
      </c>
      <c r="L567" s="11" t="n">
        <v>229</v>
      </c>
      <c r="M567" s="11" t="n">
        <v>298</v>
      </c>
      <c r="N567" s="11">
        <f>H567*L567</f>
        <v/>
      </c>
      <c r="O567" s="11">
        <f>IF(I567&gt;0,I567*(M567-L567),0)</f>
        <v/>
      </c>
      <c r="P567" s="11" t="n">
        <v>290</v>
      </c>
    </row>
    <row r="568">
      <c r="A568" s="4" t="inlineStr">
        <is>
          <t>WH05</t>
        </is>
      </c>
      <c r="B568" s="4" t="inlineStr">
        <is>
          <t>Pune DC</t>
        </is>
      </c>
      <c r="C568" s="4" t="inlineStr">
        <is>
          <t>West</t>
        </is>
      </c>
      <c r="D568" s="4" t="inlineStr">
        <is>
          <t>SKU084</t>
        </is>
      </c>
      <c r="E568" s="4" t="inlineStr">
        <is>
          <t>LED Bulb 9W</t>
        </is>
      </c>
      <c r="F568" s="4" t="inlineStr">
        <is>
          <t>Electronics Accessories</t>
        </is>
      </c>
      <c r="G568" s="4" t="inlineStr">
        <is>
          <t>C</t>
        </is>
      </c>
      <c r="H568" s="11" t="n">
        <v>643</v>
      </c>
      <c r="I568" s="4" t="n">
        <v>106</v>
      </c>
      <c r="J568" s="13">
        <f>IF(I568&gt;0,H568/I568,"")</f>
        <v/>
      </c>
      <c r="K568" s="4">
        <f>IF(I568&lt;=0,"NO DEMAND",IF(H568=0,"STOCKOUT",IF(J568&lt;Config!$B$5,"CRITICAL",IF(J568&lt;Config!$B$6,"LOW",IF(J568&gt;Config!$B$7,"EXCESS","HEALTHY")))))</f>
        <v/>
      </c>
      <c r="L568" s="11" t="n">
        <v>160</v>
      </c>
      <c r="M568" s="11" t="n">
        <v>207</v>
      </c>
      <c r="N568" s="11">
        <f>H568*L568</f>
        <v/>
      </c>
      <c r="O568" s="11">
        <f>IF(I568&gt;0,I568*(M568-L568),0)</f>
        <v/>
      </c>
      <c r="P568" s="11" t="n">
        <v>0</v>
      </c>
    </row>
    <row r="569">
      <c r="A569" s="4" t="inlineStr">
        <is>
          <t>WH05</t>
        </is>
      </c>
      <c r="B569" s="4" t="inlineStr">
        <is>
          <t>Pune DC</t>
        </is>
      </c>
      <c r="C569" s="4" t="inlineStr">
        <is>
          <t>West</t>
        </is>
      </c>
      <c r="D569" s="4" t="inlineStr">
        <is>
          <t>SKU085</t>
        </is>
      </c>
      <c r="E569" s="4" t="inlineStr">
        <is>
          <t>Extension Board 4-socket</t>
        </is>
      </c>
      <c r="F569" s="4" t="inlineStr">
        <is>
          <t>Electronics Accessories</t>
        </is>
      </c>
      <c r="G569" s="4" t="inlineStr">
        <is>
          <t>B</t>
        </is>
      </c>
      <c r="H569" s="11" t="n">
        <v>237</v>
      </c>
      <c r="I569" s="4" t="n">
        <v>33.75</v>
      </c>
      <c r="J569" s="13">
        <f>IF(I569&gt;0,H569/I569,"")</f>
        <v/>
      </c>
      <c r="K569" s="4">
        <f>IF(I569&lt;=0,"NO DEMAND",IF(H569=0,"STOCKOUT",IF(J569&lt;Config!$B$5,"CRITICAL",IF(J569&lt;Config!$B$6,"LOW",IF(J569&gt;Config!$B$7,"EXCESS","HEALTHY")))))</f>
        <v/>
      </c>
      <c r="L569" s="11" t="n">
        <v>336</v>
      </c>
      <c r="M569" s="11" t="n">
        <v>431</v>
      </c>
      <c r="N569" s="11">
        <f>H569*L569</f>
        <v/>
      </c>
      <c r="O569" s="11">
        <f>IF(I569&gt;0,I569*(M569-L569),0)</f>
        <v/>
      </c>
      <c r="P569" s="11" t="n">
        <v>0</v>
      </c>
    </row>
    <row r="570">
      <c r="A570" s="4" t="inlineStr">
        <is>
          <t>WH05</t>
        </is>
      </c>
      <c r="B570" s="4" t="inlineStr">
        <is>
          <t>Pune DC</t>
        </is>
      </c>
      <c r="C570" s="4" t="inlineStr">
        <is>
          <t>West</t>
        </is>
      </c>
      <c r="D570" s="4" t="inlineStr">
        <is>
          <t>SKU086</t>
        </is>
      </c>
      <c r="E570" s="4" t="inlineStr">
        <is>
          <t>AA Batteries 10pk</t>
        </is>
      </c>
      <c r="F570" s="4" t="inlineStr">
        <is>
          <t>Electronics Accessories</t>
        </is>
      </c>
      <c r="G570" s="4" t="inlineStr">
        <is>
          <t>A</t>
        </is>
      </c>
      <c r="H570" s="11" t="n">
        <v>536</v>
      </c>
      <c r="I570" s="4" t="n">
        <v>185.75</v>
      </c>
      <c r="J570" s="13">
        <f>IF(I570&gt;0,H570/I570,"")</f>
        <v/>
      </c>
      <c r="K570" s="4">
        <f>IF(I570&lt;=0,"NO DEMAND",IF(H570=0,"STOCKOUT",IF(J570&lt;Config!$B$5,"CRITICAL",IF(J570&lt;Config!$B$6,"LOW",IF(J570&gt;Config!$B$7,"EXCESS","HEALTHY")))))</f>
        <v/>
      </c>
      <c r="L570" s="11" t="n">
        <v>1335</v>
      </c>
      <c r="M570" s="11" t="n">
        <v>1740</v>
      </c>
      <c r="N570" s="11">
        <f>H570*L570</f>
        <v/>
      </c>
      <c r="O570" s="11">
        <f>IF(I570&gt;0,I570*(M570-L570),0)</f>
        <v/>
      </c>
      <c r="P570" s="11" t="n">
        <v>860</v>
      </c>
    </row>
    <row r="571">
      <c r="A571" s="4" t="inlineStr">
        <is>
          <t>WH05</t>
        </is>
      </c>
      <c r="B571" s="4" t="inlineStr">
        <is>
          <t>Pune DC</t>
        </is>
      </c>
      <c r="C571" s="4" t="inlineStr">
        <is>
          <t>West</t>
        </is>
      </c>
      <c r="D571" s="4" t="inlineStr">
        <is>
          <t>SKU087</t>
        </is>
      </c>
      <c r="E571" s="4" t="inlineStr">
        <is>
          <t>SD Card 64GB</t>
        </is>
      </c>
      <c r="F571" s="4" t="inlineStr">
        <is>
          <t>Electronics Accessories</t>
        </is>
      </c>
      <c r="G571" s="4" t="inlineStr">
        <is>
          <t>A</t>
        </is>
      </c>
      <c r="H571" s="11" t="n">
        <v>924</v>
      </c>
      <c r="I571" s="4" t="n">
        <v>112.25</v>
      </c>
      <c r="J571" s="13">
        <f>IF(I571&gt;0,H571/I571,"")</f>
        <v/>
      </c>
      <c r="K571" s="4">
        <f>IF(I571&lt;=0,"NO DEMAND",IF(H571=0,"STOCKOUT",IF(J571&lt;Config!$B$5,"CRITICAL",IF(J571&lt;Config!$B$6,"LOW",IF(J571&gt;Config!$B$7,"EXCESS","HEALTHY")))))</f>
        <v/>
      </c>
      <c r="L571" s="11" t="n">
        <v>1750</v>
      </c>
      <c r="M571" s="11" t="n">
        <v>2180</v>
      </c>
      <c r="N571" s="11">
        <f>H571*L571</f>
        <v/>
      </c>
      <c r="O571" s="11">
        <f>IF(I571&gt;0,I571*(M571-L571),0)</f>
        <v/>
      </c>
      <c r="P571" s="11" t="n">
        <v>0</v>
      </c>
    </row>
    <row r="572">
      <c r="A572" s="4" t="inlineStr">
        <is>
          <t>WH05</t>
        </is>
      </c>
      <c r="B572" s="4" t="inlineStr">
        <is>
          <t>Pune DC</t>
        </is>
      </c>
      <c r="C572" s="4" t="inlineStr">
        <is>
          <t>West</t>
        </is>
      </c>
      <c r="D572" s="4" t="inlineStr">
        <is>
          <t>SKU088</t>
        </is>
      </c>
      <c r="E572" s="4" t="inlineStr">
        <is>
          <t>Wireless Mouse</t>
        </is>
      </c>
      <c r="F572" s="4" t="inlineStr">
        <is>
          <t>Electronics Accessories</t>
        </is>
      </c>
      <c r="G572" s="4" t="inlineStr">
        <is>
          <t>A</t>
        </is>
      </c>
      <c r="H572" s="11" t="n">
        <v>254</v>
      </c>
      <c r="I572" s="4" t="n">
        <v>60.5</v>
      </c>
      <c r="J572" s="13">
        <f>IF(I572&gt;0,H572/I572,"")</f>
        <v/>
      </c>
      <c r="K572" s="4">
        <f>IF(I572&lt;=0,"NO DEMAND",IF(H572=0,"STOCKOUT",IF(J572&lt;Config!$B$5,"CRITICAL",IF(J572&lt;Config!$B$6,"LOW",IF(J572&gt;Config!$B$7,"EXCESS","HEALTHY")))))</f>
        <v/>
      </c>
      <c r="L572" s="11" t="n">
        <v>429</v>
      </c>
      <c r="M572" s="11" t="n">
        <v>534</v>
      </c>
      <c r="N572" s="11">
        <f>H572*L572</f>
        <v/>
      </c>
      <c r="O572" s="11">
        <f>IF(I572&gt;0,I572*(M572-L572),0)</f>
        <v/>
      </c>
      <c r="P572" s="11" t="n">
        <v>0</v>
      </c>
    </row>
    <row r="573">
      <c r="A573" s="4" t="inlineStr">
        <is>
          <t>WH05</t>
        </is>
      </c>
      <c r="B573" s="4" t="inlineStr">
        <is>
          <t>Pune DC</t>
        </is>
      </c>
      <c r="C573" s="4" t="inlineStr">
        <is>
          <t>West</t>
        </is>
      </c>
      <c r="D573" s="4" t="inlineStr">
        <is>
          <t>SKU089</t>
        </is>
      </c>
      <c r="E573" s="4" t="inlineStr">
        <is>
          <t>USB Keyboard</t>
        </is>
      </c>
      <c r="F573" s="4" t="inlineStr">
        <is>
          <t>Electronics Accessories</t>
        </is>
      </c>
      <c r="G573" s="4" t="inlineStr">
        <is>
          <t>A</t>
        </is>
      </c>
      <c r="H573" s="11" t="n">
        <v>831</v>
      </c>
      <c r="I573" s="4" t="n">
        <v>127.25</v>
      </c>
      <c r="J573" s="13">
        <f>IF(I573&gt;0,H573/I573,"")</f>
        <v/>
      </c>
      <c r="K573" s="4">
        <f>IF(I573&lt;=0,"NO DEMAND",IF(H573=0,"STOCKOUT",IF(J573&lt;Config!$B$5,"CRITICAL",IF(J573&lt;Config!$B$6,"LOW",IF(J573&gt;Config!$B$7,"EXCESS","HEALTHY")))))</f>
        <v/>
      </c>
      <c r="L573" s="11" t="n">
        <v>2249</v>
      </c>
      <c r="M573" s="11" t="n">
        <v>2812</v>
      </c>
      <c r="N573" s="11">
        <f>H573*L573</f>
        <v/>
      </c>
      <c r="O573" s="11">
        <f>IF(I573&gt;0,I573*(M573-L573),0)</f>
        <v/>
      </c>
      <c r="P573" s="11" t="n">
        <v>0</v>
      </c>
    </row>
    <row r="574">
      <c r="A574" s="4" t="inlineStr">
        <is>
          <t>WH05</t>
        </is>
      </c>
      <c r="B574" s="4" t="inlineStr">
        <is>
          <t>Pune DC</t>
        </is>
      </c>
      <c r="C574" s="4" t="inlineStr">
        <is>
          <t>West</t>
        </is>
      </c>
      <c r="D574" s="4" t="inlineStr">
        <is>
          <t>SKU090</t>
        </is>
      </c>
      <c r="E574" s="4" t="inlineStr">
        <is>
          <t>HDMI Cable 2m</t>
        </is>
      </c>
      <c r="F574" s="4" t="inlineStr">
        <is>
          <t>Electronics Accessories</t>
        </is>
      </c>
      <c r="G574" s="4" t="inlineStr">
        <is>
          <t>C</t>
        </is>
      </c>
      <c r="H574" s="11" t="n">
        <v>132</v>
      </c>
      <c r="I574" s="4" t="n">
        <v>50.25</v>
      </c>
      <c r="J574" s="13">
        <f>IF(I574&gt;0,H574/I574,"")</f>
        <v/>
      </c>
      <c r="K574" s="4">
        <f>IF(I574&lt;=0,"NO DEMAND",IF(H574=0,"STOCKOUT",IF(J574&lt;Config!$B$5,"CRITICAL",IF(J574&lt;Config!$B$6,"LOW",IF(J574&gt;Config!$B$7,"EXCESS","HEALTHY")))))</f>
        <v/>
      </c>
      <c r="L574" s="11" t="n">
        <v>292</v>
      </c>
      <c r="M574" s="11" t="n">
        <v>378</v>
      </c>
      <c r="N574" s="11">
        <f>H574*L574</f>
        <v/>
      </c>
      <c r="O574" s="11">
        <f>IF(I574&gt;0,I574*(M574-L574),0)</f>
        <v/>
      </c>
      <c r="P574" s="11" t="n">
        <v>240</v>
      </c>
    </row>
    <row r="575">
      <c r="A575" s="4" t="inlineStr">
        <is>
          <t>WH05</t>
        </is>
      </c>
      <c r="B575" s="4" t="inlineStr">
        <is>
          <t>Pune DC</t>
        </is>
      </c>
      <c r="C575" s="4" t="inlineStr">
        <is>
          <t>West</t>
        </is>
      </c>
      <c r="D575" s="4" t="inlineStr">
        <is>
          <t>SKU091</t>
        </is>
      </c>
      <c r="E575" s="4" t="inlineStr">
        <is>
          <t>Paracetamol 500mg 15s</t>
        </is>
      </c>
      <c r="F575" s="4" t="inlineStr">
        <is>
          <t>OTC Pharma &amp; Wellness</t>
        </is>
      </c>
      <c r="G575" s="4" t="inlineStr">
        <is>
          <t>C</t>
        </is>
      </c>
      <c r="H575" s="11" t="n">
        <v>350</v>
      </c>
      <c r="I575" s="4" t="n">
        <v>280.5</v>
      </c>
      <c r="J575" s="13">
        <f>IF(I575&gt;0,H575/I575,"")</f>
        <v/>
      </c>
      <c r="K575" s="4">
        <f>IF(I575&lt;=0,"NO DEMAND",IF(H575=0,"STOCKOUT",IF(J575&lt;Config!$B$5,"CRITICAL",IF(J575&lt;Config!$B$6,"LOW",IF(J575&gt;Config!$B$7,"EXCESS","HEALTHY")))))</f>
        <v/>
      </c>
      <c r="L575" s="11" t="n">
        <v>113</v>
      </c>
      <c r="M575" s="11" t="n">
        <v>144</v>
      </c>
      <c r="N575" s="11">
        <f>H575*L575</f>
        <v/>
      </c>
      <c r="O575" s="11">
        <f>IF(I575&gt;0,I575*(M575-L575),0)</f>
        <v/>
      </c>
      <c r="P575" s="11" t="n">
        <v>1548</v>
      </c>
    </row>
    <row r="576">
      <c r="A576" s="4" t="inlineStr">
        <is>
          <t>WH05</t>
        </is>
      </c>
      <c r="B576" s="4" t="inlineStr">
        <is>
          <t>Pune DC</t>
        </is>
      </c>
      <c r="C576" s="4" t="inlineStr">
        <is>
          <t>West</t>
        </is>
      </c>
      <c r="D576" s="4" t="inlineStr">
        <is>
          <t>SKU092</t>
        </is>
      </c>
      <c r="E576" s="4" t="inlineStr">
        <is>
          <t>ORS Sachets 10pk</t>
        </is>
      </c>
      <c r="F576" s="4" t="inlineStr">
        <is>
          <t>OTC Pharma &amp; Wellness</t>
        </is>
      </c>
      <c r="G576" s="4" t="inlineStr">
        <is>
          <t>C</t>
        </is>
      </c>
      <c r="H576" s="11" t="n">
        <v>820</v>
      </c>
      <c r="I576" s="4" t="n">
        <v>244.25</v>
      </c>
      <c r="J576" s="13">
        <f>IF(I576&gt;0,H576/I576,"")</f>
        <v/>
      </c>
      <c r="K576" s="4">
        <f>IF(I576&lt;=0,"NO DEMAND",IF(H576=0,"STOCKOUT",IF(J576&lt;Config!$B$5,"CRITICAL",IF(J576&lt;Config!$B$6,"LOW",IF(J576&gt;Config!$B$7,"EXCESS","HEALTHY")))))</f>
        <v/>
      </c>
      <c r="L576" s="11" t="n">
        <v>55</v>
      </c>
      <c r="M576" s="11" t="n">
        <v>75</v>
      </c>
      <c r="N576" s="11">
        <f>H576*L576</f>
        <v/>
      </c>
      <c r="O576" s="11">
        <f>IF(I576&gt;0,I576*(M576-L576),0)</f>
        <v/>
      </c>
      <c r="P576" s="11" t="n">
        <v>840</v>
      </c>
    </row>
    <row r="577">
      <c r="A577" s="4" t="inlineStr">
        <is>
          <t>WH05</t>
        </is>
      </c>
      <c r="B577" s="4" t="inlineStr">
        <is>
          <t>Pune DC</t>
        </is>
      </c>
      <c r="C577" s="4" t="inlineStr">
        <is>
          <t>West</t>
        </is>
      </c>
      <c r="D577" s="4" t="inlineStr">
        <is>
          <t>SKU093</t>
        </is>
      </c>
      <c r="E577" s="4" t="inlineStr">
        <is>
          <t>Antacid Syrup 200ml</t>
        </is>
      </c>
      <c r="F577" s="4" t="inlineStr">
        <is>
          <t>OTC Pharma &amp; Wellness</t>
        </is>
      </c>
      <c r="G577" s="4" t="inlineStr">
        <is>
          <t>A</t>
        </is>
      </c>
      <c r="H577" s="11" t="n">
        <v>600</v>
      </c>
      <c r="I577" s="4" t="n">
        <v>380.75</v>
      </c>
      <c r="J577" s="13">
        <f>IF(I577&gt;0,H577/I577,"")</f>
        <v/>
      </c>
      <c r="K577" s="4">
        <f>IF(I577&lt;=0,"NO DEMAND",IF(H577=0,"STOCKOUT",IF(J577&lt;Config!$B$5,"CRITICAL",IF(J577&lt;Config!$B$6,"LOW",IF(J577&gt;Config!$B$7,"EXCESS","HEALTHY")))))</f>
        <v/>
      </c>
      <c r="L577" s="11" t="n">
        <v>277</v>
      </c>
      <c r="M577" s="11" t="n">
        <v>362</v>
      </c>
      <c r="N577" s="11">
        <f>H577*L577</f>
        <v/>
      </c>
      <c r="O577" s="11">
        <f>IF(I577&gt;0,I577*(M577-L577),0)</f>
        <v/>
      </c>
      <c r="P577" s="11" t="n">
        <v>1128</v>
      </c>
    </row>
    <row r="578">
      <c r="A578" s="4" t="inlineStr">
        <is>
          <t>WH05</t>
        </is>
      </c>
      <c r="B578" s="4" t="inlineStr">
        <is>
          <t>Pune DC</t>
        </is>
      </c>
      <c r="C578" s="4" t="inlineStr">
        <is>
          <t>West</t>
        </is>
      </c>
      <c r="D578" s="4" t="inlineStr">
        <is>
          <t>SKU094</t>
        </is>
      </c>
      <c r="E578" s="4" t="inlineStr">
        <is>
          <t>Cough Syrup 100ml</t>
        </is>
      </c>
      <c r="F578" s="4" t="inlineStr">
        <is>
          <t>OTC Pharma &amp; Wellness</t>
        </is>
      </c>
      <c r="G578" s="4" t="inlineStr">
        <is>
          <t>B</t>
        </is>
      </c>
      <c r="H578" s="11" t="n">
        <v>1078</v>
      </c>
      <c r="I578" s="4" t="n">
        <v>175.75</v>
      </c>
      <c r="J578" s="13">
        <f>IF(I578&gt;0,H578/I578,"")</f>
        <v/>
      </c>
      <c r="K578" s="4">
        <f>IF(I578&lt;=0,"NO DEMAND",IF(H578=0,"STOCKOUT",IF(J578&lt;Config!$B$5,"CRITICAL",IF(J578&lt;Config!$B$6,"LOW",IF(J578&gt;Config!$B$7,"EXCESS","HEALTHY")))))</f>
        <v/>
      </c>
      <c r="L578" s="11" t="n">
        <v>190</v>
      </c>
      <c r="M578" s="11" t="n">
        <v>254</v>
      </c>
      <c r="N578" s="11">
        <f>H578*L578</f>
        <v/>
      </c>
      <c r="O578" s="11">
        <f>IF(I578&gt;0,I578*(M578-L578),0)</f>
        <v/>
      </c>
      <c r="P578" s="11" t="n">
        <v>0</v>
      </c>
    </row>
    <row r="579">
      <c r="A579" s="4" t="inlineStr">
        <is>
          <t>WH05</t>
        </is>
      </c>
      <c r="B579" s="4" t="inlineStr">
        <is>
          <t>Pune DC</t>
        </is>
      </c>
      <c r="C579" s="4" t="inlineStr">
        <is>
          <t>West</t>
        </is>
      </c>
      <c r="D579" s="4" t="inlineStr">
        <is>
          <t>SKU095</t>
        </is>
      </c>
      <c r="E579" s="4" t="inlineStr">
        <is>
          <t>Multivitamin 30s</t>
        </is>
      </c>
      <c r="F579" s="4" t="inlineStr">
        <is>
          <t>OTC Pharma &amp; Wellness</t>
        </is>
      </c>
      <c r="G579" s="4" t="inlineStr">
        <is>
          <t>B</t>
        </is>
      </c>
      <c r="H579" s="11" t="n">
        <v>481</v>
      </c>
      <c r="I579" s="4" t="n">
        <v>134.25</v>
      </c>
      <c r="J579" s="13">
        <f>IF(I579&gt;0,H579/I579,"")</f>
        <v/>
      </c>
      <c r="K579" s="4">
        <f>IF(I579&lt;=0,"NO DEMAND",IF(H579=0,"STOCKOUT",IF(J579&lt;Config!$B$5,"CRITICAL",IF(J579&lt;Config!$B$6,"LOW",IF(J579&gt;Config!$B$7,"EXCESS","HEALTHY")))))</f>
        <v/>
      </c>
      <c r="L579" s="11" t="n">
        <v>178</v>
      </c>
      <c r="M579" s="11" t="n">
        <v>237</v>
      </c>
      <c r="N579" s="11">
        <f>H579*L579</f>
        <v/>
      </c>
      <c r="O579" s="11">
        <f>IF(I579&gt;0,I579*(M579-L579),0)</f>
        <v/>
      </c>
      <c r="P579" s="11" t="n">
        <v>564</v>
      </c>
    </row>
    <row r="580">
      <c r="A580" s="4" t="inlineStr">
        <is>
          <t>WH05</t>
        </is>
      </c>
      <c r="B580" s="4" t="inlineStr">
        <is>
          <t>Pune DC</t>
        </is>
      </c>
      <c r="C580" s="4" t="inlineStr">
        <is>
          <t>West</t>
        </is>
      </c>
      <c r="D580" s="4" t="inlineStr">
        <is>
          <t>SKU096</t>
        </is>
      </c>
      <c r="E580" s="4" t="inlineStr">
        <is>
          <t>Antiseptic Liquid 250ml</t>
        </is>
      </c>
      <c r="F580" s="4" t="inlineStr">
        <is>
          <t>OTC Pharma &amp; Wellness</t>
        </is>
      </c>
      <c r="G580" s="4" t="inlineStr">
        <is>
          <t>C</t>
        </is>
      </c>
      <c r="H580" s="11" t="n">
        <v>306</v>
      </c>
      <c r="I580" s="4" t="n">
        <v>114.5</v>
      </c>
      <c r="J580" s="13">
        <f>IF(I580&gt;0,H580/I580,"")</f>
        <v/>
      </c>
      <c r="K580" s="4">
        <f>IF(I580&lt;=0,"NO DEMAND",IF(H580=0,"STOCKOUT",IF(J580&lt;Config!$B$5,"CRITICAL",IF(J580&lt;Config!$B$6,"LOW",IF(J580&gt;Config!$B$7,"EXCESS","HEALTHY")))))</f>
        <v/>
      </c>
      <c r="L580" s="11" t="n">
        <v>88</v>
      </c>
      <c r="M580" s="11" t="n">
        <v>112</v>
      </c>
      <c r="N580" s="11">
        <f>H580*L580</f>
        <v/>
      </c>
      <c r="O580" s="11">
        <f>IF(I580&gt;0,I580*(M580-L580),0)</f>
        <v/>
      </c>
      <c r="P580" s="11" t="n">
        <v>408</v>
      </c>
    </row>
    <row r="581">
      <c r="A581" s="4" t="inlineStr">
        <is>
          <t>WH05</t>
        </is>
      </c>
      <c r="B581" s="4" t="inlineStr">
        <is>
          <t>Pune DC</t>
        </is>
      </c>
      <c r="C581" s="4" t="inlineStr">
        <is>
          <t>West</t>
        </is>
      </c>
      <c r="D581" s="4" t="inlineStr">
        <is>
          <t>SKU097</t>
        </is>
      </c>
      <c r="E581" s="4" t="inlineStr">
        <is>
          <t>Pain Balm 50g</t>
        </is>
      </c>
      <c r="F581" s="4" t="inlineStr">
        <is>
          <t>OTC Pharma &amp; Wellness</t>
        </is>
      </c>
      <c r="G581" s="4" t="inlineStr">
        <is>
          <t>C</t>
        </is>
      </c>
      <c r="H581" s="11" t="n">
        <v>157</v>
      </c>
      <c r="I581" s="4" t="n">
        <v>31</v>
      </c>
      <c r="J581" s="13">
        <f>IF(I581&gt;0,H581/I581,"")</f>
        <v/>
      </c>
      <c r="K581" s="4">
        <f>IF(I581&lt;=0,"NO DEMAND",IF(H581=0,"STOCKOUT",IF(J581&lt;Config!$B$5,"CRITICAL",IF(J581&lt;Config!$B$6,"LOW",IF(J581&gt;Config!$B$7,"EXCESS","HEALTHY")))))</f>
        <v/>
      </c>
      <c r="L581" s="11" t="n">
        <v>68</v>
      </c>
      <c r="M581" s="11" t="n">
        <v>91</v>
      </c>
      <c r="N581" s="11">
        <f>H581*L581</f>
        <v/>
      </c>
      <c r="O581" s="11">
        <f>IF(I581&gt;0,I581*(M581-L581),0)</f>
        <v/>
      </c>
      <c r="P581" s="11" t="n">
        <v>0</v>
      </c>
    </row>
    <row r="582">
      <c r="A582" s="4" t="inlineStr">
        <is>
          <t>WH05</t>
        </is>
      </c>
      <c r="B582" s="4" t="inlineStr">
        <is>
          <t>Pune DC</t>
        </is>
      </c>
      <c r="C582" s="4" t="inlineStr">
        <is>
          <t>West</t>
        </is>
      </c>
      <c r="D582" s="4" t="inlineStr">
        <is>
          <t>SKU098</t>
        </is>
      </c>
      <c r="E582" s="4" t="inlineStr">
        <is>
          <t>Bandage Pack</t>
        </is>
      </c>
      <c r="F582" s="4" t="inlineStr">
        <is>
          <t>OTC Pharma &amp; Wellness</t>
        </is>
      </c>
      <c r="G582" s="4" t="inlineStr">
        <is>
          <t>C</t>
        </is>
      </c>
      <c r="H582" s="11" t="n">
        <v>1886</v>
      </c>
      <c r="I582" s="4" t="n">
        <v>305.25</v>
      </c>
      <c r="J582" s="13">
        <f>IF(I582&gt;0,H582/I582,"")</f>
        <v/>
      </c>
      <c r="K582" s="4">
        <f>IF(I582&lt;=0,"NO DEMAND",IF(H582=0,"STOCKOUT",IF(J582&lt;Config!$B$5,"CRITICAL",IF(J582&lt;Config!$B$6,"LOW",IF(J582&gt;Config!$B$7,"EXCESS","HEALTHY")))))</f>
        <v/>
      </c>
      <c r="L582" s="11" t="n">
        <v>49</v>
      </c>
      <c r="M582" s="11" t="n">
        <v>66</v>
      </c>
      <c r="N582" s="11">
        <f>H582*L582</f>
        <v/>
      </c>
      <c r="O582" s="11">
        <f>IF(I582&gt;0,I582*(M582-L582),0)</f>
        <v/>
      </c>
      <c r="P582" s="11" t="n">
        <v>0</v>
      </c>
    </row>
    <row r="583">
      <c r="A583" s="4" t="inlineStr">
        <is>
          <t>WH05</t>
        </is>
      </c>
      <c r="B583" s="4" t="inlineStr">
        <is>
          <t>Pune DC</t>
        </is>
      </c>
      <c r="C583" s="4" t="inlineStr">
        <is>
          <t>West</t>
        </is>
      </c>
      <c r="D583" s="4" t="inlineStr">
        <is>
          <t>SKU099</t>
        </is>
      </c>
      <c r="E583" s="4" t="inlineStr">
        <is>
          <t>Digital Thermometer</t>
        </is>
      </c>
      <c r="F583" s="4" t="inlineStr">
        <is>
          <t>OTC Pharma &amp; Wellness</t>
        </is>
      </c>
      <c r="G583" s="4" t="inlineStr">
        <is>
          <t>B</t>
        </is>
      </c>
      <c r="H583" s="11" t="n">
        <v>950</v>
      </c>
      <c r="I583" s="4" t="n">
        <v>491.25</v>
      </c>
      <c r="J583" s="13">
        <f>IF(I583&gt;0,H583/I583,"")</f>
        <v/>
      </c>
      <c r="K583" s="4">
        <f>IF(I583&lt;=0,"NO DEMAND",IF(H583=0,"STOCKOUT",IF(J583&lt;Config!$B$5,"CRITICAL",IF(J583&lt;Config!$B$6,"LOW",IF(J583&gt;Config!$B$7,"EXCESS","HEALTHY")))))</f>
        <v/>
      </c>
      <c r="L583" s="11" t="n">
        <v>88</v>
      </c>
      <c r="M583" s="11" t="n">
        <v>112</v>
      </c>
      <c r="N583" s="11">
        <f>H583*L583</f>
        <v/>
      </c>
      <c r="O583" s="11">
        <f>IF(I583&gt;0,I583*(M583-L583),0)</f>
        <v/>
      </c>
      <c r="P583" s="11" t="n">
        <v>2748</v>
      </c>
    </row>
    <row r="584">
      <c r="A584" s="4" t="inlineStr">
        <is>
          <t>WH05</t>
        </is>
      </c>
      <c r="B584" s="4" t="inlineStr">
        <is>
          <t>Pune DC</t>
        </is>
      </c>
      <c r="C584" s="4" t="inlineStr">
        <is>
          <t>West</t>
        </is>
      </c>
      <c r="D584" s="4" t="inlineStr">
        <is>
          <t>SKU100</t>
        </is>
      </c>
      <c r="E584" s="4" t="inlineStr">
        <is>
          <t>Glucose Powder 500g</t>
        </is>
      </c>
      <c r="F584" s="4" t="inlineStr">
        <is>
          <t>OTC Pharma &amp; Wellness</t>
        </is>
      </c>
      <c r="G584" s="4" t="inlineStr">
        <is>
          <t>C</t>
        </is>
      </c>
      <c r="H584" s="11" t="n">
        <v>288</v>
      </c>
      <c r="I584" s="4" t="n">
        <v>122.5</v>
      </c>
      <c r="J584" s="13">
        <f>IF(I584&gt;0,H584/I584,"")</f>
        <v/>
      </c>
      <c r="K584" s="4">
        <f>IF(I584&lt;=0,"NO DEMAND",IF(H584=0,"STOCKOUT",IF(J584&lt;Config!$B$5,"CRITICAL",IF(J584&lt;Config!$B$6,"LOW",IF(J584&gt;Config!$B$7,"EXCESS","HEALTHY")))))</f>
        <v/>
      </c>
      <c r="L584" s="11" t="n">
        <v>32</v>
      </c>
      <c r="M584" s="11" t="n">
        <v>42</v>
      </c>
      <c r="N584" s="11">
        <f>H584*L584</f>
        <v/>
      </c>
      <c r="O584" s="11">
        <f>IF(I584&gt;0,I584*(M584-L584),0)</f>
        <v/>
      </c>
      <c r="P584" s="11" t="n">
        <v>564</v>
      </c>
    </row>
    <row r="585">
      <c r="A585" s="4" t="inlineStr">
        <is>
          <t>WH05</t>
        </is>
      </c>
      <c r="B585" s="4" t="inlineStr">
        <is>
          <t>Pune DC</t>
        </is>
      </c>
      <c r="C585" s="4" t="inlineStr">
        <is>
          <t>West</t>
        </is>
      </c>
      <c r="D585" s="4" t="inlineStr">
        <is>
          <t>SKU101</t>
        </is>
      </c>
      <c r="E585" s="4" t="inlineStr">
        <is>
          <t>Vitamin C 30s</t>
        </is>
      </c>
      <c r="F585" s="4" t="inlineStr">
        <is>
          <t>OTC Pharma &amp; Wellness</t>
        </is>
      </c>
      <c r="G585" s="4" t="inlineStr">
        <is>
          <t>B</t>
        </is>
      </c>
      <c r="H585" s="11" t="n">
        <v>231</v>
      </c>
      <c r="I585" s="4" t="n">
        <v>199.75</v>
      </c>
      <c r="J585" s="13">
        <f>IF(I585&gt;0,H585/I585,"")</f>
        <v/>
      </c>
      <c r="K585" s="4">
        <f>IF(I585&lt;=0,"NO DEMAND",IF(H585=0,"STOCKOUT",IF(J585&lt;Config!$B$5,"CRITICAL",IF(J585&lt;Config!$B$6,"LOW",IF(J585&gt;Config!$B$7,"EXCESS","HEALTHY")))))</f>
        <v/>
      </c>
      <c r="L585" s="11" t="n">
        <v>176</v>
      </c>
      <c r="M585" s="11" t="n">
        <v>237</v>
      </c>
      <c r="N585" s="11">
        <f>H585*L585</f>
        <v/>
      </c>
      <c r="O585" s="11">
        <f>IF(I585&gt;0,I585*(M585-L585),0)</f>
        <v/>
      </c>
      <c r="P585" s="11" t="n">
        <v>828</v>
      </c>
    </row>
    <row r="586">
      <c r="A586" s="4" t="inlineStr">
        <is>
          <t>WH05</t>
        </is>
      </c>
      <c r="B586" s="4" t="inlineStr">
        <is>
          <t>Pune DC</t>
        </is>
      </c>
      <c r="C586" s="4" t="inlineStr">
        <is>
          <t>West</t>
        </is>
      </c>
      <c r="D586" s="4" t="inlineStr">
        <is>
          <t>SKU102</t>
        </is>
      </c>
      <c r="E586" s="4" t="inlineStr">
        <is>
          <t>Eye Drops 10ml</t>
        </is>
      </c>
      <c r="F586" s="4" t="inlineStr">
        <is>
          <t>OTC Pharma &amp; Wellness</t>
        </is>
      </c>
      <c r="G586" s="4" t="inlineStr">
        <is>
          <t>C</t>
        </is>
      </c>
      <c r="H586" s="11" t="n">
        <v>270</v>
      </c>
      <c r="I586" s="4" t="n">
        <v>427</v>
      </c>
      <c r="J586" s="13">
        <f>IF(I586&gt;0,H586/I586,"")</f>
        <v/>
      </c>
      <c r="K586" s="4">
        <f>IF(I586&lt;=0,"NO DEMAND",IF(H586=0,"STOCKOUT",IF(J586&lt;Config!$B$5,"CRITICAL",IF(J586&lt;Config!$B$6,"LOW",IF(J586&gt;Config!$B$7,"EXCESS","HEALTHY")))))</f>
        <v/>
      </c>
      <c r="L586" s="11" t="n">
        <v>72</v>
      </c>
      <c r="M586" s="11" t="n">
        <v>92</v>
      </c>
      <c r="N586" s="11">
        <f>H586*L586</f>
        <v/>
      </c>
      <c r="O586" s="11">
        <f>IF(I586&gt;0,I586*(M586-L586),0)</f>
        <v/>
      </c>
      <c r="P586" s="11" t="n">
        <v>1476</v>
      </c>
    </row>
    <row r="587">
      <c r="A587" s="4" t="inlineStr">
        <is>
          <t>WH05</t>
        </is>
      </c>
      <c r="B587" s="4" t="inlineStr">
        <is>
          <t>Pune DC</t>
        </is>
      </c>
      <c r="C587" s="4" t="inlineStr">
        <is>
          <t>West</t>
        </is>
      </c>
      <c r="D587" s="4" t="inlineStr">
        <is>
          <t>SKU103</t>
        </is>
      </c>
      <c r="E587" s="4" t="inlineStr">
        <is>
          <t>Zinc Tablets 20s</t>
        </is>
      </c>
      <c r="F587" s="4" t="inlineStr">
        <is>
          <t>OTC Pharma &amp; Wellness</t>
        </is>
      </c>
      <c r="G587" s="4" t="inlineStr">
        <is>
          <t>C</t>
        </is>
      </c>
      <c r="H587" s="11" t="n">
        <v>560</v>
      </c>
      <c r="I587" s="4" t="n">
        <v>114</v>
      </c>
      <c r="J587" s="13">
        <f>IF(I587&gt;0,H587/I587,"")</f>
        <v/>
      </c>
      <c r="K587" s="4">
        <f>IF(I587&lt;=0,"NO DEMAND",IF(H587=0,"STOCKOUT",IF(J587&lt;Config!$B$5,"CRITICAL",IF(J587&lt;Config!$B$6,"LOW",IF(J587&gt;Config!$B$7,"EXCESS","HEALTHY")))))</f>
        <v/>
      </c>
      <c r="L587" s="11" t="n">
        <v>169</v>
      </c>
      <c r="M587" s="11" t="n">
        <v>216</v>
      </c>
      <c r="N587" s="11">
        <f>H587*L587</f>
        <v/>
      </c>
      <c r="O587" s="11">
        <f>IF(I587&gt;0,I587*(M587-L587),0)</f>
        <v/>
      </c>
      <c r="P587" s="11" t="n">
        <v>0</v>
      </c>
    </row>
    <row r="588">
      <c r="A588" s="4" t="inlineStr">
        <is>
          <t>WH05</t>
        </is>
      </c>
      <c r="B588" s="4" t="inlineStr">
        <is>
          <t>Pune DC</t>
        </is>
      </c>
      <c r="C588" s="4" t="inlineStr">
        <is>
          <t>West</t>
        </is>
      </c>
      <c r="D588" s="4" t="inlineStr">
        <is>
          <t>SKU104</t>
        </is>
      </c>
      <c r="E588" s="4" t="inlineStr">
        <is>
          <t>Hand Sanitizer 500ml</t>
        </is>
      </c>
      <c r="F588" s="4" t="inlineStr">
        <is>
          <t>OTC Pharma &amp; Wellness</t>
        </is>
      </c>
      <c r="G588" s="4" t="inlineStr">
        <is>
          <t>C</t>
        </is>
      </c>
      <c r="H588" s="11" t="n">
        <v>846</v>
      </c>
      <c r="I588" s="4" t="n">
        <v>355.75</v>
      </c>
      <c r="J588" s="13">
        <f>IF(I588&gt;0,H588/I588,"")</f>
        <v/>
      </c>
      <c r="K588" s="4">
        <f>IF(I588&lt;=0,"NO DEMAND",IF(H588=0,"STOCKOUT",IF(J588&lt;Config!$B$5,"CRITICAL",IF(J588&lt;Config!$B$6,"LOW",IF(J588&gt;Config!$B$7,"EXCESS","HEALTHY")))))</f>
        <v/>
      </c>
      <c r="L588" s="11" t="n">
        <v>37</v>
      </c>
      <c r="M588" s="11" t="n">
        <v>48</v>
      </c>
      <c r="N588" s="11">
        <f>H588*L588</f>
        <v/>
      </c>
      <c r="O588" s="11">
        <f>IF(I588&gt;0,I588*(M588-L588),0)</f>
        <v/>
      </c>
      <c r="P588" s="11" t="n">
        <v>1440</v>
      </c>
    </row>
    <row r="589">
      <c r="A589" s="4" t="inlineStr">
        <is>
          <t>WH05</t>
        </is>
      </c>
      <c r="B589" s="4" t="inlineStr">
        <is>
          <t>Pune DC</t>
        </is>
      </c>
      <c r="C589" s="4" t="inlineStr">
        <is>
          <t>West</t>
        </is>
      </c>
      <c r="D589" s="4" t="inlineStr">
        <is>
          <t>SKU105</t>
        </is>
      </c>
      <c r="E589" s="4" t="inlineStr">
        <is>
          <t>Face Masks 50pk</t>
        </is>
      </c>
      <c r="F589" s="4" t="inlineStr">
        <is>
          <t>OTC Pharma &amp; Wellness</t>
        </is>
      </c>
      <c r="G589" s="4" t="inlineStr">
        <is>
          <t>C</t>
        </is>
      </c>
      <c r="H589" s="11" t="n">
        <v>730</v>
      </c>
      <c r="I589" s="4" t="n">
        <v>329.75</v>
      </c>
      <c r="J589" s="13">
        <f>IF(I589&gt;0,H589/I589,"")</f>
        <v/>
      </c>
      <c r="K589" s="4">
        <f>IF(I589&lt;=0,"NO DEMAND",IF(H589=0,"STOCKOUT",IF(J589&lt;Config!$B$5,"CRITICAL",IF(J589&lt;Config!$B$6,"LOW",IF(J589&gt;Config!$B$7,"EXCESS","HEALTHY")))))</f>
        <v/>
      </c>
      <c r="L589" s="11" t="n">
        <v>92</v>
      </c>
      <c r="M589" s="11" t="n">
        <v>121</v>
      </c>
      <c r="N589" s="11">
        <f>H589*L589</f>
        <v/>
      </c>
      <c r="O589" s="11">
        <f>IF(I589&gt;0,I589*(M589-L589),0)</f>
        <v/>
      </c>
      <c r="P589" s="11" t="n">
        <v>1488</v>
      </c>
    </row>
    <row r="590">
      <c r="A590" s="4" t="inlineStr">
        <is>
          <t>WH05</t>
        </is>
      </c>
      <c r="B590" s="4" t="inlineStr">
        <is>
          <t>Pune DC</t>
        </is>
      </c>
      <c r="C590" s="4" t="inlineStr">
        <is>
          <t>West</t>
        </is>
      </c>
      <c r="D590" s="4" t="inlineStr">
        <is>
          <t>SKU106</t>
        </is>
      </c>
      <c r="E590" s="4" t="inlineStr">
        <is>
          <t>Corrugated Box 12x12</t>
        </is>
      </c>
      <c r="F590" s="4" t="inlineStr">
        <is>
          <t>Packaging &amp; Supplies</t>
        </is>
      </c>
      <c r="G590" s="4" t="inlineStr">
        <is>
          <t>B</t>
        </is>
      </c>
      <c r="H590" s="11" t="n">
        <v>156</v>
      </c>
      <c r="I590" s="4" t="n">
        <v>176.5</v>
      </c>
      <c r="J590" s="13">
        <f>IF(I590&gt;0,H590/I590,"")</f>
        <v/>
      </c>
      <c r="K590" s="4">
        <f>IF(I590&lt;=0,"NO DEMAND",IF(H590=0,"STOCKOUT",IF(J590&lt;Config!$B$5,"CRITICAL",IF(J590&lt;Config!$B$6,"LOW",IF(J590&gt;Config!$B$7,"EXCESS","HEALTHY")))))</f>
        <v/>
      </c>
      <c r="L590" s="11" t="n">
        <v>400</v>
      </c>
      <c r="M590" s="11" t="n">
        <v>480</v>
      </c>
      <c r="N590" s="11">
        <f>H590*L590</f>
        <v/>
      </c>
      <c r="O590" s="11">
        <f>IF(I590&gt;0,I590*(M590-L590),0)</f>
        <v/>
      </c>
      <c r="P590" s="11" t="n">
        <v>620</v>
      </c>
    </row>
    <row r="591">
      <c r="A591" s="4" t="inlineStr">
        <is>
          <t>WH05</t>
        </is>
      </c>
      <c r="B591" s="4" t="inlineStr">
        <is>
          <t>Pune DC</t>
        </is>
      </c>
      <c r="C591" s="4" t="inlineStr">
        <is>
          <t>West</t>
        </is>
      </c>
      <c r="D591" s="4" t="inlineStr">
        <is>
          <t>SKU107</t>
        </is>
      </c>
      <c r="E591" s="4" t="inlineStr">
        <is>
          <t>Stretch Film 500mm</t>
        </is>
      </c>
      <c r="F591" s="4" t="inlineStr">
        <is>
          <t>Packaging &amp; Supplies</t>
        </is>
      </c>
      <c r="G591" s="4" t="inlineStr">
        <is>
          <t>A</t>
        </is>
      </c>
      <c r="H591" s="11" t="n">
        <v>0</v>
      </c>
      <c r="I591" s="4" t="n">
        <v>179.75</v>
      </c>
      <c r="J591" s="13">
        <f>IF(I591&gt;0,H591/I591,"")</f>
        <v/>
      </c>
      <c r="K591" s="4">
        <f>IF(I591&lt;=0,"NO DEMAND",IF(H591=0,"STOCKOUT",IF(J591&lt;Config!$B$5,"CRITICAL",IF(J591&lt;Config!$B$6,"LOW",IF(J591&gt;Config!$B$7,"EXCESS","HEALTHY")))))</f>
        <v/>
      </c>
      <c r="L591" s="11" t="n">
        <v>324</v>
      </c>
      <c r="M591" s="11" t="n">
        <v>383</v>
      </c>
      <c r="N591" s="11">
        <f>H591*L591</f>
        <v/>
      </c>
      <c r="O591" s="11">
        <f>IF(I591&gt;0,I591*(M591-L591),0)</f>
        <v/>
      </c>
      <c r="P591" s="11" t="n">
        <v>640</v>
      </c>
    </row>
    <row r="592">
      <c r="A592" s="4" t="inlineStr">
        <is>
          <t>WH05</t>
        </is>
      </c>
      <c r="B592" s="4" t="inlineStr">
        <is>
          <t>Pune DC</t>
        </is>
      </c>
      <c r="C592" s="4" t="inlineStr">
        <is>
          <t>West</t>
        </is>
      </c>
      <c r="D592" s="4" t="inlineStr">
        <is>
          <t>SKU108</t>
        </is>
      </c>
      <c r="E592" s="4" t="inlineStr">
        <is>
          <t>BOPP Tape 48mm</t>
        </is>
      </c>
      <c r="F592" s="4" t="inlineStr">
        <is>
          <t>Packaging &amp; Supplies</t>
        </is>
      </c>
      <c r="G592" s="4" t="inlineStr">
        <is>
          <t>A</t>
        </is>
      </c>
      <c r="H592" s="11" t="n">
        <v>135</v>
      </c>
      <c r="I592" s="4" t="n">
        <v>243.75</v>
      </c>
      <c r="J592" s="13">
        <f>IF(I592&gt;0,H592/I592,"")</f>
        <v/>
      </c>
      <c r="K592" s="4">
        <f>IF(I592&lt;=0,"NO DEMAND",IF(H592=0,"STOCKOUT",IF(J592&lt;Config!$B$5,"CRITICAL",IF(J592&lt;Config!$B$6,"LOW",IF(J592&gt;Config!$B$7,"EXCESS","HEALTHY")))))</f>
        <v/>
      </c>
      <c r="L592" s="11" t="n">
        <v>699</v>
      </c>
      <c r="M592" s="11" t="n">
        <v>822</v>
      </c>
      <c r="N592" s="11">
        <f>H592*L592</f>
        <v/>
      </c>
      <c r="O592" s="11">
        <f>IF(I592&gt;0,I592*(M592-L592),0)</f>
        <v/>
      </c>
      <c r="P592" s="11" t="n">
        <v>880</v>
      </c>
    </row>
    <row r="593">
      <c r="A593" s="4" t="inlineStr">
        <is>
          <t>WH05</t>
        </is>
      </c>
      <c r="B593" s="4" t="inlineStr">
        <is>
          <t>Pune DC</t>
        </is>
      </c>
      <c r="C593" s="4" t="inlineStr">
        <is>
          <t>West</t>
        </is>
      </c>
      <c r="D593" s="4" t="inlineStr">
        <is>
          <t>SKU109</t>
        </is>
      </c>
      <c r="E593" s="4" t="inlineStr">
        <is>
          <t>Bubble Wrap Roll</t>
        </is>
      </c>
      <c r="F593" s="4" t="inlineStr">
        <is>
          <t>Packaging &amp; Supplies</t>
        </is>
      </c>
      <c r="G593" s="4" t="inlineStr">
        <is>
          <t>C</t>
        </is>
      </c>
      <c r="H593" s="11" t="n">
        <v>1398</v>
      </c>
      <c r="I593" s="4" t="n">
        <v>277.75</v>
      </c>
      <c r="J593" s="13">
        <f>IF(I593&gt;0,H593/I593,"")</f>
        <v/>
      </c>
      <c r="K593" s="4">
        <f>IF(I593&lt;=0,"NO DEMAND",IF(H593=0,"STOCKOUT",IF(J593&lt;Config!$B$5,"CRITICAL",IF(J593&lt;Config!$B$6,"LOW",IF(J593&gt;Config!$B$7,"EXCESS","HEALTHY")))))</f>
        <v/>
      </c>
      <c r="L593" s="11" t="n">
        <v>68</v>
      </c>
      <c r="M593" s="11" t="n">
        <v>80</v>
      </c>
      <c r="N593" s="11">
        <f>H593*L593</f>
        <v/>
      </c>
      <c r="O593" s="11">
        <f>IF(I593&gt;0,I593*(M593-L593),0)</f>
        <v/>
      </c>
      <c r="P593" s="11" t="n">
        <v>0</v>
      </c>
    </row>
    <row r="594">
      <c r="A594" s="4" t="inlineStr">
        <is>
          <t>WH05</t>
        </is>
      </c>
      <c r="B594" s="4" t="inlineStr">
        <is>
          <t>Pune DC</t>
        </is>
      </c>
      <c r="C594" s="4" t="inlineStr">
        <is>
          <t>West</t>
        </is>
      </c>
      <c r="D594" s="4" t="inlineStr">
        <is>
          <t>SKU110</t>
        </is>
      </c>
      <c r="E594" s="4" t="inlineStr">
        <is>
          <t>Pallet Strapping Roll</t>
        </is>
      </c>
      <c r="F594" s="4" t="inlineStr">
        <is>
          <t>Packaging &amp; Supplies</t>
        </is>
      </c>
      <c r="G594" s="4" t="inlineStr">
        <is>
          <t>C</t>
        </is>
      </c>
      <c r="H594" s="11" t="n">
        <v>1226</v>
      </c>
      <c r="I594" s="4" t="n">
        <v>278.5</v>
      </c>
      <c r="J594" s="13">
        <f>IF(I594&gt;0,H594/I594,"")</f>
        <v/>
      </c>
      <c r="K594" s="4">
        <f>IF(I594&lt;=0,"NO DEMAND",IF(H594=0,"STOCKOUT",IF(J594&lt;Config!$B$5,"CRITICAL",IF(J594&lt;Config!$B$6,"LOW",IF(J594&gt;Config!$B$7,"EXCESS","HEALTHY")))))</f>
        <v/>
      </c>
      <c r="L594" s="11" t="n">
        <v>45</v>
      </c>
      <c r="M594" s="11" t="n">
        <v>53</v>
      </c>
      <c r="N594" s="11">
        <f>H594*L594</f>
        <v/>
      </c>
      <c r="O594" s="11">
        <f>IF(I594&gt;0,I594*(M594-L594),0)</f>
        <v/>
      </c>
      <c r="P594" s="11" t="n">
        <v>0</v>
      </c>
    </row>
    <row r="595">
      <c r="A595" s="4" t="inlineStr">
        <is>
          <t>WH05</t>
        </is>
      </c>
      <c r="B595" s="4" t="inlineStr">
        <is>
          <t>Pune DC</t>
        </is>
      </c>
      <c r="C595" s="4" t="inlineStr">
        <is>
          <t>West</t>
        </is>
      </c>
      <c r="D595" s="4" t="inlineStr">
        <is>
          <t>SKU111</t>
        </is>
      </c>
      <c r="E595" s="4" t="inlineStr">
        <is>
          <t>Shipping Labels 1000</t>
        </is>
      </c>
      <c r="F595" s="4" t="inlineStr">
        <is>
          <t>Packaging &amp; Supplies</t>
        </is>
      </c>
      <c r="G595" s="4" t="inlineStr">
        <is>
          <t>A</t>
        </is>
      </c>
      <c r="H595" s="11" t="n">
        <v>380</v>
      </c>
      <c r="I595" s="4" t="n">
        <v>219.75</v>
      </c>
      <c r="J595" s="13">
        <f>IF(I595&gt;0,H595/I595,"")</f>
        <v/>
      </c>
      <c r="K595" s="4">
        <f>IF(I595&lt;=0,"NO DEMAND",IF(H595=0,"STOCKOUT",IF(J595&lt;Config!$B$5,"CRITICAL",IF(J595&lt;Config!$B$6,"LOW",IF(J595&gt;Config!$B$7,"EXCESS","HEALTHY")))))</f>
        <v/>
      </c>
      <c r="L595" s="11" t="n">
        <v>617</v>
      </c>
      <c r="M595" s="11" t="n">
        <v>741</v>
      </c>
      <c r="N595" s="11">
        <f>H595*L595</f>
        <v/>
      </c>
      <c r="O595" s="11">
        <f>IF(I595&gt;0,I595*(M595-L595),0)</f>
        <v/>
      </c>
      <c r="P595" s="11" t="n">
        <v>1100</v>
      </c>
    </row>
    <row r="596">
      <c r="A596" s="4" t="inlineStr">
        <is>
          <t>WH05</t>
        </is>
      </c>
      <c r="B596" s="4" t="inlineStr">
        <is>
          <t>Pune DC</t>
        </is>
      </c>
      <c r="C596" s="4" t="inlineStr">
        <is>
          <t>West</t>
        </is>
      </c>
      <c r="D596" s="4" t="inlineStr">
        <is>
          <t>SKU112</t>
        </is>
      </c>
      <c r="E596" s="4" t="inlineStr">
        <is>
          <t>Poly Mailer 100pk</t>
        </is>
      </c>
      <c r="F596" s="4" t="inlineStr">
        <is>
          <t>Packaging &amp; Supplies</t>
        </is>
      </c>
      <c r="G596" s="4" t="inlineStr">
        <is>
          <t>C</t>
        </is>
      </c>
      <c r="H596" s="11" t="n">
        <v>215</v>
      </c>
      <c r="I596" s="4" t="n">
        <v>64.5</v>
      </c>
      <c r="J596" s="13">
        <f>IF(I596&gt;0,H596/I596,"")</f>
        <v/>
      </c>
      <c r="K596" s="4">
        <f>IF(I596&lt;=0,"NO DEMAND",IF(H596=0,"STOCKOUT",IF(J596&lt;Config!$B$5,"CRITICAL",IF(J596&lt;Config!$B$6,"LOW",IF(J596&gt;Config!$B$7,"EXCESS","HEALTHY")))))</f>
        <v/>
      </c>
      <c r="L596" s="11" t="n">
        <v>93</v>
      </c>
      <c r="M596" s="11" t="n">
        <v>113</v>
      </c>
      <c r="N596" s="11">
        <f>H596*L596</f>
        <v/>
      </c>
      <c r="O596" s="11">
        <f>IF(I596&gt;0,I596*(M596-L596),0)</f>
        <v/>
      </c>
      <c r="P596" s="11" t="n">
        <v>0</v>
      </c>
    </row>
    <row r="597">
      <c r="A597" s="4" t="inlineStr">
        <is>
          <t>WH05</t>
        </is>
      </c>
      <c r="B597" s="4" t="inlineStr">
        <is>
          <t>Pune DC</t>
        </is>
      </c>
      <c r="C597" s="4" t="inlineStr">
        <is>
          <t>West</t>
        </is>
      </c>
      <c r="D597" s="4" t="inlineStr">
        <is>
          <t>SKU113</t>
        </is>
      </c>
      <c r="E597" s="4" t="inlineStr">
        <is>
          <t>Void Fill Paper</t>
        </is>
      </c>
      <c r="F597" s="4" t="inlineStr">
        <is>
          <t>Packaging &amp; Supplies</t>
        </is>
      </c>
      <c r="G597" s="4" t="inlineStr">
        <is>
          <t>C</t>
        </is>
      </c>
      <c r="H597" s="11" t="n">
        <v>486</v>
      </c>
      <c r="I597" s="4" t="n">
        <v>187.5</v>
      </c>
      <c r="J597" s="13">
        <f>IF(I597&gt;0,H597/I597,"")</f>
        <v/>
      </c>
      <c r="K597" s="4">
        <f>IF(I597&lt;=0,"NO DEMAND",IF(H597=0,"STOCKOUT",IF(J597&lt;Config!$B$5,"CRITICAL",IF(J597&lt;Config!$B$6,"LOW",IF(J597&gt;Config!$B$7,"EXCESS","HEALTHY")))))</f>
        <v/>
      </c>
      <c r="L597" s="11" t="n">
        <v>89</v>
      </c>
      <c r="M597" s="11" t="n">
        <v>108</v>
      </c>
      <c r="N597" s="11">
        <f>H597*L597</f>
        <v/>
      </c>
      <c r="O597" s="11">
        <f>IF(I597&gt;0,I597*(M597-L597),0)</f>
        <v/>
      </c>
      <c r="P597" s="11" t="n">
        <v>580</v>
      </c>
    </row>
    <row r="598">
      <c r="A598" s="4" t="inlineStr">
        <is>
          <t>WH05</t>
        </is>
      </c>
      <c r="B598" s="4" t="inlineStr">
        <is>
          <t>Pune DC</t>
        </is>
      </c>
      <c r="C598" s="4" t="inlineStr">
        <is>
          <t>West</t>
        </is>
      </c>
      <c r="D598" s="4" t="inlineStr">
        <is>
          <t>SKU114</t>
        </is>
      </c>
      <c r="E598" s="4" t="inlineStr">
        <is>
          <t>Cable Ties 100pk</t>
        </is>
      </c>
      <c r="F598" s="4" t="inlineStr">
        <is>
          <t>Packaging &amp; Supplies</t>
        </is>
      </c>
      <c r="G598" s="4" t="inlineStr">
        <is>
          <t>C</t>
        </is>
      </c>
      <c r="H598" s="11" t="n">
        <v>0</v>
      </c>
      <c r="I598" s="4" t="n">
        <v>305.25</v>
      </c>
      <c r="J598" s="13">
        <f>IF(I598&gt;0,H598/I598,"")</f>
        <v/>
      </c>
      <c r="K598" s="4">
        <f>IF(I598&lt;=0,"NO DEMAND",IF(H598=0,"STOCKOUT",IF(J598&lt;Config!$B$5,"CRITICAL",IF(J598&lt;Config!$B$6,"LOW",IF(J598&gt;Config!$B$7,"EXCESS","HEALTHY")))))</f>
        <v/>
      </c>
      <c r="L598" s="11" t="n">
        <v>66</v>
      </c>
      <c r="M598" s="11" t="n">
        <v>80</v>
      </c>
      <c r="N598" s="11">
        <f>H598*L598</f>
        <v/>
      </c>
      <c r="O598" s="11">
        <f>IF(I598&gt;0,I598*(M598-L598),0)</f>
        <v/>
      </c>
      <c r="P598" s="11" t="n">
        <v>800</v>
      </c>
    </row>
    <row r="599">
      <c r="A599" s="4" t="inlineStr">
        <is>
          <t>WH05</t>
        </is>
      </c>
      <c r="B599" s="4" t="inlineStr">
        <is>
          <t>Pune DC</t>
        </is>
      </c>
      <c r="C599" s="4" t="inlineStr">
        <is>
          <t>West</t>
        </is>
      </c>
      <c r="D599" s="4" t="inlineStr">
        <is>
          <t>SKU115</t>
        </is>
      </c>
      <c r="E599" s="4" t="inlineStr">
        <is>
          <t>Edge Protectors 50pk</t>
        </is>
      </c>
      <c r="F599" s="4" t="inlineStr">
        <is>
          <t>Packaging &amp; Supplies</t>
        </is>
      </c>
      <c r="G599" s="4" t="inlineStr">
        <is>
          <t>C</t>
        </is>
      </c>
      <c r="H599" s="11" t="n">
        <v>259</v>
      </c>
      <c r="I599" s="4" t="n">
        <v>115</v>
      </c>
      <c r="J599" s="13">
        <f>IF(I599&gt;0,H599/I599,"")</f>
        <v/>
      </c>
      <c r="K599" s="4">
        <f>IF(I599&lt;=0,"NO DEMAND",IF(H599=0,"STOCKOUT",IF(J599&lt;Config!$B$5,"CRITICAL",IF(J599&lt;Config!$B$6,"LOW",IF(J599&gt;Config!$B$7,"EXCESS","HEALTHY")))))</f>
        <v/>
      </c>
      <c r="L599" s="11" t="n">
        <v>52</v>
      </c>
      <c r="M599" s="11" t="n">
        <v>63</v>
      </c>
      <c r="N599" s="11">
        <f>H599*L599</f>
        <v/>
      </c>
      <c r="O599" s="11">
        <f>IF(I599&gt;0,I599*(M599-L599),0)</f>
        <v/>
      </c>
      <c r="P599" s="11" t="n">
        <v>560</v>
      </c>
    </row>
    <row r="600">
      <c r="A600" s="4" t="inlineStr">
        <is>
          <t>WH05</t>
        </is>
      </c>
      <c r="B600" s="4" t="inlineStr">
        <is>
          <t>Pune DC</t>
        </is>
      </c>
      <c r="C600" s="4" t="inlineStr">
        <is>
          <t>West</t>
        </is>
      </c>
      <c r="D600" s="4" t="inlineStr">
        <is>
          <t>SKU116</t>
        </is>
      </c>
      <c r="E600" s="4" t="inlineStr">
        <is>
          <t>Pallet Wrap Hand</t>
        </is>
      </c>
      <c r="F600" s="4" t="inlineStr">
        <is>
          <t>Packaging &amp; Supplies</t>
        </is>
      </c>
      <c r="G600" s="4" t="inlineStr">
        <is>
          <t>C</t>
        </is>
      </c>
      <c r="H600" s="11" t="n">
        <v>168</v>
      </c>
      <c r="I600" s="4" t="n">
        <v>61</v>
      </c>
      <c r="J600" s="13">
        <f>IF(I600&gt;0,H600/I600,"")</f>
        <v/>
      </c>
      <c r="K600" s="4">
        <f>IF(I600&lt;=0,"NO DEMAND",IF(H600=0,"STOCKOUT",IF(J600&lt;Config!$B$5,"CRITICAL",IF(J600&lt;Config!$B$6,"LOW",IF(J600&gt;Config!$B$7,"EXCESS","HEALTHY")))))</f>
        <v/>
      </c>
      <c r="L600" s="11" t="n">
        <v>39</v>
      </c>
      <c r="M600" s="11" t="n">
        <v>47</v>
      </c>
      <c r="N600" s="11">
        <f>H600*L600</f>
        <v/>
      </c>
      <c r="O600" s="11">
        <f>IF(I600&gt;0,I600*(M600-L600),0)</f>
        <v/>
      </c>
      <c r="P600" s="11" t="n">
        <v>0</v>
      </c>
    </row>
    <row r="601">
      <c r="A601" s="4" t="inlineStr">
        <is>
          <t>WH05</t>
        </is>
      </c>
      <c r="B601" s="4" t="inlineStr">
        <is>
          <t>Pune DC</t>
        </is>
      </c>
      <c r="C601" s="4" t="inlineStr">
        <is>
          <t>West</t>
        </is>
      </c>
      <c r="D601" s="4" t="inlineStr">
        <is>
          <t>SKU117</t>
        </is>
      </c>
      <c r="E601" s="4" t="inlineStr">
        <is>
          <t>Courier Bags 100pk</t>
        </is>
      </c>
      <c r="F601" s="4" t="inlineStr">
        <is>
          <t>Packaging &amp; Supplies</t>
        </is>
      </c>
      <c r="G601" s="4" t="inlineStr">
        <is>
          <t>C</t>
        </is>
      </c>
      <c r="H601" s="11" t="n">
        <v>1385</v>
      </c>
      <c r="I601" s="4" t="n">
        <v>473.25</v>
      </c>
      <c r="J601" s="13">
        <f>IF(I601&gt;0,H601/I601,"")</f>
        <v/>
      </c>
      <c r="K601" s="4">
        <f>IF(I601&lt;=0,"NO DEMAND",IF(H601=0,"STOCKOUT",IF(J601&lt;Config!$B$5,"CRITICAL",IF(J601&lt;Config!$B$6,"LOW",IF(J601&gt;Config!$B$7,"EXCESS","HEALTHY")))))</f>
        <v/>
      </c>
      <c r="L601" s="11" t="n">
        <v>21</v>
      </c>
      <c r="M601" s="11" t="n">
        <v>25</v>
      </c>
      <c r="N601" s="11">
        <f>H601*L601</f>
        <v/>
      </c>
      <c r="O601" s="11">
        <f>IF(I601&gt;0,I601*(M601-L601),0)</f>
        <v/>
      </c>
      <c r="P601" s="11" t="n">
        <v>0</v>
      </c>
    </row>
    <row r="602">
      <c r="A602" s="4" t="inlineStr">
        <is>
          <t>WH05</t>
        </is>
      </c>
      <c r="B602" s="4" t="inlineStr">
        <is>
          <t>Pune DC</t>
        </is>
      </c>
      <c r="C602" s="4" t="inlineStr">
        <is>
          <t>West</t>
        </is>
      </c>
      <c r="D602" s="4" t="inlineStr">
        <is>
          <t>SKU118</t>
        </is>
      </c>
      <c r="E602" s="4" t="inlineStr">
        <is>
          <t>Thermal Paper Roll 20pk</t>
        </is>
      </c>
      <c r="F602" s="4" t="inlineStr">
        <is>
          <t>Packaging &amp; Supplies</t>
        </is>
      </c>
      <c r="G602" s="4" t="inlineStr">
        <is>
          <t>B</t>
        </is>
      </c>
      <c r="H602" s="11" t="n">
        <v>421</v>
      </c>
      <c r="I602" s="4" t="n">
        <v>237</v>
      </c>
      <c r="J602" s="13">
        <f>IF(I602&gt;0,H602/I602,"")</f>
        <v/>
      </c>
      <c r="K602" s="4">
        <f>IF(I602&lt;=0,"NO DEMAND",IF(H602=0,"STOCKOUT",IF(J602&lt;Config!$B$5,"CRITICAL",IF(J602&lt;Config!$B$6,"LOW",IF(J602&gt;Config!$B$7,"EXCESS","HEALTHY")))))</f>
        <v/>
      </c>
      <c r="L602" s="11" t="n">
        <v>181</v>
      </c>
      <c r="M602" s="11" t="n">
        <v>218</v>
      </c>
      <c r="N602" s="11">
        <f>H602*L602</f>
        <v/>
      </c>
      <c r="O602" s="11">
        <f>IF(I602&gt;0,I602*(M602-L602),0)</f>
        <v/>
      </c>
      <c r="P602" s="11" t="n">
        <v>920</v>
      </c>
    </row>
    <row r="603">
      <c r="A603" s="4" t="inlineStr">
        <is>
          <t>WH05</t>
        </is>
      </c>
      <c r="B603" s="4" t="inlineStr">
        <is>
          <t>Pune DC</t>
        </is>
      </c>
      <c r="C603" s="4" t="inlineStr">
        <is>
          <t>West</t>
        </is>
      </c>
      <c r="D603" s="4" t="inlineStr">
        <is>
          <t>SKU119</t>
        </is>
      </c>
      <c r="E603" s="4" t="inlineStr">
        <is>
          <t>Safety Gloves 12pk</t>
        </is>
      </c>
      <c r="F603" s="4" t="inlineStr">
        <is>
          <t>Packaging &amp; Supplies</t>
        </is>
      </c>
      <c r="G603" s="4" t="inlineStr">
        <is>
          <t>A</t>
        </is>
      </c>
      <c r="H603" s="11" t="n">
        <v>0</v>
      </c>
      <c r="I603" s="4" t="n">
        <v>277.75</v>
      </c>
      <c r="J603" s="13">
        <f>IF(I603&gt;0,H603/I603,"")</f>
        <v/>
      </c>
      <c r="K603" s="4">
        <f>IF(I603&lt;=0,"NO DEMAND",IF(H603=0,"STOCKOUT",IF(J603&lt;Config!$B$5,"CRITICAL",IF(J603&lt;Config!$B$6,"LOW",IF(J603&gt;Config!$B$7,"EXCESS","HEALTHY")))))</f>
        <v/>
      </c>
      <c r="L603" s="11" t="n">
        <v>420</v>
      </c>
      <c r="M603" s="11" t="n">
        <v>511</v>
      </c>
      <c r="N603" s="11">
        <f>H603*L603</f>
        <v/>
      </c>
      <c r="O603" s="11">
        <f>IF(I603&gt;0,I603*(M603-L603),0)</f>
        <v/>
      </c>
      <c r="P603" s="11" t="n">
        <v>1140</v>
      </c>
    </row>
    <row r="604">
      <c r="A604" s="4" t="inlineStr">
        <is>
          <t>WH05</t>
        </is>
      </c>
      <c r="B604" s="4" t="inlineStr">
        <is>
          <t>Pune DC</t>
        </is>
      </c>
      <c r="C604" s="4" t="inlineStr">
        <is>
          <t>West</t>
        </is>
      </c>
      <c r="D604" s="4" t="inlineStr">
        <is>
          <t>SKU120</t>
        </is>
      </c>
      <c r="E604" s="4" t="inlineStr">
        <is>
          <t>Cutter Blades 10pk</t>
        </is>
      </c>
      <c r="F604" s="4" t="inlineStr">
        <is>
          <t>Packaging &amp; Supplies</t>
        </is>
      </c>
      <c r="G604" s="4" t="inlineStr">
        <is>
          <t>C</t>
        </is>
      </c>
      <c r="H604" s="11" t="n">
        <v>574</v>
      </c>
      <c r="I604" s="4" t="n">
        <v>87.75</v>
      </c>
      <c r="J604" s="13">
        <f>IF(I604&gt;0,H604/I604,"")</f>
        <v/>
      </c>
      <c r="K604" s="4">
        <f>IF(I604&lt;=0,"NO DEMAND",IF(H604=0,"STOCKOUT",IF(J604&lt;Config!$B$5,"CRITICAL",IF(J604&lt;Config!$B$6,"LOW",IF(J604&gt;Config!$B$7,"EXCESS","HEALTHY")))))</f>
        <v/>
      </c>
      <c r="L604" s="11" t="n">
        <v>30</v>
      </c>
      <c r="M604" s="11" t="n">
        <v>35</v>
      </c>
      <c r="N604" s="11">
        <f>H604*L604</f>
        <v/>
      </c>
      <c r="O604" s="11">
        <f>IF(I604&gt;0,I604*(M604-L604),0)</f>
        <v/>
      </c>
      <c r="P604" s="11" t="n">
        <v>0</v>
      </c>
    </row>
    <row r="605">
      <c r="A605" s="4" t="inlineStr">
        <is>
          <t>WH06</t>
        </is>
      </c>
      <c r="B605" s="4" t="inlineStr">
        <is>
          <t>Ahmedabad DC</t>
        </is>
      </c>
      <c r="C605" s="4" t="inlineStr">
        <is>
          <t>West</t>
        </is>
      </c>
      <c r="D605" s="4" t="inlineStr">
        <is>
          <t>SKU001</t>
        </is>
      </c>
      <c r="E605" s="4" t="inlineStr">
        <is>
          <t>Atta 5kg</t>
        </is>
      </c>
      <c r="F605" s="4" t="inlineStr">
        <is>
          <t>Packaged Staples</t>
        </is>
      </c>
      <c r="G605" s="4" t="inlineStr">
        <is>
          <t>A</t>
        </is>
      </c>
      <c r="H605" s="11" t="n">
        <v>535</v>
      </c>
      <c r="I605" s="4" t="n">
        <v>163.25</v>
      </c>
      <c r="J605" s="13">
        <f>IF(I605&gt;0,H605/I605,"")</f>
        <v/>
      </c>
      <c r="K605" s="4">
        <f>IF(I605&lt;=0,"NO DEMAND",IF(H605=0,"STOCKOUT",IF(J605&lt;Config!$B$5,"CRITICAL",IF(J605&lt;Config!$B$6,"LOW",IF(J605&gt;Config!$B$7,"EXCESS","HEALTHY")))))</f>
        <v/>
      </c>
      <c r="L605" s="11" t="n">
        <v>152</v>
      </c>
      <c r="M605" s="11" t="n">
        <v>168</v>
      </c>
      <c r="N605" s="11">
        <f>H605*L605</f>
        <v/>
      </c>
      <c r="O605" s="11">
        <f>IF(I605&gt;0,I605*(M605-L605),0)</f>
        <v/>
      </c>
      <c r="P605" s="11" t="n">
        <v>0</v>
      </c>
    </row>
    <row r="606">
      <c r="A606" s="4" t="inlineStr">
        <is>
          <t>WH06</t>
        </is>
      </c>
      <c r="B606" s="4" t="inlineStr">
        <is>
          <t>Ahmedabad DC</t>
        </is>
      </c>
      <c r="C606" s="4" t="inlineStr">
        <is>
          <t>West</t>
        </is>
      </c>
      <c r="D606" s="4" t="inlineStr">
        <is>
          <t>SKU002</t>
        </is>
      </c>
      <c r="E606" s="4" t="inlineStr">
        <is>
          <t>Basmati Rice 5kg</t>
        </is>
      </c>
      <c r="F606" s="4" t="inlineStr">
        <is>
          <t>Packaged Staples</t>
        </is>
      </c>
      <c r="G606" s="4" t="inlineStr">
        <is>
          <t>B</t>
        </is>
      </c>
      <c r="H606" s="11" t="n">
        <v>1342</v>
      </c>
      <c r="I606" s="4" t="n">
        <v>185.75</v>
      </c>
      <c r="J606" s="13">
        <f>IF(I606&gt;0,H606/I606,"")</f>
        <v/>
      </c>
      <c r="K606" s="4">
        <f>IF(I606&lt;=0,"NO DEMAND",IF(H606=0,"STOCKOUT",IF(J606&lt;Config!$B$5,"CRITICAL",IF(J606&lt;Config!$B$6,"LOW",IF(J606&gt;Config!$B$7,"EXCESS","HEALTHY")))))</f>
        <v/>
      </c>
      <c r="L606" s="11" t="n">
        <v>59</v>
      </c>
      <c r="M606" s="11" t="n">
        <v>66</v>
      </c>
      <c r="N606" s="11">
        <f>H606*L606</f>
        <v/>
      </c>
      <c r="O606" s="11">
        <f>IF(I606&gt;0,I606*(M606-L606),0)</f>
        <v/>
      </c>
      <c r="P606" s="11" t="n">
        <v>0</v>
      </c>
    </row>
    <row r="607">
      <c r="A607" s="4" t="inlineStr">
        <is>
          <t>WH06</t>
        </is>
      </c>
      <c r="B607" s="4" t="inlineStr">
        <is>
          <t>Ahmedabad DC</t>
        </is>
      </c>
      <c r="C607" s="4" t="inlineStr">
        <is>
          <t>West</t>
        </is>
      </c>
      <c r="D607" s="4" t="inlineStr">
        <is>
          <t>SKU003</t>
        </is>
      </c>
      <c r="E607" s="4" t="inlineStr">
        <is>
          <t>Toor Dal 1kg</t>
        </is>
      </c>
      <c r="F607" s="4" t="inlineStr">
        <is>
          <t>Packaged Staples</t>
        </is>
      </c>
      <c r="G607" s="4" t="inlineStr">
        <is>
          <t>A</t>
        </is>
      </c>
      <c r="H607" s="11" t="n">
        <v>1106</v>
      </c>
      <c r="I607" s="4" t="n">
        <v>1318.75</v>
      </c>
      <c r="J607" s="13">
        <f>IF(I607&gt;0,H607/I607,"")</f>
        <v/>
      </c>
      <c r="K607" s="4">
        <f>IF(I607&lt;=0,"NO DEMAND",IF(H607=0,"STOCKOUT",IF(J607&lt;Config!$B$5,"CRITICAL",IF(J607&lt;Config!$B$6,"LOW",IF(J607&gt;Config!$B$7,"EXCESS","HEALTHY")))))</f>
        <v/>
      </c>
      <c r="L607" s="11" t="n">
        <v>61</v>
      </c>
      <c r="M607" s="11" t="n">
        <v>69</v>
      </c>
      <c r="N607" s="11">
        <f>H607*L607</f>
        <v/>
      </c>
      <c r="O607" s="11">
        <f>IF(I607&gt;0,I607*(M607-L607),0)</f>
        <v/>
      </c>
      <c r="P607" s="11" t="n">
        <v>0</v>
      </c>
    </row>
    <row r="608">
      <c r="A608" s="4" t="inlineStr">
        <is>
          <t>WH06</t>
        </is>
      </c>
      <c r="B608" s="4" t="inlineStr">
        <is>
          <t>Ahmedabad DC</t>
        </is>
      </c>
      <c r="C608" s="4" t="inlineStr">
        <is>
          <t>West</t>
        </is>
      </c>
      <c r="D608" s="4" t="inlineStr">
        <is>
          <t>SKU004</t>
        </is>
      </c>
      <c r="E608" s="4" t="inlineStr">
        <is>
          <t>Moong Dal 1kg</t>
        </is>
      </c>
      <c r="F608" s="4" t="inlineStr">
        <is>
          <t>Packaged Staples</t>
        </is>
      </c>
      <c r="G608" s="4" t="inlineStr">
        <is>
          <t>B</t>
        </is>
      </c>
      <c r="H608" s="11" t="n">
        <v>2058</v>
      </c>
      <c r="I608" s="4" t="n">
        <v>1097.25</v>
      </c>
      <c r="J608" s="13">
        <f>IF(I608&gt;0,H608/I608,"")</f>
        <v/>
      </c>
      <c r="K608" s="4">
        <f>IF(I608&lt;=0,"NO DEMAND",IF(H608=0,"STOCKOUT",IF(J608&lt;Config!$B$5,"CRITICAL",IF(J608&lt;Config!$B$6,"LOW",IF(J608&gt;Config!$B$7,"EXCESS","HEALTHY")))))</f>
        <v/>
      </c>
      <c r="L608" s="11" t="n">
        <v>80</v>
      </c>
      <c r="M608" s="11" t="n">
        <v>91</v>
      </c>
      <c r="N608" s="11">
        <f>H608*L608</f>
        <v/>
      </c>
      <c r="O608" s="11">
        <f>IF(I608&gt;0,I608*(M608-L608),0)</f>
        <v/>
      </c>
      <c r="P608" s="11" t="n">
        <v>0</v>
      </c>
    </row>
    <row r="609">
      <c r="A609" s="4" t="inlineStr">
        <is>
          <t>WH06</t>
        </is>
      </c>
      <c r="B609" s="4" t="inlineStr">
        <is>
          <t>Ahmedabad DC</t>
        </is>
      </c>
      <c r="C609" s="4" t="inlineStr">
        <is>
          <t>West</t>
        </is>
      </c>
      <c r="D609" s="4" t="inlineStr">
        <is>
          <t>SKU005</t>
        </is>
      </c>
      <c r="E609" s="4" t="inlineStr">
        <is>
          <t>Sunflower Oil 1L</t>
        </is>
      </c>
      <c r="F609" s="4" t="inlineStr">
        <is>
          <t>Packaged Staples</t>
        </is>
      </c>
      <c r="G609" s="4" t="inlineStr">
        <is>
          <t>A</t>
        </is>
      </c>
      <c r="H609" s="11" t="n">
        <v>2758</v>
      </c>
      <c r="I609" s="4" t="n">
        <v>724.75</v>
      </c>
      <c r="J609" s="13">
        <f>IF(I609&gt;0,H609/I609,"")</f>
        <v/>
      </c>
      <c r="K609" s="4">
        <f>IF(I609&lt;=0,"NO DEMAND",IF(H609=0,"STOCKOUT",IF(J609&lt;Config!$B$5,"CRITICAL",IF(J609&lt;Config!$B$6,"LOW",IF(J609&gt;Config!$B$7,"EXCESS","HEALTHY")))))</f>
        <v/>
      </c>
      <c r="L609" s="11" t="n">
        <v>245</v>
      </c>
      <c r="M609" s="11" t="n">
        <v>273</v>
      </c>
      <c r="N609" s="11">
        <f>H609*L609</f>
        <v/>
      </c>
      <c r="O609" s="11">
        <f>IF(I609&gt;0,I609*(M609-L609),0)</f>
        <v/>
      </c>
      <c r="P609" s="11" t="n">
        <v>0</v>
      </c>
    </row>
    <row r="610">
      <c r="A610" s="4" t="inlineStr">
        <is>
          <t>WH06</t>
        </is>
      </c>
      <c r="B610" s="4" t="inlineStr">
        <is>
          <t>Ahmedabad DC</t>
        </is>
      </c>
      <c r="C610" s="4" t="inlineStr">
        <is>
          <t>West</t>
        </is>
      </c>
      <c r="D610" s="4" t="inlineStr">
        <is>
          <t>SKU006</t>
        </is>
      </c>
      <c r="E610" s="4" t="inlineStr">
        <is>
          <t>Mustard Oil 1L</t>
        </is>
      </c>
      <c r="F610" s="4" t="inlineStr">
        <is>
          <t>Packaged Staples</t>
        </is>
      </c>
      <c r="G610" s="4" t="inlineStr">
        <is>
          <t>B</t>
        </is>
      </c>
      <c r="H610" s="11" t="n">
        <v>476</v>
      </c>
      <c r="I610" s="4" t="n">
        <v>462.75</v>
      </c>
      <c r="J610" s="13">
        <f>IF(I610&gt;0,H610/I610,"")</f>
        <v/>
      </c>
      <c r="K610" s="4">
        <f>IF(I610&lt;=0,"NO DEMAND",IF(H610=0,"STOCKOUT",IF(J610&lt;Config!$B$5,"CRITICAL",IF(J610&lt;Config!$B$6,"LOW",IF(J610&gt;Config!$B$7,"EXCESS","HEALTHY")))))</f>
        <v/>
      </c>
      <c r="L610" s="11" t="n">
        <v>68</v>
      </c>
      <c r="M610" s="11" t="n">
        <v>77</v>
      </c>
      <c r="N610" s="11">
        <f>H610*L610</f>
        <v/>
      </c>
      <c r="O610" s="11">
        <f>IF(I610&gt;0,I610*(M610-L610),0)</f>
        <v/>
      </c>
      <c r="P610" s="11" t="n">
        <v>1488</v>
      </c>
    </row>
    <row r="611">
      <c r="A611" s="4" t="inlineStr">
        <is>
          <t>WH06</t>
        </is>
      </c>
      <c r="B611" s="4" t="inlineStr">
        <is>
          <t>Ahmedabad DC</t>
        </is>
      </c>
      <c r="C611" s="4" t="inlineStr">
        <is>
          <t>West</t>
        </is>
      </c>
      <c r="D611" s="4" t="inlineStr">
        <is>
          <t>SKU007</t>
        </is>
      </c>
      <c r="E611" s="4" t="inlineStr">
        <is>
          <t>Sugar 1kg</t>
        </is>
      </c>
      <c r="F611" s="4" t="inlineStr">
        <is>
          <t>Packaged Staples</t>
        </is>
      </c>
      <c r="G611" s="4" t="inlineStr">
        <is>
          <t>A</t>
        </is>
      </c>
      <c r="H611" s="11" t="n">
        <v>550</v>
      </c>
      <c r="I611" s="4" t="n">
        <v>857.5</v>
      </c>
      <c r="J611" s="13">
        <f>IF(I611&gt;0,H611/I611,"")</f>
        <v/>
      </c>
      <c r="K611" s="4">
        <f>IF(I611&lt;=0,"NO DEMAND",IF(H611=0,"STOCKOUT",IF(J611&lt;Config!$B$5,"CRITICAL",IF(J611&lt;Config!$B$6,"LOW",IF(J611&gt;Config!$B$7,"EXCESS","HEALTHY")))))</f>
        <v/>
      </c>
      <c r="L611" s="11" t="n">
        <v>129</v>
      </c>
      <c r="M611" s="11" t="n">
        <v>143</v>
      </c>
      <c r="N611" s="11">
        <f>H611*L611</f>
        <v/>
      </c>
      <c r="O611" s="11">
        <f>IF(I611&gt;0,I611*(M611-L611),0)</f>
        <v/>
      </c>
      <c r="P611" s="11" t="n">
        <v>3684</v>
      </c>
    </row>
    <row r="612">
      <c r="A612" s="4" t="inlineStr">
        <is>
          <t>WH06</t>
        </is>
      </c>
      <c r="B612" s="4" t="inlineStr">
        <is>
          <t>Ahmedabad DC</t>
        </is>
      </c>
      <c r="C612" s="4" t="inlineStr">
        <is>
          <t>West</t>
        </is>
      </c>
      <c r="D612" s="4" t="inlineStr">
        <is>
          <t>SKU008</t>
        </is>
      </c>
      <c r="E612" s="4" t="inlineStr">
        <is>
          <t>Iodized Salt 1kg</t>
        </is>
      </c>
      <c r="F612" s="4" t="inlineStr">
        <is>
          <t>Packaged Staples</t>
        </is>
      </c>
      <c r="G612" s="4" t="inlineStr">
        <is>
          <t>A</t>
        </is>
      </c>
      <c r="H612" s="11" t="n">
        <v>1558</v>
      </c>
      <c r="I612" s="4" t="n">
        <v>201</v>
      </c>
      <c r="J612" s="13">
        <f>IF(I612&gt;0,H612/I612,"")</f>
        <v/>
      </c>
      <c r="K612" s="4">
        <f>IF(I612&lt;=0,"NO DEMAND",IF(H612=0,"STOCKOUT",IF(J612&lt;Config!$B$5,"CRITICAL",IF(J612&lt;Config!$B$6,"LOW",IF(J612&gt;Config!$B$7,"EXCESS","HEALTHY")))))</f>
        <v/>
      </c>
      <c r="L612" s="11" t="n">
        <v>140</v>
      </c>
      <c r="M612" s="11" t="n">
        <v>156</v>
      </c>
      <c r="N612" s="11">
        <f>H612*L612</f>
        <v/>
      </c>
      <c r="O612" s="11">
        <f>IF(I612&gt;0,I612*(M612-L612),0)</f>
        <v/>
      </c>
      <c r="P612" s="11" t="n">
        <v>0</v>
      </c>
    </row>
    <row r="613">
      <c r="A613" s="4" t="inlineStr">
        <is>
          <t>WH06</t>
        </is>
      </c>
      <c r="B613" s="4" t="inlineStr">
        <is>
          <t>Ahmedabad DC</t>
        </is>
      </c>
      <c r="C613" s="4" t="inlineStr">
        <is>
          <t>West</t>
        </is>
      </c>
      <c r="D613" s="4" t="inlineStr">
        <is>
          <t>SKU009</t>
        </is>
      </c>
      <c r="E613" s="4" t="inlineStr">
        <is>
          <t>Tea Leaves 500g</t>
        </is>
      </c>
      <c r="F613" s="4" t="inlineStr">
        <is>
          <t>Packaged Staples</t>
        </is>
      </c>
      <c r="G613" s="4" t="inlineStr">
        <is>
          <t>A</t>
        </is>
      </c>
      <c r="H613" s="11" t="n">
        <v>2411</v>
      </c>
      <c r="I613" s="4" t="n">
        <v>725.75</v>
      </c>
      <c r="J613" s="13">
        <f>IF(I613&gt;0,H613/I613,"")</f>
        <v/>
      </c>
      <c r="K613" s="4">
        <f>IF(I613&lt;=0,"NO DEMAND",IF(H613=0,"STOCKOUT",IF(J613&lt;Config!$B$5,"CRITICAL",IF(J613&lt;Config!$B$6,"LOW",IF(J613&gt;Config!$B$7,"EXCESS","HEALTHY")))))</f>
        <v/>
      </c>
      <c r="L613" s="11" t="n">
        <v>103</v>
      </c>
      <c r="M613" s="11" t="n">
        <v>116</v>
      </c>
      <c r="N613" s="11">
        <f>H613*L613</f>
        <v/>
      </c>
      <c r="O613" s="11">
        <f>IF(I613&gt;0,I613*(M613-L613),0)</f>
        <v/>
      </c>
      <c r="P613" s="11" t="n">
        <v>0</v>
      </c>
    </row>
    <row r="614">
      <c r="A614" s="4" t="inlineStr">
        <is>
          <t>WH06</t>
        </is>
      </c>
      <c r="B614" s="4" t="inlineStr">
        <is>
          <t>Ahmedabad DC</t>
        </is>
      </c>
      <c r="C614" s="4" t="inlineStr">
        <is>
          <t>West</t>
        </is>
      </c>
      <c r="D614" s="4" t="inlineStr">
        <is>
          <t>SKU010</t>
        </is>
      </c>
      <c r="E614" s="4" t="inlineStr">
        <is>
          <t>Poha 500g</t>
        </is>
      </c>
      <c r="F614" s="4" t="inlineStr">
        <is>
          <t>Packaged Staples</t>
        </is>
      </c>
      <c r="G614" s="4" t="inlineStr">
        <is>
          <t>B</t>
        </is>
      </c>
      <c r="H614" s="11" t="n">
        <v>2339</v>
      </c>
      <c r="I614" s="4" t="n">
        <v>426.25</v>
      </c>
      <c r="J614" s="13">
        <f>IF(I614&gt;0,H614/I614,"")</f>
        <v/>
      </c>
      <c r="K614" s="4">
        <f>IF(I614&lt;=0,"NO DEMAND",IF(H614=0,"STOCKOUT",IF(J614&lt;Config!$B$5,"CRITICAL",IF(J614&lt;Config!$B$6,"LOW",IF(J614&gt;Config!$B$7,"EXCESS","HEALTHY")))))</f>
        <v/>
      </c>
      <c r="L614" s="11" t="n">
        <v>40</v>
      </c>
      <c r="M614" s="11" t="n">
        <v>45</v>
      </c>
      <c r="N614" s="11">
        <f>H614*L614</f>
        <v/>
      </c>
      <c r="O614" s="11">
        <f>IF(I614&gt;0,I614*(M614-L614),0)</f>
        <v/>
      </c>
      <c r="P614" s="11" t="n">
        <v>0</v>
      </c>
    </row>
    <row r="615">
      <c r="A615" s="4" t="inlineStr">
        <is>
          <t>WH06</t>
        </is>
      </c>
      <c r="B615" s="4" t="inlineStr">
        <is>
          <t>Ahmedabad DC</t>
        </is>
      </c>
      <c r="C615" s="4" t="inlineStr">
        <is>
          <t>West</t>
        </is>
      </c>
      <c r="D615" s="4" t="inlineStr">
        <is>
          <t>SKU011</t>
        </is>
      </c>
      <c r="E615" s="4" t="inlineStr">
        <is>
          <t>Besan 1kg</t>
        </is>
      </c>
      <c r="F615" s="4" t="inlineStr">
        <is>
          <t>Packaged Staples</t>
        </is>
      </c>
      <c r="G615" s="4" t="inlineStr">
        <is>
          <t>A</t>
        </is>
      </c>
      <c r="H615" s="11" t="n">
        <v>1536</v>
      </c>
      <c r="I615" s="4" t="n">
        <v>806.25</v>
      </c>
      <c r="J615" s="13">
        <f>IF(I615&gt;0,H615/I615,"")</f>
        <v/>
      </c>
      <c r="K615" s="4">
        <f>IF(I615&lt;=0,"NO DEMAND",IF(H615=0,"STOCKOUT",IF(J615&lt;Config!$B$5,"CRITICAL",IF(J615&lt;Config!$B$6,"LOW",IF(J615&gt;Config!$B$7,"EXCESS","HEALTHY")))))</f>
        <v/>
      </c>
      <c r="L615" s="11" t="n">
        <v>110</v>
      </c>
      <c r="M615" s="11" t="n">
        <v>122</v>
      </c>
      <c r="N615" s="11">
        <f>H615*L615</f>
        <v/>
      </c>
      <c r="O615" s="11">
        <f>IF(I615&gt;0,I615*(M615-L615),0)</f>
        <v/>
      </c>
      <c r="P615" s="11" t="n">
        <v>0</v>
      </c>
    </row>
    <row r="616">
      <c r="A616" s="4" t="inlineStr">
        <is>
          <t>WH06</t>
        </is>
      </c>
      <c r="B616" s="4" t="inlineStr">
        <is>
          <t>Ahmedabad DC</t>
        </is>
      </c>
      <c r="C616" s="4" t="inlineStr">
        <is>
          <t>West</t>
        </is>
      </c>
      <c r="D616" s="4" t="inlineStr">
        <is>
          <t>SKU012</t>
        </is>
      </c>
      <c r="E616" s="4" t="inlineStr">
        <is>
          <t>Rajma 1kg</t>
        </is>
      </c>
      <c r="F616" s="4" t="inlineStr">
        <is>
          <t>Packaged Staples</t>
        </is>
      </c>
      <c r="G616" s="4" t="inlineStr">
        <is>
          <t>B</t>
        </is>
      </c>
      <c r="H616" s="11" t="n">
        <v>1494</v>
      </c>
      <c r="I616" s="4" t="n">
        <v>778.5</v>
      </c>
      <c r="J616" s="13">
        <f>IF(I616&gt;0,H616/I616,"")</f>
        <v/>
      </c>
      <c r="K616" s="4">
        <f>IF(I616&lt;=0,"NO DEMAND",IF(H616=0,"STOCKOUT",IF(J616&lt;Config!$B$5,"CRITICAL",IF(J616&lt;Config!$B$6,"LOW",IF(J616&gt;Config!$B$7,"EXCESS","HEALTHY")))))</f>
        <v/>
      </c>
      <c r="L616" s="11" t="n">
        <v>45</v>
      </c>
      <c r="M616" s="11" t="n">
        <v>50</v>
      </c>
      <c r="N616" s="11">
        <f>H616*L616</f>
        <v/>
      </c>
      <c r="O616" s="11">
        <f>IF(I616&gt;0,I616*(M616-L616),0)</f>
        <v/>
      </c>
      <c r="P616" s="11" t="n">
        <v>2412</v>
      </c>
    </row>
    <row r="617">
      <c r="A617" s="4" t="inlineStr">
        <is>
          <t>WH06</t>
        </is>
      </c>
      <c r="B617" s="4" t="inlineStr">
        <is>
          <t>Ahmedabad DC</t>
        </is>
      </c>
      <c r="C617" s="4" t="inlineStr">
        <is>
          <t>West</t>
        </is>
      </c>
      <c r="D617" s="4" t="inlineStr">
        <is>
          <t>SKU013</t>
        </is>
      </c>
      <c r="E617" s="4" t="inlineStr">
        <is>
          <t>Jaggery 1kg</t>
        </is>
      </c>
      <c r="F617" s="4" t="inlineStr">
        <is>
          <t>Packaged Staples</t>
        </is>
      </c>
      <c r="G617" s="4" t="inlineStr">
        <is>
          <t>A</t>
        </is>
      </c>
      <c r="H617" s="11" t="n">
        <v>0</v>
      </c>
      <c r="I617" s="4" t="n">
        <v>922.5</v>
      </c>
      <c r="J617" s="13">
        <f>IF(I617&gt;0,H617/I617,"")</f>
        <v/>
      </c>
      <c r="K617" s="4">
        <f>IF(I617&lt;=0,"NO DEMAND",IF(H617=0,"STOCKOUT",IF(J617&lt;Config!$B$5,"CRITICAL",IF(J617&lt;Config!$B$6,"LOW",IF(J617&gt;Config!$B$7,"EXCESS","HEALTHY")))))</f>
        <v/>
      </c>
      <c r="L617" s="11" t="n">
        <v>125</v>
      </c>
      <c r="M617" s="11" t="n">
        <v>140</v>
      </c>
      <c r="N617" s="11">
        <f>H617*L617</f>
        <v/>
      </c>
      <c r="O617" s="11">
        <f>IF(I617&gt;0,I617*(M617-L617),0)</f>
        <v/>
      </c>
      <c r="P617" s="11" t="n">
        <v>2508</v>
      </c>
    </row>
    <row r="618">
      <c r="A618" s="4" t="inlineStr">
        <is>
          <t>WH06</t>
        </is>
      </c>
      <c r="B618" s="4" t="inlineStr">
        <is>
          <t>Ahmedabad DC</t>
        </is>
      </c>
      <c r="C618" s="4" t="inlineStr">
        <is>
          <t>West</t>
        </is>
      </c>
      <c r="D618" s="4" t="inlineStr">
        <is>
          <t>SKU014</t>
        </is>
      </c>
      <c r="E618" s="4" t="inlineStr">
        <is>
          <t>Ghee 500ml</t>
        </is>
      </c>
      <c r="F618" s="4" t="inlineStr">
        <is>
          <t>Packaged Staples</t>
        </is>
      </c>
      <c r="G618" s="4" t="inlineStr">
        <is>
          <t>A</t>
        </is>
      </c>
      <c r="H618" s="11" t="n">
        <v>1136</v>
      </c>
      <c r="I618" s="4" t="n">
        <v>422.25</v>
      </c>
      <c r="J618" s="13">
        <f>IF(I618&gt;0,H618/I618,"")</f>
        <v/>
      </c>
      <c r="K618" s="4">
        <f>IF(I618&lt;=0,"NO DEMAND",IF(H618=0,"STOCKOUT",IF(J618&lt;Config!$B$5,"CRITICAL",IF(J618&lt;Config!$B$6,"LOW",IF(J618&gt;Config!$B$7,"EXCESS","HEALTHY")))))</f>
        <v/>
      </c>
      <c r="L618" s="11" t="n">
        <v>240</v>
      </c>
      <c r="M618" s="11" t="n">
        <v>270</v>
      </c>
      <c r="N618" s="11">
        <f>H618*L618</f>
        <v/>
      </c>
      <c r="O618" s="11">
        <f>IF(I618&gt;0,I618*(M618-L618),0)</f>
        <v/>
      </c>
      <c r="P618" s="11" t="n">
        <v>0</v>
      </c>
    </row>
    <row r="619">
      <c r="A619" s="4" t="inlineStr">
        <is>
          <t>WH06</t>
        </is>
      </c>
      <c r="B619" s="4" t="inlineStr">
        <is>
          <t>Ahmedabad DC</t>
        </is>
      </c>
      <c r="C619" s="4" t="inlineStr">
        <is>
          <t>West</t>
        </is>
      </c>
      <c r="D619" s="4" t="inlineStr">
        <is>
          <t>SKU015</t>
        </is>
      </c>
      <c r="E619" s="4" t="inlineStr">
        <is>
          <t>Suji 1kg</t>
        </is>
      </c>
      <c r="F619" s="4" t="inlineStr">
        <is>
          <t>Packaged Staples</t>
        </is>
      </c>
      <c r="G619" s="4" t="inlineStr">
        <is>
          <t>C</t>
        </is>
      </c>
      <c r="H619" s="11" t="n">
        <v>1117</v>
      </c>
      <c r="I619" s="4" t="n">
        <v>494.75</v>
      </c>
      <c r="J619" s="13">
        <f>IF(I619&gt;0,H619/I619,"")</f>
        <v/>
      </c>
      <c r="K619" s="4">
        <f>IF(I619&lt;=0,"NO DEMAND",IF(H619=0,"STOCKOUT",IF(J619&lt;Config!$B$5,"CRITICAL",IF(J619&lt;Config!$B$6,"LOW",IF(J619&gt;Config!$B$7,"EXCESS","HEALTHY")))))</f>
        <v/>
      </c>
      <c r="L619" s="11" t="n">
        <v>42</v>
      </c>
      <c r="M619" s="11" t="n">
        <v>47</v>
      </c>
      <c r="N619" s="11">
        <f>H619*L619</f>
        <v/>
      </c>
      <c r="O619" s="11">
        <f>IF(I619&gt;0,I619*(M619-L619),0)</f>
        <v/>
      </c>
      <c r="P619" s="11" t="n">
        <v>0</v>
      </c>
    </row>
    <row r="620">
      <c r="A620" s="4" t="inlineStr">
        <is>
          <t>WH06</t>
        </is>
      </c>
      <c r="B620" s="4" t="inlineStr">
        <is>
          <t>Ahmedabad DC</t>
        </is>
      </c>
      <c r="C620" s="4" t="inlineStr">
        <is>
          <t>West</t>
        </is>
      </c>
      <c r="D620" s="4" t="inlineStr">
        <is>
          <t>SKU016</t>
        </is>
      </c>
      <c r="E620" s="4" t="inlineStr">
        <is>
          <t>Cola 750ml</t>
        </is>
      </c>
      <c r="F620" s="4" t="inlineStr">
        <is>
          <t>Beverages</t>
        </is>
      </c>
      <c r="G620" s="4" t="inlineStr">
        <is>
          <t>C</t>
        </is>
      </c>
      <c r="H620" s="11" t="n">
        <v>1272</v>
      </c>
      <c r="I620" s="4" t="n">
        <v>484.5</v>
      </c>
      <c r="J620" s="13">
        <f>IF(I620&gt;0,H620/I620,"")</f>
        <v/>
      </c>
      <c r="K620" s="4">
        <f>IF(I620&lt;=0,"NO DEMAND",IF(H620=0,"STOCKOUT",IF(J620&lt;Config!$B$5,"CRITICAL",IF(J620&lt;Config!$B$6,"LOW",IF(J620&gt;Config!$B$7,"EXCESS","HEALTHY")))))</f>
        <v/>
      </c>
      <c r="L620" s="11" t="n">
        <v>41</v>
      </c>
      <c r="M620" s="11" t="n">
        <v>47</v>
      </c>
      <c r="N620" s="11">
        <f>H620*L620</f>
        <v/>
      </c>
      <c r="O620" s="11">
        <f>IF(I620&gt;0,I620*(M620-L620),0)</f>
        <v/>
      </c>
      <c r="P620" s="11" t="n">
        <v>1776</v>
      </c>
    </row>
    <row r="621">
      <c r="A621" s="4" t="inlineStr">
        <is>
          <t>WH06</t>
        </is>
      </c>
      <c r="B621" s="4" t="inlineStr">
        <is>
          <t>Ahmedabad DC</t>
        </is>
      </c>
      <c r="C621" s="4" t="inlineStr">
        <is>
          <t>West</t>
        </is>
      </c>
      <c r="D621" s="4" t="inlineStr">
        <is>
          <t>SKU017</t>
        </is>
      </c>
      <c r="E621" s="4" t="inlineStr">
        <is>
          <t>Lemon Soda 600ml</t>
        </is>
      </c>
      <c r="F621" s="4" t="inlineStr">
        <is>
          <t>Beverages</t>
        </is>
      </c>
      <c r="G621" s="4" t="inlineStr">
        <is>
          <t>B</t>
        </is>
      </c>
      <c r="H621" s="11" t="n">
        <v>3290</v>
      </c>
      <c r="I621" s="4" t="n">
        <v>1110.25</v>
      </c>
      <c r="J621" s="13">
        <f>IF(I621&gt;0,H621/I621,"")</f>
        <v/>
      </c>
      <c r="K621" s="4">
        <f>IF(I621&lt;=0,"NO DEMAND",IF(H621=0,"STOCKOUT",IF(J621&lt;Config!$B$5,"CRITICAL",IF(J621&lt;Config!$B$6,"LOW",IF(J621&gt;Config!$B$7,"EXCESS","HEALTHY")))))</f>
        <v/>
      </c>
      <c r="L621" s="11" t="n">
        <v>42</v>
      </c>
      <c r="M621" s="11" t="n">
        <v>50</v>
      </c>
      <c r="N621" s="11">
        <f>H621*L621</f>
        <v/>
      </c>
      <c r="O621" s="11">
        <f>IF(I621&gt;0,I621*(M621-L621),0)</f>
        <v/>
      </c>
      <c r="P621" s="11" t="n">
        <v>0</v>
      </c>
    </row>
    <row r="622">
      <c r="A622" s="4" t="inlineStr">
        <is>
          <t>WH06</t>
        </is>
      </c>
      <c r="B622" s="4" t="inlineStr">
        <is>
          <t>Ahmedabad DC</t>
        </is>
      </c>
      <c r="C622" s="4" t="inlineStr">
        <is>
          <t>West</t>
        </is>
      </c>
      <c r="D622" s="4" t="inlineStr">
        <is>
          <t>SKU018</t>
        </is>
      </c>
      <c r="E622" s="4" t="inlineStr">
        <is>
          <t>Mango Drink 1L</t>
        </is>
      </c>
      <c r="F622" s="4" t="inlineStr">
        <is>
          <t>Beverages</t>
        </is>
      </c>
      <c r="G622" s="4" t="inlineStr">
        <is>
          <t>A</t>
        </is>
      </c>
      <c r="H622" s="11" t="n">
        <v>3335</v>
      </c>
      <c r="I622" s="4" t="n">
        <v>2004.5</v>
      </c>
      <c r="J622" s="13">
        <f>IF(I622&gt;0,H622/I622,"")</f>
        <v/>
      </c>
      <c r="K622" s="4">
        <f>IF(I622&lt;=0,"NO DEMAND",IF(H622=0,"STOCKOUT",IF(J622&lt;Config!$B$5,"CRITICAL",IF(J622&lt;Config!$B$6,"LOW",IF(J622&gt;Config!$B$7,"EXCESS","HEALTHY")))))</f>
        <v/>
      </c>
      <c r="L622" s="11" t="n">
        <v>101</v>
      </c>
      <c r="M622" s="11" t="n">
        <v>117</v>
      </c>
      <c r="N622" s="11">
        <f>H622*L622</f>
        <v/>
      </c>
      <c r="O622" s="11">
        <f>IF(I622&gt;0,I622*(M622-L622),0)</f>
        <v/>
      </c>
      <c r="P622" s="11" t="n">
        <v>0</v>
      </c>
    </row>
    <row r="623">
      <c r="A623" s="4" t="inlineStr">
        <is>
          <t>WH06</t>
        </is>
      </c>
      <c r="B623" s="4" t="inlineStr">
        <is>
          <t>Ahmedabad DC</t>
        </is>
      </c>
      <c r="C623" s="4" t="inlineStr">
        <is>
          <t>West</t>
        </is>
      </c>
      <c r="D623" s="4" t="inlineStr">
        <is>
          <t>SKU019</t>
        </is>
      </c>
      <c r="E623" s="4" t="inlineStr">
        <is>
          <t>Packaged Water 1L</t>
        </is>
      </c>
      <c r="F623" s="4" t="inlineStr">
        <is>
          <t>Beverages</t>
        </is>
      </c>
      <c r="G623" s="4" t="inlineStr">
        <is>
          <t>A</t>
        </is>
      </c>
      <c r="H623" s="11" t="n">
        <v>587</v>
      </c>
      <c r="I623" s="4" t="n">
        <v>838</v>
      </c>
      <c r="J623" s="13">
        <f>IF(I623&gt;0,H623/I623,"")</f>
        <v/>
      </c>
      <c r="K623" s="4">
        <f>IF(I623&lt;=0,"NO DEMAND",IF(H623=0,"STOCKOUT",IF(J623&lt;Config!$B$5,"CRITICAL",IF(J623&lt;Config!$B$6,"LOW",IF(J623&gt;Config!$B$7,"EXCESS","HEALTHY")))))</f>
        <v/>
      </c>
      <c r="L623" s="11" t="n">
        <v>57</v>
      </c>
      <c r="M623" s="11" t="n">
        <v>68</v>
      </c>
      <c r="N623" s="11">
        <f>H623*L623</f>
        <v/>
      </c>
      <c r="O623" s="11">
        <f>IF(I623&gt;0,I623*(M623-L623),0)</f>
        <v/>
      </c>
      <c r="P623" s="11" t="n">
        <v>2976</v>
      </c>
    </row>
    <row r="624">
      <c r="A624" s="4" t="inlineStr">
        <is>
          <t>WH06</t>
        </is>
      </c>
      <c r="B624" s="4" t="inlineStr">
        <is>
          <t>Ahmedabad DC</t>
        </is>
      </c>
      <c r="C624" s="4" t="inlineStr">
        <is>
          <t>West</t>
        </is>
      </c>
      <c r="D624" s="4" t="inlineStr">
        <is>
          <t>SKU020</t>
        </is>
      </c>
      <c r="E624" s="4" t="inlineStr">
        <is>
          <t>Energy Drink 250ml</t>
        </is>
      </c>
      <c r="F624" s="4" t="inlineStr">
        <is>
          <t>Beverages</t>
        </is>
      </c>
      <c r="G624" s="4" t="inlineStr">
        <is>
          <t>B</t>
        </is>
      </c>
      <c r="H624" s="11" t="n">
        <v>457</v>
      </c>
      <c r="I624" s="4" t="n">
        <v>1653.75</v>
      </c>
      <c r="J624" s="13">
        <f>IF(I624&gt;0,H624/I624,"")</f>
        <v/>
      </c>
      <c r="K624" s="4">
        <f>IF(I624&lt;=0,"NO DEMAND",IF(H624=0,"STOCKOUT",IF(J624&lt;Config!$B$5,"CRITICAL",IF(J624&lt;Config!$B$6,"LOW",IF(J624&gt;Config!$B$7,"EXCESS","HEALTHY")))))</f>
        <v/>
      </c>
      <c r="L624" s="11" t="n">
        <v>24</v>
      </c>
      <c r="M624" s="11" t="n">
        <v>28</v>
      </c>
      <c r="N624" s="11">
        <f>H624*L624</f>
        <v/>
      </c>
      <c r="O624" s="11">
        <f>IF(I624&gt;0,I624*(M624-L624),0)</f>
        <v/>
      </c>
      <c r="P624" s="11" t="n">
        <v>6648</v>
      </c>
    </row>
    <row r="625">
      <c r="A625" s="4" t="inlineStr">
        <is>
          <t>WH06</t>
        </is>
      </c>
      <c r="B625" s="4" t="inlineStr">
        <is>
          <t>Ahmedabad DC</t>
        </is>
      </c>
      <c r="C625" s="4" t="inlineStr">
        <is>
          <t>West</t>
        </is>
      </c>
      <c r="D625" s="4" t="inlineStr">
        <is>
          <t>SKU021</t>
        </is>
      </c>
      <c r="E625" s="4" t="inlineStr">
        <is>
          <t>Fruit Juice 1L</t>
        </is>
      </c>
      <c r="F625" s="4" t="inlineStr">
        <is>
          <t>Beverages</t>
        </is>
      </c>
      <c r="G625" s="4" t="inlineStr">
        <is>
          <t>A</t>
        </is>
      </c>
      <c r="H625" s="11" t="n">
        <v>789</v>
      </c>
      <c r="I625" s="4" t="n">
        <v>1008.5</v>
      </c>
      <c r="J625" s="13">
        <f>IF(I625&gt;0,H625/I625,"")</f>
        <v/>
      </c>
      <c r="K625" s="4">
        <f>IF(I625&lt;=0,"NO DEMAND",IF(H625=0,"STOCKOUT",IF(J625&lt;Config!$B$5,"CRITICAL",IF(J625&lt;Config!$B$6,"LOW",IF(J625&gt;Config!$B$7,"EXCESS","HEALTHY")))))</f>
        <v/>
      </c>
      <c r="L625" s="11" t="n">
        <v>54</v>
      </c>
      <c r="M625" s="11" t="n">
        <v>63</v>
      </c>
      <c r="N625" s="11">
        <f>H625*L625</f>
        <v/>
      </c>
      <c r="O625" s="11">
        <f>IF(I625&gt;0,I625*(M625-L625),0)</f>
        <v/>
      </c>
      <c r="P625" s="11" t="n">
        <v>3768</v>
      </c>
    </row>
    <row r="626">
      <c r="A626" s="4" t="inlineStr">
        <is>
          <t>WH06</t>
        </is>
      </c>
      <c r="B626" s="4" t="inlineStr">
        <is>
          <t>Ahmedabad DC</t>
        </is>
      </c>
      <c r="C626" s="4" t="inlineStr">
        <is>
          <t>West</t>
        </is>
      </c>
      <c r="D626" s="4" t="inlineStr">
        <is>
          <t>SKU022</t>
        </is>
      </c>
      <c r="E626" s="4" t="inlineStr">
        <is>
          <t>Iced Tea 500ml</t>
        </is>
      </c>
      <c r="F626" s="4" t="inlineStr">
        <is>
          <t>Beverages</t>
        </is>
      </c>
      <c r="G626" s="4" t="inlineStr">
        <is>
          <t>A</t>
        </is>
      </c>
      <c r="H626" s="11" t="n">
        <v>3495</v>
      </c>
      <c r="I626" s="4" t="n">
        <v>979</v>
      </c>
      <c r="J626" s="13">
        <f>IF(I626&gt;0,H626/I626,"")</f>
        <v/>
      </c>
      <c r="K626" s="4">
        <f>IF(I626&lt;=0,"NO DEMAND",IF(H626=0,"STOCKOUT",IF(J626&lt;Config!$B$5,"CRITICAL",IF(J626&lt;Config!$B$6,"LOW",IF(J626&gt;Config!$B$7,"EXCESS","HEALTHY")))))</f>
        <v/>
      </c>
      <c r="L626" s="11" t="n">
        <v>53</v>
      </c>
      <c r="M626" s="11" t="n">
        <v>64</v>
      </c>
      <c r="N626" s="11">
        <f>H626*L626</f>
        <v/>
      </c>
      <c r="O626" s="11">
        <f>IF(I626&gt;0,I626*(M626-L626),0)</f>
        <v/>
      </c>
      <c r="P626" s="11" t="n">
        <v>0</v>
      </c>
    </row>
    <row r="627">
      <c r="A627" s="4" t="inlineStr">
        <is>
          <t>WH06</t>
        </is>
      </c>
      <c r="B627" s="4" t="inlineStr">
        <is>
          <t>Ahmedabad DC</t>
        </is>
      </c>
      <c r="C627" s="4" t="inlineStr">
        <is>
          <t>West</t>
        </is>
      </c>
      <c r="D627" s="4" t="inlineStr">
        <is>
          <t>SKU023</t>
        </is>
      </c>
      <c r="E627" s="4" t="inlineStr">
        <is>
          <t>Coconut Water 200ml</t>
        </is>
      </c>
      <c r="F627" s="4" t="inlineStr">
        <is>
          <t>Beverages</t>
        </is>
      </c>
      <c r="G627" s="4" t="inlineStr">
        <is>
          <t>A</t>
        </is>
      </c>
      <c r="H627" s="11" t="n">
        <v>4194</v>
      </c>
      <c r="I627" s="4" t="n">
        <v>819.25</v>
      </c>
      <c r="J627" s="13">
        <f>IF(I627&gt;0,H627/I627,"")</f>
        <v/>
      </c>
      <c r="K627" s="4">
        <f>IF(I627&lt;=0,"NO DEMAND",IF(H627=0,"STOCKOUT",IF(J627&lt;Config!$B$5,"CRITICAL",IF(J627&lt;Config!$B$6,"LOW",IF(J627&gt;Config!$B$7,"EXCESS","HEALTHY")))))</f>
        <v/>
      </c>
      <c r="L627" s="11" t="n">
        <v>59</v>
      </c>
      <c r="M627" s="11" t="n">
        <v>69</v>
      </c>
      <c r="N627" s="11">
        <f>H627*L627</f>
        <v/>
      </c>
      <c r="O627" s="11">
        <f>IF(I627&gt;0,I627*(M627-L627),0)</f>
        <v/>
      </c>
      <c r="P627" s="11" t="n">
        <v>0</v>
      </c>
    </row>
    <row r="628">
      <c r="A628" s="4" t="inlineStr">
        <is>
          <t>WH06</t>
        </is>
      </c>
      <c r="B628" s="4" t="inlineStr">
        <is>
          <t>Ahmedabad DC</t>
        </is>
      </c>
      <c r="C628" s="4" t="inlineStr">
        <is>
          <t>West</t>
        </is>
      </c>
      <c r="D628" s="4" t="inlineStr">
        <is>
          <t>SKU024</t>
        </is>
      </c>
      <c r="E628" s="4" t="inlineStr">
        <is>
          <t>Instant Coffee 100g</t>
        </is>
      </c>
      <c r="F628" s="4" t="inlineStr">
        <is>
          <t>Beverages</t>
        </is>
      </c>
      <c r="G628" s="4" t="inlineStr">
        <is>
          <t>C</t>
        </is>
      </c>
      <c r="H628" s="11" t="n">
        <v>897</v>
      </c>
      <c r="I628" s="4" t="n">
        <v>493.25</v>
      </c>
      <c r="J628" s="13">
        <f>IF(I628&gt;0,H628/I628,"")</f>
        <v/>
      </c>
      <c r="K628" s="4">
        <f>IF(I628&lt;=0,"NO DEMAND",IF(H628=0,"STOCKOUT",IF(J628&lt;Config!$B$5,"CRITICAL",IF(J628&lt;Config!$B$6,"LOW",IF(J628&gt;Config!$B$7,"EXCESS","HEALTHY")))))</f>
        <v/>
      </c>
      <c r="L628" s="11" t="n">
        <v>27</v>
      </c>
      <c r="M628" s="11" t="n">
        <v>31</v>
      </c>
      <c r="N628" s="11">
        <f>H628*L628</f>
        <v/>
      </c>
      <c r="O628" s="11">
        <f>IF(I628&gt;0,I628*(M628-L628),0)</f>
        <v/>
      </c>
      <c r="P628" s="11" t="n">
        <v>0</v>
      </c>
    </row>
    <row r="629">
      <c r="A629" s="4" t="inlineStr">
        <is>
          <t>WH06</t>
        </is>
      </c>
      <c r="B629" s="4" t="inlineStr">
        <is>
          <t>Ahmedabad DC</t>
        </is>
      </c>
      <c r="C629" s="4" t="inlineStr">
        <is>
          <t>West</t>
        </is>
      </c>
      <c r="D629" s="4" t="inlineStr">
        <is>
          <t>SKU025</t>
        </is>
      </c>
      <c r="E629" s="4" t="inlineStr">
        <is>
          <t>Tea Bags 100pk</t>
        </is>
      </c>
      <c r="F629" s="4" t="inlineStr">
        <is>
          <t>Beverages</t>
        </is>
      </c>
      <c r="G629" s="4" t="inlineStr">
        <is>
          <t>C</t>
        </is>
      </c>
      <c r="H629" s="11" t="n">
        <v>4070</v>
      </c>
      <c r="I629" s="4" t="n">
        <v>1241</v>
      </c>
      <c r="J629" s="13">
        <f>IF(I629&gt;0,H629/I629,"")</f>
        <v/>
      </c>
      <c r="K629" s="4">
        <f>IF(I629&lt;=0,"NO DEMAND",IF(H629=0,"STOCKOUT",IF(J629&lt;Config!$B$5,"CRITICAL",IF(J629&lt;Config!$B$6,"LOW",IF(J629&gt;Config!$B$7,"EXCESS","HEALTHY")))))</f>
        <v/>
      </c>
      <c r="L629" s="11" t="n">
        <v>24</v>
      </c>
      <c r="M629" s="11" t="n">
        <v>28</v>
      </c>
      <c r="N629" s="11">
        <f>H629*L629</f>
        <v/>
      </c>
      <c r="O629" s="11">
        <f>IF(I629&gt;0,I629*(M629-L629),0)</f>
        <v/>
      </c>
      <c r="P629" s="11" t="n">
        <v>0</v>
      </c>
    </row>
    <row r="630">
      <c r="A630" s="4" t="inlineStr">
        <is>
          <t>WH06</t>
        </is>
      </c>
      <c r="B630" s="4" t="inlineStr">
        <is>
          <t>Ahmedabad DC</t>
        </is>
      </c>
      <c r="C630" s="4" t="inlineStr">
        <is>
          <t>West</t>
        </is>
      </c>
      <c r="D630" s="4" t="inlineStr">
        <is>
          <t>SKU026</t>
        </is>
      </c>
      <c r="E630" s="4" t="inlineStr">
        <is>
          <t>Buttermilk 200ml</t>
        </is>
      </c>
      <c r="F630" s="4" t="inlineStr">
        <is>
          <t>Beverages</t>
        </is>
      </c>
      <c r="G630" s="4" t="inlineStr">
        <is>
          <t>B</t>
        </is>
      </c>
      <c r="H630" s="11" t="n">
        <v>1419</v>
      </c>
      <c r="I630" s="4" t="n">
        <v>1019</v>
      </c>
      <c r="J630" s="13">
        <f>IF(I630&gt;0,H630/I630,"")</f>
        <v/>
      </c>
      <c r="K630" s="4">
        <f>IF(I630&lt;=0,"NO DEMAND",IF(H630=0,"STOCKOUT",IF(J630&lt;Config!$B$5,"CRITICAL",IF(J630&lt;Config!$B$6,"LOW",IF(J630&gt;Config!$B$7,"EXCESS","HEALTHY")))))</f>
        <v/>
      </c>
      <c r="L630" s="11" t="n">
        <v>31</v>
      </c>
      <c r="M630" s="11" t="n">
        <v>36</v>
      </c>
      <c r="N630" s="11">
        <f>H630*L630</f>
        <v/>
      </c>
      <c r="O630" s="11">
        <f>IF(I630&gt;0,I630*(M630-L630),0)</f>
        <v/>
      </c>
      <c r="P630" s="11" t="n">
        <v>0</v>
      </c>
    </row>
    <row r="631">
      <c r="A631" s="4" t="inlineStr">
        <is>
          <t>WH06</t>
        </is>
      </c>
      <c r="B631" s="4" t="inlineStr">
        <is>
          <t>Ahmedabad DC</t>
        </is>
      </c>
      <c r="C631" s="4" t="inlineStr">
        <is>
          <t>West</t>
        </is>
      </c>
      <c r="D631" s="4" t="inlineStr">
        <is>
          <t>SKU027</t>
        </is>
      </c>
      <c r="E631" s="4" t="inlineStr">
        <is>
          <t>Lassi 200ml</t>
        </is>
      </c>
      <c r="F631" s="4" t="inlineStr">
        <is>
          <t>Beverages</t>
        </is>
      </c>
      <c r="G631" s="4" t="inlineStr">
        <is>
          <t>A</t>
        </is>
      </c>
      <c r="H631" s="11" t="n">
        <v>499</v>
      </c>
      <c r="I631" s="4" t="n">
        <v>826.75</v>
      </c>
      <c r="J631" s="13">
        <f>IF(I631&gt;0,H631/I631,"")</f>
        <v/>
      </c>
      <c r="K631" s="4">
        <f>IF(I631&lt;=0,"NO DEMAND",IF(H631=0,"STOCKOUT",IF(J631&lt;Config!$B$5,"CRITICAL",IF(J631&lt;Config!$B$6,"LOW",IF(J631&gt;Config!$B$7,"EXCESS","HEALTHY")))))</f>
        <v/>
      </c>
      <c r="L631" s="11" t="n">
        <v>60</v>
      </c>
      <c r="M631" s="11" t="n">
        <v>72</v>
      </c>
      <c r="N631" s="11">
        <f>H631*L631</f>
        <v/>
      </c>
      <c r="O631" s="11">
        <f>IF(I631&gt;0,I631*(M631-L631),0)</f>
        <v/>
      </c>
      <c r="P631" s="11" t="n">
        <v>2784</v>
      </c>
    </row>
    <row r="632">
      <c r="A632" s="4" t="inlineStr">
        <is>
          <t>WH06</t>
        </is>
      </c>
      <c r="B632" s="4" t="inlineStr">
        <is>
          <t>Ahmedabad DC</t>
        </is>
      </c>
      <c r="C632" s="4" t="inlineStr">
        <is>
          <t>West</t>
        </is>
      </c>
      <c r="D632" s="4" t="inlineStr">
        <is>
          <t>SKU028</t>
        </is>
      </c>
      <c r="E632" s="4" t="inlineStr">
        <is>
          <t>Sports Drink 500ml</t>
        </is>
      </c>
      <c r="F632" s="4" t="inlineStr">
        <is>
          <t>Beverages</t>
        </is>
      </c>
      <c r="G632" s="4" t="inlineStr">
        <is>
          <t>A</t>
        </is>
      </c>
      <c r="H632" s="11" t="n">
        <v>2565</v>
      </c>
      <c r="I632" s="4" t="n">
        <v>1250.5</v>
      </c>
      <c r="J632" s="13">
        <f>IF(I632&gt;0,H632/I632,"")</f>
        <v/>
      </c>
      <c r="K632" s="4">
        <f>IF(I632&lt;=0,"NO DEMAND",IF(H632=0,"STOCKOUT",IF(J632&lt;Config!$B$5,"CRITICAL",IF(J632&lt;Config!$B$6,"LOW",IF(J632&gt;Config!$B$7,"EXCESS","HEALTHY")))))</f>
        <v/>
      </c>
      <c r="L632" s="11" t="n">
        <v>110</v>
      </c>
      <c r="M632" s="11" t="n">
        <v>131</v>
      </c>
      <c r="N632" s="11">
        <f>H632*L632</f>
        <v/>
      </c>
      <c r="O632" s="11">
        <f>IF(I632&gt;0,I632*(M632-L632),0)</f>
        <v/>
      </c>
      <c r="P632" s="11" t="n">
        <v>0</v>
      </c>
    </row>
    <row r="633">
      <c r="A633" s="4" t="inlineStr">
        <is>
          <t>WH06</t>
        </is>
      </c>
      <c r="B633" s="4" t="inlineStr">
        <is>
          <t>Ahmedabad DC</t>
        </is>
      </c>
      <c r="C633" s="4" t="inlineStr">
        <is>
          <t>West</t>
        </is>
      </c>
      <c r="D633" s="4" t="inlineStr">
        <is>
          <t>SKU029</t>
        </is>
      </c>
      <c r="E633" s="4" t="inlineStr">
        <is>
          <t>Tonic Water 300ml</t>
        </is>
      </c>
      <c r="F633" s="4" t="inlineStr">
        <is>
          <t>Beverages</t>
        </is>
      </c>
      <c r="G633" s="4" t="inlineStr">
        <is>
          <t>B</t>
        </is>
      </c>
      <c r="H633" s="11" t="n">
        <v>3011</v>
      </c>
      <c r="I633" s="4" t="n">
        <v>1111.5</v>
      </c>
      <c r="J633" s="13">
        <f>IF(I633&gt;0,H633/I633,"")</f>
        <v/>
      </c>
      <c r="K633" s="4">
        <f>IF(I633&lt;=0,"NO DEMAND",IF(H633=0,"STOCKOUT",IF(J633&lt;Config!$B$5,"CRITICAL",IF(J633&lt;Config!$B$6,"LOW",IF(J633&gt;Config!$B$7,"EXCESS","HEALTHY")))))</f>
        <v/>
      </c>
      <c r="L633" s="11" t="n">
        <v>23</v>
      </c>
      <c r="M633" s="11" t="n">
        <v>27</v>
      </c>
      <c r="N633" s="11">
        <f>H633*L633</f>
        <v/>
      </c>
      <c r="O633" s="11">
        <f>IF(I633&gt;0,I633*(M633-L633),0)</f>
        <v/>
      </c>
      <c r="P633" s="11" t="n">
        <v>0</v>
      </c>
    </row>
    <row r="634">
      <c r="A634" s="4" t="inlineStr">
        <is>
          <t>WH06</t>
        </is>
      </c>
      <c r="B634" s="4" t="inlineStr">
        <is>
          <t>Ahmedabad DC</t>
        </is>
      </c>
      <c r="C634" s="4" t="inlineStr">
        <is>
          <t>West</t>
        </is>
      </c>
      <c r="D634" s="4" t="inlineStr">
        <is>
          <t>SKU030</t>
        </is>
      </c>
      <c r="E634" s="4" t="inlineStr">
        <is>
          <t>Malt Drink 500g</t>
        </is>
      </c>
      <c r="F634" s="4" t="inlineStr">
        <is>
          <t>Beverages</t>
        </is>
      </c>
      <c r="G634" s="4" t="inlineStr">
        <is>
          <t>C</t>
        </is>
      </c>
      <c r="H634" s="11" t="n">
        <v>933</v>
      </c>
      <c r="I634" s="4" t="n">
        <v>196.5</v>
      </c>
      <c r="J634" s="13">
        <f>IF(I634&gt;0,H634/I634,"")</f>
        <v/>
      </c>
      <c r="K634" s="4">
        <f>IF(I634&lt;=0,"NO DEMAND",IF(H634=0,"STOCKOUT",IF(J634&lt;Config!$B$5,"CRITICAL",IF(J634&lt;Config!$B$6,"LOW",IF(J634&gt;Config!$B$7,"EXCESS","HEALTHY")))))</f>
        <v/>
      </c>
      <c r="L634" s="11" t="n">
        <v>31</v>
      </c>
      <c r="M634" s="11" t="n">
        <v>37</v>
      </c>
      <c r="N634" s="11">
        <f>H634*L634</f>
        <v/>
      </c>
      <c r="O634" s="11">
        <f>IF(I634&gt;0,I634*(M634-L634),0)</f>
        <v/>
      </c>
      <c r="P634" s="11" t="n">
        <v>0</v>
      </c>
    </row>
    <row r="635">
      <c r="A635" s="4" t="inlineStr">
        <is>
          <t>WH06</t>
        </is>
      </c>
      <c r="B635" s="4" t="inlineStr">
        <is>
          <t>Ahmedabad DC</t>
        </is>
      </c>
      <c r="C635" s="4" t="inlineStr">
        <is>
          <t>West</t>
        </is>
      </c>
      <c r="D635" s="4" t="inlineStr">
        <is>
          <t>SKU031</t>
        </is>
      </c>
      <c r="E635" s="4" t="inlineStr">
        <is>
          <t>Potato Chips 90g</t>
        </is>
      </c>
      <c r="F635" s="4" t="inlineStr">
        <is>
          <t>Snacks &amp; Confectionery</t>
        </is>
      </c>
      <c r="G635" s="4" t="inlineStr">
        <is>
          <t>C</t>
        </is>
      </c>
      <c r="H635" s="11" t="n">
        <v>5734</v>
      </c>
      <c r="I635" s="4" t="n">
        <v>1699</v>
      </c>
      <c r="J635" s="13">
        <f>IF(I635&gt;0,H635/I635,"")</f>
        <v/>
      </c>
      <c r="K635" s="4">
        <f>IF(I635&lt;=0,"NO DEMAND",IF(H635=0,"STOCKOUT",IF(J635&lt;Config!$B$5,"CRITICAL",IF(J635&lt;Config!$B$6,"LOW",IF(J635&gt;Config!$B$7,"EXCESS","HEALTHY")))))</f>
        <v/>
      </c>
      <c r="L635" s="11" t="n">
        <v>13</v>
      </c>
      <c r="M635" s="11" t="n">
        <v>16</v>
      </c>
      <c r="N635" s="11">
        <f>H635*L635</f>
        <v/>
      </c>
      <c r="O635" s="11">
        <f>IF(I635&gt;0,I635*(M635-L635),0)</f>
        <v/>
      </c>
      <c r="P635" s="11" t="n">
        <v>0</v>
      </c>
    </row>
    <row r="636">
      <c r="A636" s="4" t="inlineStr">
        <is>
          <t>WH06</t>
        </is>
      </c>
      <c r="B636" s="4" t="inlineStr">
        <is>
          <t>Ahmedabad DC</t>
        </is>
      </c>
      <c r="C636" s="4" t="inlineStr">
        <is>
          <t>West</t>
        </is>
      </c>
      <c r="D636" s="4" t="inlineStr">
        <is>
          <t>SKU032</t>
        </is>
      </c>
      <c r="E636" s="4" t="inlineStr">
        <is>
          <t>Namkeen Mix 400g</t>
        </is>
      </c>
      <c r="F636" s="4" t="inlineStr">
        <is>
          <t>Snacks &amp; Confectionery</t>
        </is>
      </c>
      <c r="G636" s="4" t="inlineStr">
        <is>
          <t>C</t>
        </is>
      </c>
      <c r="H636" s="11" t="n">
        <v>988</v>
      </c>
      <c r="I636" s="4" t="n">
        <v>650</v>
      </c>
      <c r="J636" s="13">
        <f>IF(I636&gt;0,H636/I636,"")</f>
        <v/>
      </c>
      <c r="K636" s="4">
        <f>IF(I636&lt;=0,"NO DEMAND",IF(H636=0,"STOCKOUT",IF(J636&lt;Config!$B$5,"CRITICAL",IF(J636&lt;Config!$B$6,"LOW",IF(J636&gt;Config!$B$7,"EXCESS","HEALTHY")))))</f>
        <v/>
      </c>
      <c r="L636" s="11" t="n">
        <v>14</v>
      </c>
      <c r="M636" s="11" t="n">
        <v>17</v>
      </c>
      <c r="N636" s="11">
        <f>H636*L636</f>
        <v/>
      </c>
      <c r="O636" s="11">
        <f>IF(I636&gt;0,I636*(M636-L636),0)</f>
        <v/>
      </c>
      <c r="P636" s="11" t="n">
        <v>2244</v>
      </c>
    </row>
    <row r="637">
      <c r="A637" s="4" t="inlineStr">
        <is>
          <t>WH06</t>
        </is>
      </c>
      <c r="B637" s="4" t="inlineStr">
        <is>
          <t>Ahmedabad DC</t>
        </is>
      </c>
      <c r="C637" s="4" t="inlineStr">
        <is>
          <t>West</t>
        </is>
      </c>
      <c r="D637" s="4" t="inlineStr">
        <is>
          <t>SKU033</t>
        </is>
      </c>
      <c r="E637" s="4" t="inlineStr">
        <is>
          <t>Glucose Biscuits 300g</t>
        </is>
      </c>
      <c r="F637" s="4" t="inlineStr">
        <is>
          <t>Snacks &amp; Confectionery</t>
        </is>
      </c>
      <c r="G637" s="4" t="inlineStr">
        <is>
          <t>A</t>
        </is>
      </c>
      <c r="H637" s="11" t="n">
        <v>0</v>
      </c>
      <c r="I637" s="4" t="n">
        <v>1055.25</v>
      </c>
      <c r="J637" s="13">
        <f>IF(I637&gt;0,H637/I637,"")</f>
        <v/>
      </c>
      <c r="K637" s="4">
        <f>IF(I637&lt;=0,"NO DEMAND",IF(H637=0,"STOCKOUT",IF(J637&lt;Config!$B$5,"CRITICAL",IF(J637&lt;Config!$B$6,"LOW",IF(J637&gt;Config!$B$7,"EXCESS","HEALTHY")))))</f>
        <v/>
      </c>
      <c r="L637" s="11" t="n">
        <v>119</v>
      </c>
      <c r="M637" s="11" t="n">
        <v>144</v>
      </c>
      <c r="N637" s="11">
        <f>H637*L637</f>
        <v/>
      </c>
      <c r="O637" s="11">
        <f>IF(I637&gt;0,I637*(M637-L637),0)</f>
        <v/>
      </c>
      <c r="P637" s="11" t="n">
        <v>2964</v>
      </c>
    </row>
    <row r="638">
      <c r="A638" s="4" t="inlineStr">
        <is>
          <t>WH06</t>
        </is>
      </c>
      <c r="B638" s="4" t="inlineStr">
        <is>
          <t>Ahmedabad DC</t>
        </is>
      </c>
      <c r="C638" s="4" t="inlineStr">
        <is>
          <t>West</t>
        </is>
      </c>
      <c r="D638" s="4" t="inlineStr">
        <is>
          <t>SKU034</t>
        </is>
      </c>
      <c r="E638" s="4" t="inlineStr">
        <is>
          <t>Cream Biscuits 120g</t>
        </is>
      </c>
      <c r="F638" s="4" t="inlineStr">
        <is>
          <t>Snacks &amp; Confectionery</t>
        </is>
      </c>
      <c r="G638" s="4" t="inlineStr">
        <is>
          <t>B</t>
        </is>
      </c>
      <c r="H638" s="11" t="n">
        <v>0</v>
      </c>
      <c r="I638" s="4" t="n">
        <v>2205.25</v>
      </c>
      <c r="J638" s="13">
        <f>IF(I638&gt;0,H638/I638,"")</f>
        <v/>
      </c>
      <c r="K638" s="4">
        <f>IF(I638&lt;=0,"NO DEMAND",IF(H638=0,"STOCKOUT",IF(J638&lt;Config!$B$5,"CRITICAL",IF(J638&lt;Config!$B$6,"LOW",IF(J638&gt;Config!$B$7,"EXCESS","HEALTHY")))))</f>
        <v/>
      </c>
      <c r="L638" s="11" t="n">
        <v>61</v>
      </c>
      <c r="M638" s="11" t="n">
        <v>73</v>
      </c>
      <c r="N638" s="11">
        <f>H638*L638</f>
        <v/>
      </c>
      <c r="O638" s="11">
        <f>IF(I638&gt;0,I638*(M638-L638),0)</f>
        <v/>
      </c>
      <c r="P638" s="11" t="n">
        <v>7272</v>
      </c>
    </row>
    <row r="639">
      <c r="A639" s="4" t="inlineStr">
        <is>
          <t>WH06</t>
        </is>
      </c>
      <c r="B639" s="4" t="inlineStr">
        <is>
          <t>Ahmedabad DC</t>
        </is>
      </c>
      <c r="C639" s="4" t="inlineStr">
        <is>
          <t>West</t>
        </is>
      </c>
      <c r="D639" s="4" t="inlineStr">
        <is>
          <t>SKU035</t>
        </is>
      </c>
      <c r="E639" s="4" t="inlineStr">
        <is>
          <t>Chocolate Bar 40g</t>
        </is>
      </c>
      <c r="F639" s="4" t="inlineStr">
        <is>
          <t>Snacks &amp; Confectionery</t>
        </is>
      </c>
      <c r="G639" s="4" t="inlineStr">
        <is>
          <t>C</t>
        </is>
      </c>
      <c r="H639" s="11" t="n">
        <v>4305</v>
      </c>
      <c r="I639" s="4" t="n">
        <v>1218.75</v>
      </c>
      <c r="J639" s="13">
        <f>IF(I639&gt;0,H639/I639,"")</f>
        <v/>
      </c>
      <c r="K639" s="4">
        <f>IF(I639&lt;=0,"NO DEMAND",IF(H639=0,"STOCKOUT",IF(J639&lt;Config!$B$5,"CRITICAL",IF(J639&lt;Config!$B$6,"LOW",IF(J639&gt;Config!$B$7,"EXCESS","HEALTHY")))))</f>
        <v/>
      </c>
      <c r="L639" s="11" t="n">
        <v>16</v>
      </c>
      <c r="M639" s="11" t="n">
        <v>20</v>
      </c>
      <c r="N639" s="11">
        <f>H639*L639</f>
        <v/>
      </c>
      <c r="O639" s="11">
        <f>IF(I639&gt;0,I639*(M639-L639),0)</f>
        <v/>
      </c>
      <c r="P639" s="11" t="n">
        <v>0</v>
      </c>
    </row>
    <row r="640">
      <c r="A640" s="4" t="inlineStr">
        <is>
          <t>WH06</t>
        </is>
      </c>
      <c r="B640" s="4" t="inlineStr">
        <is>
          <t>Ahmedabad DC</t>
        </is>
      </c>
      <c r="C640" s="4" t="inlineStr">
        <is>
          <t>West</t>
        </is>
      </c>
      <c r="D640" s="4" t="inlineStr">
        <is>
          <t>SKU036</t>
        </is>
      </c>
      <c r="E640" s="4" t="inlineStr">
        <is>
          <t>Instant Noodles 70g</t>
        </is>
      </c>
      <c r="F640" s="4" t="inlineStr">
        <is>
          <t>Snacks &amp; Confectionery</t>
        </is>
      </c>
      <c r="G640" s="4" t="inlineStr">
        <is>
          <t>C</t>
        </is>
      </c>
      <c r="H640" s="11" t="n">
        <v>1690</v>
      </c>
      <c r="I640" s="4" t="n">
        <v>713.5</v>
      </c>
      <c r="J640" s="13">
        <f>IF(I640&gt;0,H640/I640,"")</f>
        <v/>
      </c>
      <c r="K640" s="4">
        <f>IF(I640&lt;=0,"NO DEMAND",IF(H640=0,"STOCKOUT",IF(J640&lt;Config!$B$5,"CRITICAL",IF(J640&lt;Config!$B$6,"LOW",IF(J640&gt;Config!$B$7,"EXCESS","HEALTHY")))))</f>
        <v/>
      </c>
      <c r="L640" s="11" t="n">
        <v>19</v>
      </c>
      <c r="M640" s="11" t="n">
        <v>24</v>
      </c>
      <c r="N640" s="11">
        <f>H640*L640</f>
        <v/>
      </c>
      <c r="O640" s="11">
        <f>IF(I640&gt;0,I640*(M640-L640),0)</f>
        <v/>
      </c>
      <c r="P640" s="11" t="n">
        <v>0</v>
      </c>
    </row>
    <row r="641">
      <c r="A641" s="4" t="inlineStr">
        <is>
          <t>WH06</t>
        </is>
      </c>
      <c r="B641" s="4" t="inlineStr">
        <is>
          <t>Ahmedabad DC</t>
        </is>
      </c>
      <c r="C641" s="4" t="inlineStr">
        <is>
          <t>West</t>
        </is>
      </c>
      <c r="D641" s="4" t="inlineStr">
        <is>
          <t>SKU037</t>
        </is>
      </c>
      <c r="E641" s="4" t="inlineStr">
        <is>
          <t>Popcorn 60g</t>
        </is>
      </c>
      <c r="F641" s="4" t="inlineStr">
        <is>
          <t>Snacks &amp; Confectionery</t>
        </is>
      </c>
      <c r="G641" s="4" t="inlineStr">
        <is>
          <t>A</t>
        </is>
      </c>
      <c r="H641" s="11" t="n">
        <v>2063</v>
      </c>
      <c r="I641" s="4" t="n">
        <v>603.75</v>
      </c>
      <c r="J641" s="13">
        <f>IF(I641&gt;0,H641/I641,"")</f>
        <v/>
      </c>
      <c r="K641" s="4">
        <f>IF(I641&lt;=0,"NO DEMAND",IF(H641=0,"STOCKOUT",IF(J641&lt;Config!$B$5,"CRITICAL",IF(J641&lt;Config!$B$6,"LOW",IF(J641&gt;Config!$B$7,"EXCESS","HEALTHY")))))</f>
        <v/>
      </c>
      <c r="L641" s="11" t="n">
        <v>137</v>
      </c>
      <c r="M641" s="11" t="n">
        <v>163</v>
      </c>
      <c r="N641" s="11">
        <f>H641*L641</f>
        <v/>
      </c>
      <c r="O641" s="11">
        <f>IF(I641&gt;0,I641*(M641-L641),0)</f>
        <v/>
      </c>
      <c r="P641" s="11" t="n">
        <v>0</v>
      </c>
    </row>
    <row r="642">
      <c r="A642" s="4" t="inlineStr">
        <is>
          <t>WH06</t>
        </is>
      </c>
      <c r="B642" s="4" t="inlineStr">
        <is>
          <t>Ahmedabad DC</t>
        </is>
      </c>
      <c r="C642" s="4" t="inlineStr">
        <is>
          <t>West</t>
        </is>
      </c>
      <c r="D642" s="4" t="inlineStr">
        <is>
          <t>SKU038</t>
        </is>
      </c>
      <c r="E642" s="4" t="inlineStr">
        <is>
          <t>Peanut Chikki 200g</t>
        </is>
      </c>
      <c r="F642" s="4" t="inlineStr">
        <is>
          <t>Snacks &amp; Confectionery</t>
        </is>
      </c>
      <c r="G642" s="4" t="inlineStr">
        <is>
          <t>C</t>
        </is>
      </c>
      <c r="H642" s="11" t="n">
        <v>1038</v>
      </c>
      <c r="I642" s="4" t="n">
        <v>971.5</v>
      </c>
      <c r="J642" s="13">
        <f>IF(I642&gt;0,H642/I642,"")</f>
        <v/>
      </c>
      <c r="K642" s="4">
        <f>IF(I642&lt;=0,"NO DEMAND",IF(H642=0,"STOCKOUT",IF(J642&lt;Config!$B$5,"CRITICAL",IF(J642&lt;Config!$B$6,"LOW",IF(J642&gt;Config!$B$7,"EXCESS","HEALTHY")))))</f>
        <v/>
      </c>
      <c r="L642" s="11" t="n">
        <v>18</v>
      </c>
      <c r="M642" s="11" t="n">
        <v>22</v>
      </c>
      <c r="N642" s="11">
        <f>H642*L642</f>
        <v/>
      </c>
      <c r="O642" s="11">
        <f>IF(I642&gt;0,I642*(M642-L642),0)</f>
        <v/>
      </c>
      <c r="P642" s="11" t="n">
        <v>3180</v>
      </c>
    </row>
    <row r="643">
      <c r="A643" s="4" t="inlineStr">
        <is>
          <t>WH06</t>
        </is>
      </c>
      <c r="B643" s="4" t="inlineStr">
        <is>
          <t>Ahmedabad DC</t>
        </is>
      </c>
      <c r="C643" s="4" t="inlineStr">
        <is>
          <t>West</t>
        </is>
      </c>
      <c r="D643" s="4" t="inlineStr">
        <is>
          <t>SKU039</t>
        </is>
      </c>
      <c r="E643" s="4" t="inlineStr">
        <is>
          <t>Cookies 200g</t>
        </is>
      </c>
      <c r="F643" s="4" t="inlineStr">
        <is>
          <t>Snacks &amp; Confectionery</t>
        </is>
      </c>
      <c r="G643" s="4" t="inlineStr">
        <is>
          <t>A</t>
        </is>
      </c>
      <c r="H643" s="11" t="n">
        <v>1954</v>
      </c>
      <c r="I643" s="4" t="n">
        <v>858.25</v>
      </c>
      <c r="J643" s="13">
        <f>IF(I643&gt;0,H643/I643,"")</f>
        <v/>
      </c>
      <c r="K643" s="4">
        <f>IF(I643&lt;=0,"NO DEMAND",IF(H643=0,"STOCKOUT",IF(J643&lt;Config!$B$5,"CRITICAL",IF(J643&lt;Config!$B$6,"LOW",IF(J643&gt;Config!$B$7,"EXCESS","HEALTHY")))))</f>
        <v/>
      </c>
      <c r="L643" s="11" t="n">
        <v>126</v>
      </c>
      <c r="M643" s="11" t="n">
        <v>150</v>
      </c>
      <c r="N643" s="11">
        <f>H643*L643</f>
        <v/>
      </c>
      <c r="O643" s="11">
        <f>IF(I643&gt;0,I643*(M643-L643),0)</f>
        <v/>
      </c>
      <c r="P643" s="11" t="n">
        <v>0</v>
      </c>
    </row>
    <row r="644">
      <c r="A644" s="4" t="inlineStr">
        <is>
          <t>WH06</t>
        </is>
      </c>
      <c r="B644" s="4" t="inlineStr">
        <is>
          <t>Ahmedabad DC</t>
        </is>
      </c>
      <c r="C644" s="4" t="inlineStr">
        <is>
          <t>West</t>
        </is>
      </c>
      <c r="D644" s="4" t="inlineStr">
        <is>
          <t>SKU040</t>
        </is>
      </c>
      <c r="E644" s="4" t="inlineStr">
        <is>
          <t>Wafers 75g</t>
        </is>
      </c>
      <c r="F644" s="4" t="inlineStr">
        <is>
          <t>Snacks &amp; Confectionery</t>
        </is>
      </c>
      <c r="G644" s="4" t="inlineStr">
        <is>
          <t>A</t>
        </is>
      </c>
      <c r="H644" s="11" t="n">
        <v>389</v>
      </c>
      <c r="I644" s="4" t="n">
        <v>1313.5</v>
      </c>
      <c r="J644" s="13">
        <f>IF(I644&gt;0,H644/I644,"")</f>
        <v/>
      </c>
      <c r="K644" s="4">
        <f>IF(I644&lt;=0,"NO DEMAND",IF(H644=0,"STOCKOUT",IF(J644&lt;Config!$B$5,"CRITICAL",IF(J644&lt;Config!$B$6,"LOW",IF(J644&gt;Config!$B$7,"EXCESS","HEALTHY")))))</f>
        <v/>
      </c>
      <c r="L644" s="11" t="n">
        <v>90</v>
      </c>
      <c r="M644" s="11" t="n">
        <v>109</v>
      </c>
      <c r="N644" s="11">
        <f>H644*L644</f>
        <v/>
      </c>
      <c r="O644" s="11">
        <f>IF(I644&gt;0,I644*(M644-L644),0)</f>
        <v/>
      </c>
      <c r="P644" s="11" t="n">
        <v>3624</v>
      </c>
    </row>
    <row r="645">
      <c r="A645" s="4" t="inlineStr">
        <is>
          <t>WH06</t>
        </is>
      </c>
      <c r="B645" s="4" t="inlineStr">
        <is>
          <t>Ahmedabad DC</t>
        </is>
      </c>
      <c r="C645" s="4" t="inlineStr">
        <is>
          <t>West</t>
        </is>
      </c>
      <c r="D645" s="4" t="inlineStr">
        <is>
          <t>SKU041</t>
        </is>
      </c>
      <c r="E645" s="4" t="inlineStr">
        <is>
          <t>Mathri 250g</t>
        </is>
      </c>
      <c r="F645" s="4" t="inlineStr">
        <is>
          <t>Snacks &amp; Confectionery</t>
        </is>
      </c>
      <c r="G645" s="4" t="inlineStr">
        <is>
          <t>A</t>
        </is>
      </c>
      <c r="H645" s="11" t="n">
        <v>2143</v>
      </c>
      <c r="I645" s="4" t="n">
        <v>659.25</v>
      </c>
      <c r="J645" s="13">
        <f>IF(I645&gt;0,H645/I645,"")</f>
        <v/>
      </c>
      <c r="K645" s="4">
        <f>IF(I645&lt;=0,"NO DEMAND",IF(H645=0,"STOCKOUT",IF(J645&lt;Config!$B$5,"CRITICAL",IF(J645&lt;Config!$B$6,"LOW",IF(J645&gt;Config!$B$7,"EXCESS","HEALTHY")))))</f>
        <v/>
      </c>
      <c r="L645" s="11" t="n">
        <v>100</v>
      </c>
      <c r="M645" s="11" t="n">
        <v>125</v>
      </c>
      <c r="N645" s="11">
        <f>H645*L645</f>
        <v/>
      </c>
      <c r="O645" s="11">
        <f>IF(I645&gt;0,I645*(M645-L645),0)</f>
        <v/>
      </c>
      <c r="P645" s="11" t="n">
        <v>0</v>
      </c>
    </row>
    <row r="646">
      <c r="A646" s="4" t="inlineStr">
        <is>
          <t>WH06</t>
        </is>
      </c>
      <c r="B646" s="4" t="inlineStr">
        <is>
          <t>Ahmedabad DC</t>
        </is>
      </c>
      <c r="C646" s="4" t="inlineStr">
        <is>
          <t>West</t>
        </is>
      </c>
      <c r="D646" s="4" t="inlineStr">
        <is>
          <t>SKU042</t>
        </is>
      </c>
      <c r="E646" s="4" t="inlineStr">
        <is>
          <t>Dry Fruit Mix 250g</t>
        </is>
      </c>
      <c r="F646" s="4" t="inlineStr">
        <is>
          <t>Snacks &amp; Confectionery</t>
        </is>
      </c>
      <c r="G646" s="4" t="inlineStr">
        <is>
          <t>A</t>
        </is>
      </c>
      <c r="H646" s="11" t="n">
        <v>0</v>
      </c>
      <c r="I646" s="4" t="n">
        <v>1366.5</v>
      </c>
      <c r="J646" s="13">
        <f>IF(I646&gt;0,H646/I646,"")</f>
        <v/>
      </c>
      <c r="K646" s="4">
        <f>IF(I646&lt;=0,"NO DEMAND",IF(H646=0,"STOCKOUT",IF(J646&lt;Config!$B$5,"CRITICAL",IF(J646&lt;Config!$B$6,"LOW",IF(J646&gt;Config!$B$7,"EXCESS","HEALTHY")))))</f>
        <v/>
      </c>
      <c r="L646" s="11" t="n">
        <v>74</v>
      </c>
      <c r="M646" s="11" t="n">
        <v>88</v>
      </c>
      <c r="N646" s="11">
        <f>H646*L646</f>
        <v/>
      </c>
      <c r="O646" s="11">
        <f>IF(I646&gt;0,I646*(M646-L646),0)</f>
        <v/>
      </c>
      <c r="P646" s="11" t="n">
        <v>4980</v>
      </c>
    </row>
    <row r="647">
      <c r="A647" s="4" t="inlineStr">
        <is>
          <t>WH06</t>
        </is>
      </c>
      <c r="B647" s="4" t="inlineStr">
        <is>
          <t>Ahmedabad DC</t>
        </is>
      </c>
      <c r="C647" s="4" t="inlineStr">
        <is>
          <t>West</t>
        </is>
      </c>
      <c r="D647" s="4" t="inlineStr">
        <is>
          <t>SKU043</t>
        </is>
      </c>
      <c r="E647" s="4" t="inlineStr">
        <is>
          <t>Soan Papdi 500g</t>
        </is>
      </c>
      <c r="F647" s="4" t="inlineStr">
        <is>
          <t>Snacks &amp; Confectionery</t>
        </is>
      </c>
      <c r="G647" s="4" t="inlineStr">
        <is>
          <t>C</t>
        </is>
      </c>
      <c r="H647" s="11" t="n">
        <v>1552</v>
      </c>
      <c r="I647" s="4" t="n">
        <v>887.75</v>
      </c>
      <c r="J647" s="13">
        <f>IF(I647&gt;0,H647/I647,"")</f>
        <v/>
      </c>
      <c r="K647" s="4">
        <f>IF(I647&lt;=0,"NO DEMAND",IF(H647=0,"STOCKOUT",IF(J647&lt;Config!$B$5,"CRITICAL",IF(J647&lt;Config!$B$6,"LOW",IF(J647&gt;Config!$B$7,"EXCESS","HEALTHY")))))</f>
        <v/>
      </c>
      <c r="L647" s="11" t="n">
        <v>15</v>
      </c>
      <c r="M647" s="11" t="n">
        <v>18</v>
      </c>
      <c r="N647" s="11">
        <f>H647*L647</f>
        <v/>
      </c>
      <c r="O647" s="11">
        <f>IF(I647&gt;0,I647*(M647-L647),0)</f>
        <v/>
      </c>
      <c r="P647" s="11" t="n">
        <v>0</v>
      </c>
    </row>
    <row r="648">
      <c r="A648" s="4" t="inlineStr">
        <is>
          <t>WH06</t>
        </is>
      </c>
      <c r="B648" s="4" t="inlineStr">
        <is>
          <t>Ahmedabad DC</t>
        </is>
      </c>
      <c r="C648" s="4" t="inlineStr">
        <is>
          <t>West</t>
        </is>
      </c>
      <c r="D648" s="4" t="inlineStr">
        <is>
          <t>SKU044</t>
        </is>
      </c>
      <c r="E648" s="4" t="inlineStr">
        <is>
          <t>Rusk 300g</t>
        </is>
      </c>
      <c r="F648" s="4" t="inlineStr">
        <is>
          <t>Snacks &amp; Confectionery</t>
        </is>
      </c>
      <c r="G648" s="4" t="inlineStr">
        <is>
          <t>A</t>
        </is>
      </c>
      <c r="H648" s="11" t="n">
        <v>4264</v>
      </c>
      <c r="I648" s="4" t="n">
        <v>1206.75</v>
      </c>
      <c r="J648" s="13">
        <f>IF(I648&gt;0,H648/I648,"")</f>
        <v/>
      </c>
      <c r="K648" s="4">
        <f>IF(I648&lt;=0,"NO DEMAND",IF(H648=0,"STOCKOUT",IF(J648&lt;Config!$B$5,"CRITICAL",IF(J648&lt;Config!$B$6,"LOW",IF(J648&gt;Config!$B$7,"EXCESS","HEALTHY")))))</f>
        <v/>
      </c>
      <c r="L648" s="11" t="n">
        <v>57</v>
      </c>
      <c r="M648" s="11" t="n">
        <v>70</v>
      </c>
      <c r="N648" s="11">
        <f>H648*L648</f>
        <v/>
      </c>
      <c r="O648" s="11">
        <f>IF(I648&gt;0,I648*(M648-L648),0)</f>
        <v/>
      </c>
      <c r="P648" s="11" t="n">
        <v>0</v>
      </c>
    </row>
    <row r="649">
      <c r="A649" s="4" t="inlineStr">
        <is>
          <t>WH06</t>
        </is>
      </c>
      <c r="B649" s="4" t="inlineStr">
        <is>
          <t>Ahmedabad DC</t>
        </is>
      </c>
      <c r="C649" s="4" t="inlineStr">
        <is>
          <t>West</t>
        </is>
      </c>
      <c r="D649" s="4" t="inlineStr">
        <is>
          <t>SKU045</t>
        </is>
      </c>
      <c r="E649" s="4" t="inlineStr">
        <is>
          <t>Candy Pack 150g</t>
        </is>
      </c>
      <c r="F649" s="4" t="inlineStr">
        <is>
          <t>Snacks &amp; Confectionery</t>
        </is>
      </c>
      <c r="G649" s="4" t="inlineStr">
        <is>
          <t>C</t>
        </is>
      </c>
      <c r="H649" s="11" t="n">
        <v>0</v>
      </c>
      <c r="I649" s="4" t="n">
        <v>1540.25</v>
      </c>
      <c r="J649" s="13">
        <f>IF(I649&gt;0,H649/I649,"")</f>
        <v/>
      </c>
      <c r="K649" s="4">
        <f>IF(I649&lt;=0,"NO DEMAND",IF(H649=0,"STOCKOUT",IF(J649&lt;Config!$B$5,"CRITICAL",IF(J649&lt;Config!$B$6,"LOW",IF(J649&gt;Config!$B$7,"EXCESS","HEALTHY")))))</f>
        <v/>
      </c>
      <c r="L649" s="11" t="n">
        <v>22</v>
      </c>
      <c r="M649" s="11" t="n">
        <v>27</v>
      </c>
      <c r="N649" s="11">
        <f>H649*L649</f>
        <v/>
      </c>
      <c r="O649" s="11">
        <f>IF(I649&gt;0,I649*(M649-L649),0)</f>
        <v/>
      </c>
      <c r="P649" s="11" t="n">
        <v>5316</v>
      </c>
    </row>
    <row r="650">
      <c r="A650" s="4" t="inlineStr">
        <is>
          <t>WH06</t>
        </is>
      </c>
      <c r="B650" s="4" t="inlineStr">
        <is>
          <t>Ahmedabad DC</t>
        </is>
      </c>
      <c r="C650" s="4" t="inlineStr">
        <is>
          <t>West</t>
        </is>
      </c>
      <c r="D650" s="4" t="inlineStr">
        <is>
          <t>SKU046</t>
        </is>
      </c>
      <c r="E650" s="4" t="inlineStr">
        <is>
          <t>Shampoo 340ml</t>
        </is>
      </c>
      <c r="F650" s="4" t="inlineStr">
        <is>
          <t>Personal Care</t>
        </is>
      </c>
      <c r="G650" s="4" t="inlineStr">
        <is>
          <t>C</t>
        </is>
      </c>
      <c r="H650" s="11" t="n">
        <v>1442</v>
      </c>
      <c r="I650" s="4" t="n">
        <v>359.5</v>
      </c>
      <c r="J650" s="13">
        <f>IF(I650&gt;0,H650/I650,"")</f>
        <v/>
      </c>
      <c r="K650" s="4">
        <f>IF(I650&lt;=0,"NO DEMAND",IF(H650=0,"STOCKOUT",IF(J650&lt;Config!$B$5,"CRITICAL",IF(J650&lt;Config!$B$6,"LOW",IF(J650&gt;Config!$B$7,"EXCESS","HEALTHY")))))</f>
        <v/>
      </c>
      <c r="L650" s="11" t="n">
        <v>51</v>
      </c>
      <c r="M650" s="11" t="n">
        <v>67</v>
      </c>
      <c r="N650" s="11">
        <f>H650*L650</f>
        <v/>
      </c>
      <c r="O650" s="11">
        <f>IF(I650&gt;0,I650*(M650-L650),0)</f>
        <v/>
      </c>
      <c r="P650" s="11" t="n">
        <v>0</v>
      </c>
    </row>
    <row r="651">
      <c r="A651" s="4" t="inlineStr">
        <is>
          <t>WH06</t>
        </is>
      </c>
      <c r="B651" s="4" t="inlineStr">
        <is>
          <t>Ahmedabad DC</t>
        </is>
      </c>
      <c r="C651" s="4" t="inlineStr">
        <is>
          <t>West</t>
        </is>
      </c>
      <c r="D651" s="4" t="inlineStr">
        <is>
          <t>SKU047</t>
        </is>
      </c>
      <c r="E651" s="4" t="inlineStr">
        <is>
          <t>Soap 4-pack</t>
        </is>
      </c>
      <c r="F651" s="4" t="inlineStr">
        <is>
          <t>Personal Care</t>
        </is>
      </c>
      <c r="G651" s="4" t="inlineStr">
        <is>
          <t>C</t>
        </is>
      </c>
      <c r="H651" s="11" t="n">
        <v>0</v>
      </c>
      <c r="I651" s="4" t="n">
        <v>576.25</v>
      </c>
      <c r="J651" s="13">
        <f>IF(I651&gt;0,H651/I651,"")</f>
        <v/>
      </c>
      <c r="K651" s="4">
        <f>IF(I651&lt;=0,"NO DEMAND",IF(H651=0,"STOCKOUT",IF(J651&lt;Config!$B$5,"CRITICAL",IF(J651&lt;Config!$B$6,"LOW",IF(J651&gt;Config!$B$7,"EXCESS","HEALTHY")))))</f>
        <v/>
      </c>
      <c r="L651" s="11" t="n">
        <v>37</v>
      </c>
      <c r="M651" s="11" t="n">
        <v>47</v>
      </c>
      <c r="N651" s="11">
        <f>H651*L651</f>
        <v/>
      </c>
      <c r="O651" s="11">
        <f>IF(I651&gt;0,I651*(M651-L651),0)</f>
        <v/>
      </c>
      <c r="P651" s="11" t="n">
        <v>2196</v>
      </c>
    </row>
    <row r="652">
      <c r="A652" s="4" t="inlineStr">
        <is>
          <t>WH06</t>
        </is>
      </c>
      <c r="B652" s="4" t="inlineStr">
        <is>
          <t>Ahmedabad DC</t>
        </is>
      </c>
      <c r="C652" s="4" t="inlineStr">
        <is>
          <t>West</t>
        </is>
      </c>
      <c r="D652" s="4" t="inlineStr">
        <is>
          <t>SKU048</t>
        </is>
      </c>
      <c r="E652" s="4" t="inlineStr">
        <is>
          <t>Toothpaste 150g</t>
        </is>
      </c>
      <c r="F652" s="4" t="inlineStr">
        <is>
          <t>Personal Care</t>
        </is>
      </c>
      <c r="G652" s="4" t="inlineStr">
        <is>
          <t>C</t>
        </is>
      </c>
      <c r="H652" s="11" t="n">
        <v>401</v>
      </c>
      <c r="I652" s="4" t="n">
        <v>139.25</v>
      </c>
      <c r="J652" s="13">
        <f>IF(I652&gt;0,H652/I652,"")</f>
        <v/>
      </c>
      <c r="K652" s="4">
        <f>IF(I652&lt;=0,"NO DEMAND",IF(H652=0,"STOCKOUT",IF(J652&lt;Config!$B$5,"CRITICAL",IF(J652&lt;Config!$B$6,"LOW",IF(J652&gt;Config!$B$7,"EXCESS","HEALTHY")))))</f>
        <v/>
      </c>
      <c r="L652" s="11" t="n">
        <v>51</v>
      </c>
      <c r="M652" s="11" t="n">
        <v>67</v>
      </c>
      <c r="N652" s="11">
        <f>H652*L652</f>
        <v/>
      </c>
      <c r="O652" s="11">
        <f>IF(I652&gt;0,I652*(M652-L652),0)</f>
        <v/>
      </c>
      <c r="P652" s="11" t="n">
        <v>732</v>
      </c>
    </row>
    <row r="653">
      <c r="A653" s="4" t="inlineStr">
        <is>
          <t>WH06</t>
        </is>
      </c>
      <c r="B653" s="4" t="inlineStr">
        <is>
          <t>Ahmedabad DC</t>
        </is>
      </c>
      <c r="C653" s="4" t="inlineStr">
        <is>
          <t>West</t>
        </is>
      </c>
      <c r="D653" s="4" t="inlineStr">
        <is>
          <t>SKU049</t>
        </is>
      </c>
      <c r="E653" s="4" t="inlineStr">
        <is>
          <t>Face Wash 100ml</t>
        </is>
      </c>
      <c r="F653" s="4" t="inlineStr">
        <is>
          <t>Personal Care</t>
        </is>
      </c>
      <c r="G653" s="4" t="inlineStr">
        <is>
          <t>C</t>
        </is>
      </c>
      <c r="H653" s="11" t="n">
        <v>735</v>
      </c>
      <c r="I653" s="4" t="n">
        <v>318.5</v>
      </c>
      <c r="J653" s="13">
        <f>IF(I653&gt;0,H653/I653,"")</f>
        <v/>
      </c>
      <c r="K653" s="4">
        <f>IF(I653&lt;=0,"NO DEMAND",IF(H653=0,"STOCKOUT",IF(J653&lt;Config!$B$5,"CRITICAL",IF(J653&lt;Config!$B$6,"LOW",IF(J653&gt;Config!$B$7,"EXCESS","HEALTHY")))))</f>
        <v/>
      </c>
      <c r="L653" s="11" t="n">
        <v>32</v>
      </c>
      <c r="M653" s="11" t="n">
        <v>41</v>
      </c>
      <c r="N653" s="11">
        <f>H653*L653</f>
        <v/>
      </c>
      <c r="O653" s="11">
        <f>IF(I653&gt;0,I653*(M653-L653),0)</f>
        <v/>
      </c>
      <c r="P653" s="11" t="n">
        <v>0</v>
      </c>
    </row>
    <row r="654">
      <c r="A654" s="4" t="inlineStr">
        <is>
          <t>WH06</t>
        </is>
      </c>
      <c r="B654" s="4" t="inlineStr">
        <is>
          <t>Ahmedabad DC</t>
        </is>
      </c>
      <c r="C654" s="4" t="inlineStr">
        <is>
          <t>West</t>
        </is>
      </c>
      <c r="D654" s="4" t="inlineStr">
        <is>
          <t>SKU050</t>
        </is>
      </c>
      <c r="E654" s="4" t="inlineStr">
        <is>
          <t>Body Lotion 400ml</t>
        </is>
      </c>
      <c r="F654" s="4" t="inlineStr">
        <is>
          <t>Personal Care</t>
        </is>
      </c>
      <c r="G654" s="4" t="inlineStr">
        <is>
          <t>B</t>
        </is>
      </c>
      <c r="H654" s="11" t="n">
        <v>826</v>
      </c>
      <c r="I654" s="4" t="n">
        <v>56</v>
      </c>
      <c r="J654" s="13">
        <f>IF(I654&gt;0,H654/I654,"")</f>
        <v/>
      </c>
      <c r="K654" s="4">
        <f>IF(I654&lt;=0,"NO DEMAND",IF(H654=0,"STOCKOUT",IF(J654&lt;Config!$B$5,"CRITICAL",IF(J654&lt;Config!$B$6,"LOW",IF(J654&gt;Config!$B$7,"EXCESS","HEALTHY")))))</f>
        <v/>
      </c>
      <c r="L654" s="11" t="n">
        <v>138</v>
      </c>
      <c r="M654" s="11" t="n">
        <v>175</v>
      </c>
      <c r="N654" s="11">
        <f>H654*L654</f>
        <v/>
      </c>
      <c r="O654" s="11">
        <f>IF(I654&gt;0,I654*(M654-L654),0)</f>
        <v/>
      </c>
      <c r="P654" s="11" t="n">
        <v>0</v>
      </c>
    </row>
    <row r="655">
      <c r="A655" s="4" t="inlineStr">
        <is>
          <t>WH06</t>
        </is>
      </c>
      <c r="B655" s="4" t="inlineStr">
        <is>
          <t>Ahmedabad DC</t>
        </is>
      </c>
      <c r="C655" s="4" t="inlineStr">
        <is>
          <t>West</t>
        </is>
      </c>
      <c r="D655" s="4" t="inlineStr">
        <is>
          <t>SKU051</t>
        </is>
      </c>
      <c r="E655" s="4" t="inlineStr">
        <is>
          <t>Hair Oil 200ml</t>
        </is>
      </c>
      <c r="F655" s="4" t="inlineStr">
        <is>
          <t>Personal Care</t>
        </is>
      </c>
      <c r="G655" s="4" t="inlineStr">
        <is>
          <t>B</t>
        </is>
      </c>
      <c r="H655" s="11" t="n">
        <v>1171</v>
      </c>
      <c r="I655" s="4" t="n">
        <v>215.25</v>
      </c>
      <c r="J655" s="13">
        <f>IF(I655&gt;0,H655/I655,"")</f>
        <v/>
      </c>
      <c r="K655" s="4">
        <f>IF(I655&lt;=0,"NO DEMAND",IF(H655=0,"STOCKOUT",IF(J655&lt;Config!$B$5,"CRITICAL",IF(J655&lt;Config!$B$6,"LOW",IF(J655&gt;Config!$B$7,"EXCESS","HEALTHY")))))</f>
        <v/>
      </c>
      <c r="L655" s="11" t="n">
        <v>156</v>
      </c>
      <c r="M655" s="11" t="n">
        <v>203</v>
      </c>
      <c r="N655" s="11">
        <f>H655*L655</f>
        <v/>
      </c>
      <c r="O655" s="11">
        <f>IF(I655&gt;0,I655*(M655-L655),0)</f>
        <v/>
      </c>
      <c r="P655" s="11" t="n">
        <v>0</v>
      </c>
    </row>
    <row r="656">
      <c r="A656" s="4" t="inlineStr">
        <is>
          <t>WH06</t>
        </is>
      </c>
      <c r="B656" s="4" t="inlineStr">
        <is>
          <t>Ahmedabad DC</t>
        </is>
      </c>
      <c r="C656" s="4" t="inlineStr">
        <is>
          <t>West</t>
        </is>
      </c>
      <c r="D656" s="4" t="inlineStr">
        <is>
          <t>SKU052</t>
        </is>
      </c>
      <c r="E656" s="4" t="inlineStr">
        <is>
          <t>Deodorant 150ml</t>
        </is>
      </c>
      <c r="F656" s="4" t="inlineStr">
        <is>
          <t>Personal Care</t>
        </is>
      </c>
      <c r="G656" s="4" t="inlineStr">
        <is>
          <t>B</t>
        </is>
      </c>
      <c r="H656" s="11" t="n">
        <v>457</v>
      </c>
      <c r="I656" s="4" t="n">
        <v>458.25</v>
      </c>
      <c r="J656" s="13">
        <f>IF(I656&gt;0,H656/I656,"")</f>
        <v/>
      </c>
      <c r="K656" s="4">
        <f>IF(I656&lt;=0,"NO DEMAND",IF(H656=0,"STOCKOUT",IF(J656&lt;Config!$B$5,"CRITICAL",IF(J656&lt;Config!$B$6,"LOW",IF(J656&gt;Config!$B$7,"EXCESS","HEALTHY")))))</f>
        <v/>
      </c>
      <c r="L656" s="11" t="n">
        <v>133</v>
      </c>
      <c r="M656" s="11" t="n">
        <v>179</v>
      </c>
      <c r="N656" s="11">
        <f>H656*L656</f>
        <v/>
      </c>
      <c r="O656" s="11">
        <f>IF(I656&gt;0,I656*(M656-L656),0)</f>
        <v/>
      </c>
      <c r="P656" s="11" t="n">
        <v>1368</v>
      </c>
    </row>
    <row r="657">
      <c r="A657" s="4" t="inlineStr">
        <is>
          <t>WH06</t>
        </is>
      </c>
      <c r="B657" s="4" t="inlineStr">
        <is>
          <t>Ahmedabad DC</t>
        </is>
      </c>
      <c r="C657" s="4" t="inlineStr">
        <is>
          <t>West</t>
        </is>
      </c>
      <c r="D657" s="4" t="inlineStr">
        <is>
          <t>SKU053</t>
        </is>
      </c>
      <c r="E657" s="4" t="inlineStr">
        <is>
          <t>Sanitary Pads 20pk</t>
        </is>
      </c>
      <c r="F657" s="4" t="inlineStr">
        <is>
          <t>Personal Care</t>
        </is>
      </c>
      <c r="G657" s="4" t="inlineStr">
        <is>
          <t>C</t>
        </is>
      </c>
      <c r="H657" s="11" t="n">
        <v>857</v>
      </c>
      <c r="I657" s="4" t="n">
        <v>568.25</v>
      </c>
      <c r="J657" s="13">
        <f>IF(I657&gt;0,H657/I657,"")</f>
        <v/>
      </c>
      <c r="K657" s="4">
        <f>IF(I657&lt;=0,"NO DEMAND",IF(H657=0,"STOCKOUT",IF(J657&lt;Config!$B$5,"CRITICAL",IF(J657&lt;Config!$B$6,"LOW",IF(J657&gt;Config!$B$7,"EXCESS","HEALTHY")))))</f>
        <v/>
      </c>
      <c r="L657" s="11" t="n">
        <v>31</v>
      </c>
      <c r="M657" s="11" t="n">
        <v>39</v>
      </c>
      <c r="N657" s="11">
        <f>H657*L657</f>
        <v/>
      </c>
      <c r="O657" s="11">
        <f>IF(I657&gt;0,I657*(M657-L657),0)</f>
        <v/>
      </c>
      <c r="P657" s="11" t="n">
        <v>1788</v>
      </c>
    </row>
    <row r="658">
      <c r="A658" s="4" t="inlineStr">
        <is>
          <t>WH06</t>
        </is>
      </c>
      <c r="B658" s="4" t="inlineStr">
        <is>
          <t>Ahmedabad DC</t>
        </is>
      </c>
      <c r="C658" s="4" t="inlineStr">
        <is>
          <t>West</t>
        </is>
      </c>
      <c r="D658" s="4" t="inlineStr">
        <is>
          <t>SKU054</t>
        </is>
      </c>
      <c r="E658" s="4" t="inlineStr">
        <is>
          <t>Razor 5pk</t>
        </is>
      </c>
      <c r="F658" s="4" t="inlineStr">
        <is>
          <t>Personal Care</t>
        </is>
      </c>
      <c r="G658" s="4" t="inlineStr">
        <is>
          <t>B</t>
        </is>
      </c>
      <c r="H658" s="11" t="n">
        <v>1692</v>
      </c>
      <c r="I658" s="4" t="n">
        <v>285.5</v>
      </c>
      <c r="J658" s="13">
        <f>IF(I658&gt;0,H658/I658,"")</f>
        <v/>
      </c>
      <c r="K658" s="4">
        <f>IF(I658&lt;=0,"NO DEMAND",IF(H658=0,"STOCKOUT",IF(J658&lt;Config!$B$5,"CRITICAL",IF(J658&lt;Config!$B$6,"LOW",IF(J658&gt;Config!$B$7,"EXCESS","HEALTHY")))))</f>
        <v/>
      </c>
      <c r="L658" s="11" t="n">
        <v>106</v>
      </c>
      <c r="M658" s="11" t="n">
        <v>137</v>
      </c>
      <c r="N658" s="11">
        <f>H658*L658</f>
        <v/>
      </c>
      <c r="O658" s="11">
        <f>IF(I658&gt;0,I658*(M658-L658),0)</f>
        <v/>
      </c>
      <c r="P658" s="11" t="n">
        <v>0</v>
      </c>
    </row>
    <row r="659">
      <c r="A659" s="4" t="inlineStr">
        <is>
          <t>WH06</t>
        </is>
      </c>
      <c r="B659" s="4" t="inlineStr">
        <is>
          <t>Ahmedabad DC</t>
        </is>
      </c>
      <c r="C659" s="4" t="inlineStr">
        <is>
          <t>West</t>
        </is>
      </c>
      <c r="D659" s="4" t="inlineStr">
        <is>
          <t>SKU055</t>
        </is>
      </c>
      <c r="E659" s="4" t="inlineStr">
        <is>
          <t>Talc 300g</t>
        </is>
      </c>
      <c r="F659" s="4" t="inlineStr">
        <is>
          <t>Personal Care</t>
        </is>
      </c>
      <c r="G659" s="4" t="inlineStr">
        <is>
          <t>B</t>
        </is>
      </c>
      <c r="H659" s="11" t="n">
        <v>0</v>
      </c>
      <c r="I659" s="4" t="n">
        <v>557.75</v>
      </c>
      <c r="J659" s="13">
        <f>IF(I659&gt;0,H659/I659,"")</f>
        <v/>
      </c>
      <c r="K659" s="4">
        <f>IF(I659&lt;=0,"NO DEMAND",IF(H659=0,"STOCKOUT",IF(J659&lt;Config!$B$5,"CRITICAL",IF(J659&lt;Config!$B$6,"LOW",IF(J659&gt;Config!$B$7,"EXCESS","HEALTHY")))))</f>
        <v/>
      </c>
      <c r="L659" s="11" t="n">
        <v>77</v>
      </c>
      <c r="M659" s="11" t="n">
        <v>100</v>
      </c>
      <c r="N659" s="11">
        <f>H659*L659</f>
        <v/>
      </c>
      <c r="O659" s="11">
        <f>IF(I659&gt;0,I659*(M659-L659),0)</f>
        <v/>
      </c>
      <c r="P659" s="11" t="n">
        <v>1644</v>
      </c>
    </row>
    <row r="660">
      <c r="A660" s="4" t="inlineStr">
        <is>
          <t>WH06</t>
        </is>
      </c>
      <c r="B660" s="4" t="inlineStr">
        <is>
          <t>Ahmedabad DC</t>
        </is>
      </c>
      <c r="C660" s="4" t="inlineStr">
        <is>
          <t>West</t>
        </is>
      </c>
      <c r="D660" s="4" t="inlineStr">
        <is>
          <t>SKU056</t>
        </is>
      </c>
      <c r="E660" s="4" t="inlineStr">
        <is>
          <t>Sunscreen 50g</t>
        </is>
      </c>
      <c r="F660" s="4" t="inlineStr">
        <is>
          <t>Personal Care</t>
        </is>
      </c>
      <c r="G660" s="4" t="inlineStr">
        <is>
          <t>A</t>
        </is>
      </c>
      <c r="H660" s="11" t="n">
        <v>901</v>
      </c>
      <c r="I660" s="4" t="n">
        <v>222.5</v>
      </c>
      <c r="J660" s="13">
        <f>IF(I660&gt;0,H660/I660,"")</f>
        <v/>
      </c>
      <c r="K660" s="4">
        <f>IF(I660&lt;=0,"NO DEMAND",IF(H660=0,"STOCKOUT",IF(J660&lt;Config!$B$5,"CRITICAL",IF(J660&lt;Config!$B$6,"LOW",IF(J660&gt;Config!$B$7,"EXCESS","HEALTHY")))))</f>
        <v/>
      </c>
      <c r="L660" s="11" t="n">
        <v>393</v>
      </c>
      <c r="M660" s="11" t="n">
        <v>510</v>
      </c>
      <c r="N660" s="11">
        <f>H660*L660</f>
        <v/>
      </c>
      <c r="O660" s="11">
        <f>IF(I660&gt;0,I660*(M660-L660),0)</f>
        <v/>
      </c>
      <c r="P660" s="11" t="n">
        <v>0</v>
      </c>
    </row>
    <row r="661">
      <c r="A661" s="4" t="inlineStr">
        <is>
          <t>WH06</t>
        </is>
      </c>
      <c r="B661" s="4" t="inlineStr">
        <is>
          <t>Ahmedabad DC</t>
        </is>
      </c>
      <c r="C661" s="4" t="inlineStr">
        <is>
          <t>West</t>
        </is>
      </c>
      <c r="D661" s="4" t="inlineStr">
        <is>
          <t>SKU057</t>
        </is>
      </c>
      <c r="E661" s="4" t="inlineStr">
        <is>
          <t>Hand Wash 250ml</t>
        </is>
      </c>
      <c r="F661" s="4" t="inlineStr">
        <is>
          <t>Personal Care</t>
        </is>
      </c>
      <c r="G661" s="4" t="inlineStr">
        <is>
          <t>C</t>
        </is>
      </c>
      <c r="H661" s="11" t="n">
        <v>483</v>
      </c>
      <c r="I661" s="4" t="n">
        <v>165.25</v>
      </c>
      <c r="J661" s="13">
        <f>IF(I661&gt;0,H661/I661,"")</f>
        <v/>
      </c>
      <c r="K661" s="4">
        <f>IF(I661&lt;=0,"NO DEMAND",IF(H661=0,"STOCKOUT",IF(J661&lt;Config!$B$5,"CRITICAL",IF(J661&lt;Config!$B$6,"LOW",IF(J661&gt;Config!$B$7,"EXCESS","HEALTHY")))))</f>
        <v/>
      </c>
      <c r="L661" s="11" t="n">
        <v>108</v>
      </c>
      <c r="M661" s="11" t="n">
        <v>136</v>
      </c>
      <c r="N661" s="11">
        <f>H661*L661</f>
        <v/>
      </c>
      <c r="O661" s="11">
        <f>IF(I661&gt;0,I661*(M661-L661),0)</f>
        <v/>
      </c>
      <c r="P661" s="11" t="n">
        <v>0</v>
      </c>
    </row>
    <row r="662">
      <c r="A662" s="4" t="inlineStr">
        <is>
          <t>WH06</t>
        </is>
      </c>
      <c r="B662" s="4" t="inlineStr">
        <is>
          <t>Ahmedabad DC</t>
        </is>
      </c>
      <c r="C662" s="4" t="inlineStr">
        <is>
          <t>West</t>
        </is>
      </c>
      <c r="D662" s="4" t="inlineStr">
        <is>
          <t>SKU058</t>
        </is>
      </c>
      <c r="E662" s="4" t="inlineStr">
        <is>
          <t>Kajal Pack</t>
        </is>
      </c>
      <c r="F662" s="4" t="inlineStr">
        <is>
          <t>Personal Care</t>
        </is>
      </c>
      <c r="G662" s="4" t="inlineStr">
        <is>
          <t>A</t>
        </is>
      </c>
      <c r="H662" s="11" t="n">
        <v>423</v>
      </c>
      <c r="I662" s="4" t="n">
        <v>237.25</v>
      </c>
      <c r="J662" s="13">
        <f>IF(I662&gt;0,H662/I662,"")</f>
        <v/>
      </c>
      <c r="K662" s="4">
        <f>IF(I662&lt;=0,"NO DEMAND",IF(H662=0,"STOCKOUT",IF(J662&lt;Config!$B$5,"CRITICAL",IF(J662&lt;Config!$B$6,"LOW",IF(J662&gt;Config!$B$7,"EXCESS","HEALTHY")))))</f>
        <v/>
      </c>
      <c r="L662" s="11" t="n">
        <v>392</v>
      </c>
      <c r="M662" s="11" t="n">
        <v>498</v>
      </c>
      <c r="N662" s="11">
        <f>H662*L662</f>
        <v/>
      </c>
      <c r="O662" s="11">
        <f>IF(I662&gt;0,I662*(M662-L662),0)</f>
        <v/>
      </c>
      <c r="P662" s="11" t="n">
        <v>744</v>
      </c>
    </row>
    <row r="663">
      <c r="A663" s="4" t="inlineStr">
        <is>
          <t>WH06</t>
        </is>
      </c>
      <c r="B663" s="4" t="inlineStr">
        <is>
          <t>Ahmedabad DC</t>
        </is>
      </c>
      <c r="C663" s="4" t="inlineStr">
        <is>
          <t>West</t>
        </is>
      </c>
      <c r="D663" s="4" t="inlineStr">
        <is>
          <t>SKU059</t>
        </is>
      </c>
      <c r="E663" s="4" t="inlineStr">
        <is>
          <t>Lip Balm</t>
        </is>
      </c>
      <c r="F663" s="4" t="inlineStr">
        <is>
          <t>Personal Care</t>
        </is>
      </c>
      <c r="G663" s="4" t="inlineStr">
        <is>
          <t>B</t>
        </is>
      </c>
      <c r="H663" s="11" t="n">
        <v>0</v>
      </c>
      <c r="I663" s="4" t="n">
        <v>279.5</v>
      </c>
      <c r="J663" s="13">
        <f>IF(I663&gt;0,H663/I663,"")</f>
        <v/>
      </c>
      <c r="K663" s="4">
        <f>IF(I663&lt;=0,"NO DEMAND",IF(H663=0,"STOCKOUT",IF(J663&lt;Config!$B$5,"CRITICAL",IF(J663&lt;Config!$B$6,"LOW",IF(J663&gt;Config!$B$7,"EXCESS","HEALTHY")))))</f>
        <v/>
      </c>
      <c r="L663" s="11" t="n">
        <v>150</v>
      </c>
      <c r="M663" s="11" t="n">
        <v>198</v>
      </c>
      <c r="N663" s="11">
        <f>H663*L663</f>
        <v/>
      </c>
      <c r="O663" s="11">
        <f>IF(I663&gt;0,I663*(M663-L663),0)</f>
        <v/>
      </c>
      <c r="P663" s="11" t="n">
        <v>828</v>
      </c>
    </row>
    <row r="664">
      <c r="A664" s="4" t="inlineStr">
        <is>
          <t>WH06</t>
        </is>
      </c>
      <c r="B664" s="4" t="inlineStr">
        <is>
          <t>Ahmedabad DC</t>
        </is>
      </c>
      <c r="C664" s="4" t="inlineStr">
        <is>
          <t>West</t>
        </is>
      </c>
      <c r="D664" s="4" t="inlineStr">
        <is>
          <t>SKU060</t>
        </is>
      </c>
      <c r="E664" s="4" t="inlineStr">
        <is>
          <t>Mouthwash 250ml</t>
        </is>
      </c>
      <c r="F664" s="4" t="inlineStr">
        <is>
          <t>Personal Care</t>
        </is>
      </c>
      <c r="G664" s="4" t="inlineStr">
        <is>
          <t>A</t>
        </is>
      </c>
      <c r="H664" s="11" t="n">
        <v>584</v>
      </c>
      <c r="I664" s="4" t="n">
        <v>455.5</v>
      </c>
      <c r="J664" s="13">
        <f>IF(I664&gt;0,H664/I664,"")</f>
        <v/>
      </c>
      <c r="K664" s="4">
        <f>IF(I664&lt;=0,"NO DEMAND",IF(H664=0,"STOCKOUT",IF(J664&lt;Config!$B$5,"CRITICAL",IF(J664&lt;Config!$B$6,"LOW",IF(J664&gt;Config!$B$7,"EXCESS","HEALTHY")))))</f>
        <v/>
      </c>
      <c r="L664" s="11" t="n">
        <v>376</v>
      </c>
      <c r="M664" s="11" t="n">
        <v>491</v>
      </c>
      <c r="N664" s="11">
        <f>H664*L664</f>
        <v/>
      </c>
      <c r="O664" s="11">
        <f>IF(I664&gt;0,I664*(M664-L664),0)</f>
        <v/>
      </c>
      <c r="P664" s="11" t="n">
        <v>1488</v>
      </c>
    </row>
    <row r="665">
      <c r="A665" s="4" t="inlineStr">
        <is>
          <t>WH06</t>
        </is>
      </c>
      <c r="B665" s="4" t="inlineStr">
        <is>
          <t>Ahmedabad DC</t>
        </is>
      </c>
      <c r="C665" s="4" t="inlineStr">
        <is>
          <t>West</t>
        </is>
      </c>
      <c r="D665" s="4" t="inlineStr">
        <is>
          <t>SKU061</t>
        </is>
      </c>
      <c r="E665" s="4" t="inlineStr">
        <is>
          <t>Detergent Powder 2kg</t>
        </is>
      </c>
      <c r="F665" s="4" t="inlineStr">
        <is>
          <t>Home Care</t>
        </is>
      </c>
      <c r="G665" s="4" t="inlineStr">
        <is>
          <t>B</t>
        </is>
      </c>
      <c r="H665" s="11" t="n">
        <v>1059</v>
      </c>
      <c r="I665" s="4" t="n">
        <v>433.5</v>
      </c>
      <c r="J665" s="13">
        <f>IF(I665&gt;0,H665/I665,"")</f>
        <v/>
      </c>
      <c r="K665" s="4">
        <f>IF(I665&lt;=0,"NO DEMAND",IF(H665=0,"STOCKOUT",IF(J665&lt;Config!$B$5,"CRITICAL",IF(J665&lt;Config!$B$6,"LOW",IF(J665&gt;Config!$B$7,"EXCESS","HEALTHY")))))</f>
        <v/>
      </c>
      <c r="L665" s="11" t="n">
        <v>104</v>
      </c>
      <c r="M665" s="11" t="n">
        <v>132</v>
      </c>
      <c r="N665" s="11">
        <f>H665*L665</f>
        <v/>
      </c>
      <c r="O665" s="11">
        <f>IF(I665&gt;0,I665*(M665-L665),0)</f>
        <v/>
      </c>
      <c r="P665" s="11" t="n">
        <v>0</v>
      </c>
    </row>
    <row r="666">
      <c r="A666" s="4" t="inlineStr">
        <is>
          <t>WH06</t>
        </is>
      </c>
      <c r="B666" s="4" t="inlineStr">
        <is>
          <t>Ahmedabad DC</t>
        </is>
      </c>
      <c r="C666" s="4" t="inlineStr">
        <is>
          <t>West</t>
        </is>
      </c>
      <c r="D666" s="4" t="inlineStr">
        <is>
          <t>SKU062</t>
        </is>
      </c>
      <c r="E666" s="4" t="inlineStr">
        <is>
          <t>Dishwash Liquid 750ml</t>
        </is>
      </c>
      <c r="F666" s="4" t="inlineStr">
        <is>
          <t>Home Care</t>
        </is>
      </c>
      <c r="G666" s="4" t="inlineStr">
        <is>
          <t>A</t>
        </is>
      </c>
      <c r="H666" s="11" t="n">
        <v>201</v>
      </c>
      <c r="I666" s="4" t="n">
        <v>351.75</v>
      </c>
      <c r="J666" s="13">
        <f>IF(I666&gt;0,H666/I666,"")</f>
        <v/>
      </c>
      <c r="K666" s="4">
        <f>IF(I666&lt;=0,"NO DEMAND",IF(H666=0,"STOCKOUT",IF(J666&lt;Config!$B$5,"CRITICAL",IF(J666&lt;Config!$B$6,"LOW",IF(J666&gt;Config!$B$7,"EXCESS","HEALTHY")))))</f>
        <v/>
      </c>
      <c r="L666" s="11" t="n">
        <v>122</v>
      </c>
      <c r="M666" s="11" t="n">
        <v>148</v>
      </c>
      <c r="N666" s="11">
        <f>H666*L666</f>
        <v/>
      </c>
      <c r="O666" s="11">
        <f>IF(I666&gt;0,I666*(M666-L666),0)</f>
        <v/>
      </c>
      <c r="P666" s="11" t="n">
        <v>1380</v>
      </c>
    </row>
    <row r="667">
      <c r="A667" s="4" t="inlineStr">
        <is>
          <t>WH06</t>
        </is>
      </c>
      <c r="B667" s="4" t="inlineStr">
        <is>
          <t>Ahmedabad DC</t>
        </is>
      </c>
      <c r="C667" s="4" t="inlineStr">
        <is>
          <t>West</t>
        </is>
      </c>
      <c r="D667" s="4" t="inlineStr">
        <is>
          <t>SKU063</t>
        </is>
      </c>
      <c r="E667" s="4" t="inlineStr">
        <is>
          <t>Floor Cleaner 1L</t>
        </is>
      </c>
      <c r="F667" s="4" t="inlineStr">
        <is>
          <t>Home Care</t>
        </is>
      </c>
      <c r="G667" s="4" t="inlineStr">
        <is>
          <t>C</t>
        </is>
      </c>
      <c r="H667" s="11" t="n">
        <v>0</v>
      </c>
      <c r="I667" s="4" t="n">
        <v>663.25</v>
      </c>
      <c r="J667" s="13">
        <f>IF(I667&gt;0,H667/I667,"")</f>
        <v/>
      </c>
      <c r="K667" s="4">
        <f>IF(I667&lt;=0,"NO DEMAND",IF(H667=0,"STOCKOUT",IF(J667&lt;Config!$B$5,"CRITICAL",IF(J667&lt;Config!$B$6,"LOW",IF(J667&gt;Config!$B$7,"EXCESS","HEALTHY")))))</f>
        <v/>
      </c>
      <c r="L667" s="11" t="n">
        <v>44</v>
      </c>
      <c r="M667" s="11" t="n">
        <v>56</v>
      </c>
      <c r="N667" s="11">
        <f>H667*L667</f>
        <v/>
      </c>
      <c r="O667" s="11">
        <f>IF(I667&gt;0,I667*(M667-L667),0)</f>
        <v/>
      </c>
      <c r="P667" s="11" t="n">
        <v>2448</v>
      </c>
    </row>
    <row r="668">
      <c r="A668" s="4" t="inlineStr">
        <is>
          <t>WH06</t>
        </is>
      </c>
      <c r="B668" s="4" t="inlineStr">
        <is>
          <t>Ahmedabad DC</t>
        </is>
      </c>
      <c r="C668" s="4" t="inlineStr">
        <is>
          <t>West</t>
        </is>
      </c>
      <c r="D668" s="4" t="inlineStr">
        <is>
          <t>SKU064</t>
        </is>
      </c>
      <c r="E668" s="4" t="inlineStr">
        <is>
          <t>Toilet Cleaner 500ml</t>
        </is>
      </c>
      <c r="F668" s="4" t="inlineStr">
        <is>
          <t>Home Care</t>
        </is>
      </c>
      <c r="G668" s="4" t="inlineStr">
        <is>
          <t>C</t>
        </is>
      </c>
      <c r="H668" s="11" t="n">
        <v>342</v>
      </c>
      <c r="I668" s="4" t="n">
        <v>43</v>
      </c>
      <c r="J668" s="13">
        <f>IF(I668&gt;0,H668/I668,"")</f>
        <v/>
      </c>
      <c r="K668" s="4">
        <f>IF(I668&lt;=0,"NO DEMAND",IF(H668=0,"STOCKOUT",IF(J668&lt;Config!$B$5,"CRITICAL",IF(J668&lt;Config!$B$6,"LOW",IF(J668&gt;Config!$B$7,"EXCESS","HEALTHY")))))</f>
        <v/>
      </c>
      <c r="L668" s="11" t="n">
        <v>102</v>
      </c>
      <c r="M668" s="11" t="n">
        <v>128</v>
      </c>
      <c r="N668" s="11">
        <f>H668*L668</f>
        <v/>
      </c>
      <c r="O668" s="11">
        <f>IF(I668&gt;0,I668*(M668-L668),0)</f>
        <v/>
      </c>
      <c r="P668" s="11" t="n">
        <v>0</v>
      </c>
    </row>
    <row r="669">
      <c r="A669" s="4" t="inlineStr">
        <is>
          <t>WH06</t>
        </is>
      </c>
      <c r="B669" s="4" t="inlineStr">
        <is>
          <t>Ahmedabad DC</t>
        </is>
      </c>
      <c r="C669" s="4" t="inlineStr">
        <is>
          <t>West</t>
        </is>
      </c>
      <c r="D669" s="4" t="inlineStr">
        <is>
          <t>SKU065</t>
        </is>
      </c>
      <c r="E669" s="4" t="inlineStr">
        <is>
          <t>Glass Cleaner 500ml</t>
        </is>
      </c>
      <c r="F669" s="4" t="inlineStr">
        <is>
          <t>Home Care</t>
        </is>
      </c>
      <c r="G669" s="4" t="inlineStr">
        <is>
          <t>B</t>
        </is>
      </c>
      <c r="H669" s="11" t="n">
        <v>2011</v>
      </c>
      <c r="I669" s="4" t="n">
        <v>478.75</v>
      </c>
      <c r="J669" s="13">
        <f>IF(I669&gt;0,H669/I669,"")</f>
        <v/>
      </c>
      <c r="K669" s="4">
        <f>IF(I669&lt;=0,"NO DEMAND",IF(H669=0,"STOCKOUT",IF(J669&lt;Config!$B$5,"CRITICAL",IF(J669&lt;Config!$B$6,"LOW",IF(J669&gt;Config!$B$7,"EXCESS","HEALTHY")))))</f>
        <v/>
      </c>
      <c r="L669" s="11" t="n">
        <v>82</v>
      </c>
      <c r="M669" s="11" t="n">
        <v>102</v>
      </c>
      <c r="N669" s="11">
        <f>H669*L669</f>
        <v/>
      </c>
      <c r="O669" s="11">
        <f>IF(I669&gt;0,I669*(M669-L669),0)</f>
        <v/>
      </c>
      <c r="P669" s="11" t="n">
        <v>0</v>
      </c>
    </row>
    <row r="670">
      <c r="A670" s="4" t="inlineStr">
        <is>
          <t>WH06</t>
        </is>
      </c>
      <c r="B670" s="4" t="inlineStr">
        <is>
          <t>Ahmedabad DC</t>
        </is>
      </c>
      <c r="C670" s="4" t="inlineStr">
        <is>
          <t>West</t>
        </is>
      </c>
      <c r="D670" s="4" t="inlineStr">
        <is>
          <t>SKU066</t>
        </is>
      </c>
      <c r="E670" s="4" t="inlineStr">
        <is>
          <t>Fabric Softener 1L</t>
        </is>
      </c>
      <c r="F670" s="4" t="inlineStr">
        <is>
          <t>Home Care</t>
        </is>
      </c>
      <c r="G670" s="4" t="inlineStr">
        <is>
          <t>B</t>
        </is>
      </c>
      <c r="H670" s="11" t="n">
        <v>2130</v>
      </c>
      <c r="I670" s="4" t="n">
        <v>628.75</v>
      </c>
      <c r="J670" s="13">
        <f>IF(I670&gt;0,H670/I670,"")</f>
        <v/>
      </c>
      <c r="K670" s="4">
        <f>IF(I670&lt;=0,"NO DEMAND",IF(H670=0,"STOCKOUT",IF(J670&lt;Config!$B$5,"CRITICAL",IF(J670&lt;Config!$B$6,"LOW",IF(J670&gt;Config!$B$7,"EXCESS","HEALTHY")))))</f>
        <v/>
      </c>
      <c r="L670" s="11" t="n">
        <v>51</v>
      </c>
      <c r="M670" s="11" t="n">
        <v>65</v>
      </c>
      <c r="N670" s="11">
        <f>H670*L670</f>
        <v/>
      </c>
      <c r="O670" s="11">
        <f>IF(I670&gt;0,I670*(M670-L670),0)</f>
        <v/>
      </c>
      <c r="P670" s="11" t="n">
        <v>0</v>
      </c>
    </row>
    <row r="671">
      <c r="A671" s="4" t="inlineStr">
        <is>
          <t>WH06</t>
        </is>
      </c>
      <c r="B671" s="4" t="inlineStr">
        <is>
          <t>Ahmedabad DC</t>
        </is>
      </c>
      <c r="C671" s="4" t="inlineStr">
        <is>
          <t>West</t>
        </is>
      </c>
      <c r="D671" s="4" t="inlineStr">
        <is>
          <t>SKU067</t>
        </is>
      </c>
      <c r="E671" s="4" t="inlineStr">
        <is>
          <t>Mosquito Coil 10pk</t>
        </is>
      </c>
      <c r="F671" s="4" t="inlineStr">
        <is>
          <t>Home Care</t>
        </is>
      </c>
      <c r="G671" s="4" t="inlineStr">
        <is>
          <t>A</t>
        </is>
      </c>
      <c r="H671" s="11" t="n">
        <v>990</v>
      </c>
      <c r="I671" s="4" t="n">
        <v>371.5</v>
      </c>
      <c r="J671" s="13">
        <f>IF(I671&gt;0,H671/I671,"")</f>
        <v/>
      </c>
      <c r="K671" s="4">
        <f>IF(I671&lt;=0,"NO DEMAND",IF(H671=0,"STOCKOUT",IF(J671&lt;Config!$B$5,"CRITICAL",IF(J671&lt;Config!$B$6,"LOW",IF(J671&gt;Config!$B$7,"EXCESS","HEALTHY")))))</f>
        <v/>
      </c>
      <c r="L671" s="11" t="n">
        <v>200</v>
      </c>
      <c r="M671" s="11" t="n">
        <v>257</v>
      </c>
      <c r="N671" s="11">
        <f>H671*L671</f>
        <v/>
      </c>
      <c r="O671" s="11">
        <f>IF(I671&gt;0,I671*(M671-L671),0)</f>
        <v/>
      </c>
      <c r="P671" s="11" t="n">
        <v>1344</v>
      </c>
    </row>
    <row r="672">
      <c r="A672" s="4" t="inlineStr">
        <is>
          <t>WH06</t>
        </is>
      </c>
      <c r="B672" s="4" t="inlineStr">
        <is>
          <t>Ahmedabad DC</t>
        </is>
      </c>
      <c r="C672" s="4" t="inlineStr">
        <is>
          <t>West</t>
        </is>
      </c>
      <c r="D672" s="4" t="inlineStr">
        <is>
          <t>SKU068</t>
        </is>
      </c>
      <c r="E672" s="4" t="inlineStr">
        <is>
          <t>Air Freshener 250ml</t>
        </is>
      </c>
      <c r="F672" s="4" t="inlineStr">
        <is>
          <t>Home Care</t>
        </is>
      </c>
      <c r="G672" s="4" t="inlineStr">
        <is>
          <t>A</t>
        </is>
      </c>
      <c r="H672" s="11" t="n">
        <v>990</v>
      </c>
      <c r="I672" s="4" t="n">
        <v>521.25</v>
      </c>
      <c r="J672" s="13">
        <f>IF(I672&gt;0,H672/I672,"")</f>
        <v/>
      </c>
      <c r="K672" s="4">
        <f>IF(I672&lt;=0,"NO DEMAND",IF(H672=0,"STOCKOUT",IF(J672&lt;Config!$B$5,"CRITICAL",IF(J672&lt;Config!$B$6,"LOW",IF(J672&gt;Config!$B$7,"EXCESS","HEALTHY")))))</f>
        <v/>
      </c>
      <c r="L672" s="11" t="n">
        <v>99</v>
      </c>
      <c r="M672" s="11" t="n">
        <v>123</v>
      </c>
      <c r="N672" s="11">
        <f>H672*L672</f>
        <v/>
      </c>
      <c r="O672" s="11">
        <f>IF(I672&gt;0,I672*(M672-L672),0)</f>
        <v/>
      </c>
      <c r="P672" s="11" t="n">
        <v>1872</v>
      </c>
    </row>
    <row r="673">
      <c r="A673" s="4" t="inlineStr">
        <is>
          <t>WH06</t>
        </is>
      </c>
      <c r="B673" s="4" t="inlineStr">
        <is>
          <t>Ahmedabad DC</t>
        </is>
      </c>
      <c r="C673" s="4" t="inlineStr">
        <is>
          <t>West</t>
        </is>
      </c>
      <c r="D673" s="4" t="inlineStr">
        <is>
          <t>SKU069</t>
        </is>
      </c>
      <c r="E673" s="4" t="inlineStr">
        <is>
          <t>Garbage Bags 30pk</t>
        </is>
      </c>
      <c r="F673" s="4" t="inlineStr">
        <is>
          <t>Home Care</t>
        </is>
      </c>
      <c r="G673" s="4" t="inlineStr">
        <is>
          <t>B</t>
        </is>
      </c>
      <c r="H673" s="11" t="n">
        <v>181</v>
      </c>
      <c r="I673" s="4" t="n">
        <v>44.25</v>
      </c>
      <c r="J673" s="13">
        <f>IF(I673&gt;0,H673/I673,"")</f>
        <v/>
      </c>
      <c r="K673" s="4">
        <f>IF(I673&lt;=0,"NO DEMAND",IF(H673=0,"STOCKOUT",IF(J673&lt;Config!$B$5,"CRITICAL",IF(J673&lt;Config!$B$6,"LOW",IF(J673&gt;Config!$B$7,"EXCESS","HEALTHY")))))</f>
        <v/>
      </c>
      <c r="L673" s="11" t="n">
        <v>202</v>
      </c>
      <c r="M673" s="11" t="n">
        <v>252</v>
      </c>
      <c r="N673" s="11">
        <f>H673*L673</f>
        <v/>
      </c>
      <c r="O673" s="11">
        <f>IF(I673&gt;0,I673*(M673-L673),0)</f>
        <v/>
      </c>
      <c r="P673" s="11" t="n">
        <v>0</v>
      </c>
    </row>
    <row r="674">
      <c r="A674" s="4" t="inlineStr">
        <is>
          <t>WH06</t>
        </is>
      </c>
      <c r="B674" s="4" t="inlineStr">
        <is>
          <t>Ahmedabad DC</t>
        </is>
      </c>
      <c r="C674" s="4" t="inlineStr">
        <is>
          <t>West</t>
        </is>
      </c>
      <c r="D674" s="4" t="inlineStr">
        <is>
          <t>SKU070</t>
        </is>
      </c>
      <c r="E674" s="4" t="inlineStr">
        <is>
          <t>Scrub Pad 3pk</t>
        </is>
      </c>
      <c r="F674" s="4" t="inlineStr">
        <is>
          <t>Home Care</t>
        </is>
      </c>
      <c r="G674" s="4" t="inlineStr">
        <is>
          <t>A</t>
        </is>
      </c>
      <c r="H674" s="11" t="n">
        <v>2047</v>
      </c>
      <c r="I674" s="4" t="n">
        <v>847.25</v>
      </c>
      <c r="J674" s="13">
        <f>IF(I674&gt;0,H674/I674,"")</f>
        <v/>
      </c>
      <c r="K674" s="4">
        <f>IF(I674&lt;=0,"NO DEMAND",IF(H674=0,"STOCKOUT",IF(J674&lt;Config!$B$5,"CRITICAL",IF(J674&lt;Config!$B$6,"LOW",IF(J674&gt;Config!$B$7,"EXCESS","HEALTHY")))))</f>
        <v/>
      </c>
      <c r="L674" s="11" t="n">
        <v>121</v>
      </c>
      <c r="M674" s="11" t="n">
        <v>153</v>
      </c>
      <c r="N674" s="11">
        <f>H674*L674</f>
        <v/>
      </c>
      <c r="O674" s="11">
        <f>IF(I674&gt;0,I674*(M674-L674),0)</f>
        <v/>
      </c>
      <c r="P674" s="11" t="n">
        <v>0</v>
      </c>
    </row>
    <row r="675">
      <c r="A675" s="4" t="inlineStr">
        <is>
          <t>WH06</t>
        </is>
      </c>
      <c r="B675" s="4" t="inlineStr">
        <is>
          <t>Ahmedabad DC</t>
        </is>
      </c>
      <c r="C675" s="4" t="inlineStr">
        <is>
          <t>West</t>
        </is>
      </c>
      <c r="D675" s="4" t="inlineStr">
        <is>
          <t>SKU071</t>
        </is>
      </c>
      <c r="E675" s="4" t="inlineStr">
        <is>
          <t>Bleach 500ml</t>
        </is>
      </c>
      <c r="F675" s="4" t="inlineStr">
        <is>
          <t>Home Care</t>
        </is>
      </c>
      <c r="G675" s="4" t="inlineStr">
        <is>
          <t>C</t>
        </is>
      </c>
      <c r="H675" s="11" t="n">
        <v>876</v>
      </c>
      <c r="I675" s="4" t="n">
        <v>191.75</v>
      </c>
      <c r="J675" s="13">
        <f>IF(I675&gt;0,H675/I675,"")</f>
        <v/>
      </c>
      <c r="K675" s="4">
        <f>IF(I675&lt;=0,"NO DEMAND",IF(H675=0,"STOCKOUT",IF(J675&lt;Config!$B$5,"CRITICAL",IF(J675&lt;Config!$B$6,"LOW",IF(J675&gt;Config!$B$7,"EXCESS","HEALTHY")))))</f>
        <v/>
      </c>
      <c r="L675" s="11" t="n">
        <v>41</v>
      </c>
      <c r="M675" s="11" t="n">
        <v>51</v>
      </c>
      <c r="N675" s="11">
        <f>H675*L675</f>
        <v/>
      </c>
      <c r="O675" s="11">
        <f>IF(I675&gt;0,I675*(M675-L675),0)</f>
        <v/>
      </c>
      <c r="P675" s="11" t="n">
        <v>0</v>
      </c>
    </row>
    <row r="676">
      <c r="A676" s="4" t="inlineStr">
        <is>
          <t>WH06</t>
        </is>
      </c>
      <c r="B676" s="4" t="inlineStr">
        <is>
          <t>Ahmedabad DC</t>
        </is>
      </c>
      <c r="C676" s="4" t="inlineStr">
        <is>
          <t>West</t>
        </is>
      </c>
      <c r="D676" s="4" t="inlineStr">
        <is>
          <t>SKU072</t>
        </is>
      </c>
      <c r="E676" s="4" t="inlineStr">
        <is>
          <t>Phenyl 1L</t>
        </is>
      </c>
      <c r="F676" s="4" t="inlineStr">
        <is>
          <t>Home Care</t>
        </is>
      </c>
      <c r="G676" s="4" t="inlineStr">
        <is>
          <t>B</t>
        </is>
      </c>
      <c r="H676" s="11" t="n">
        <v>1624</v>
      </c>
      <c r="I676" s="4" t="n">
        <v>491.25</v>
      </c>
      <c r="J676" s="13">
        <f>IF(I676&gt;0,H676/I676,"")</f>
        <v/>
      </c>
      <c r="K676" s="4">
        <f>IF(I676&lt;=0,"NO DEMAND",IF(H676=0,"STOCKOUT",IF(J676&lt;Config!$B$5,"CRITICAL",IF(J676&lt;Config!$B$6,"LOW",IF(J676&gt;Config!$B$7,"EXCESS","HEALTHY")))))</f>
        <v/>
      </c>
      <c r="L676" s="11" t="n">
        <v>137</v>
      </c>
      <c r="M676" s="11" t="n">
        <v>170</v>
      </c>
      <c r="N676" s="11">
        <f>H676*L676</f>
        <v/>
      </c>
      <c r="O676" s="11">
        <f>IF(I676&gt;0,I676*(M676-L676),0)</f>
        <v/>
      </c>
      <c r="P676" s="11" t="n">
        <v>0</v>
      </c>
    </row>
    <row r="677">
      <c r="A677" s="4" t="inlineStr">
        <is>
          <t>WH06</t>
        </is>
      </c>
      <c r="B677" s="4" t="inlineStr">
        <is>
          <t>Ahmedabad DC</t>
        </is>
      </c>
      <c r="C677" s="4" t="inlineStr">
        <is>
          <t>West</t>
        </is>
      </c>
      <c r="D677" s="4" t="inlineStr">
        <is>
          <t>SKU073</t>
        </is>
      </c>
      <c r="E677" s="4" t="inlineStr">
        <is>
          <t>Agarbatti 100pk</t>
        </is>
      </c>
      <c r="F677" s="4" t="inlineStr">
        <is>
          <t>Home Care</t>
        </is>
      </c>
      <c r="G677" s="4" t="inlineStr">
        <is>
          <t>C</t>
        </is>
      </c>
      <c r="H677" s="11" t="n">
        <v>712</v>
      </c>
      <c r="I677" s="4" t="n">
        <v>310.25</v>
      </c>
      <c r="J677" s="13">
        <f>IF(I677&gt;0,H677/I677,"")</f>
        <v/>
      </c>
      <c r="K677" s="4">
        <f>IF(I677&lt;=0,"NO DEMAND",IF(H677=0,"STOCKOUT",IF(J677&lt;Config!$B$5,"CRITICAL",IF(J677&lt;Config!$B$6,"LOW",IF(J677&gt;Config!$B$7,"EXCESS","HEALTHY")))))</f>
        <v/>
      </c>
      <c r="L677" s="11" t="n">
        <v>59</v>
      </c>
      <c r="M677" s="11" t="n">
        <v>75</v>
      </c>
      <c r="N677" s="11">
        <f>H677*L677</f>
        <v/>
      </c>
      <c r="O677" s="11">
        <f>IF(I677&gt;0,I677*(M677-L677),0)</f>
        <v/>
      </c>
      <c r="P677" s="11" t="n">
        <v>0</v>
      </c>
    </row>
    <row r="678">
      <c r="A678" s="4" t="inlineStr">
        <is>
          <t>WH06</t>
        </is>
      </c>
      <c r="B678" s="4" t="inlineStr">
        <is>
          <t>Ahmedabad DC</t>
        </is>
      </c>
      <c r="C678" s="4" t="inlineStr">
        <is>
          <t>West</t>
        </is>
      </c>
      <c r="D678" s="4" t="inlineStr">
        <is>
          <t>SKU074</t>
        </is>
      </c>
      <c r="E678" s="4" t="inlineStr">
        <is>
          <t>Matchbox 10pk</t>
        </is>
      </c>
      <c r="F678" s="4" t="inlineStr">
        <is>
          <t>Home Care</t>
        </is>
      </c>
      <c r="G678" s="4" t="inlineStr">
        <is>
          <t>A</t>
        </is>
      </c>
      <c r="H678" s="11" t="n">
        <v>464</v>
      </c>
      <c r="I678" s="4" t="n">
        <v>309</v>
      </c>
      <c r="J678" s="13">
        <f>IF(I678&gt;0,H678/I678,"")</f>
        <v/>
      </c>
      <c r="K678" s="4">
        <f>IF(I678&lt;=0,"NO DEMAND",IF(H678=0,"STOCKOUT",IF(J678&lt;Config!$B$5,"CRITICAL",IF(J678&lt;Config!$B$6,"LOW",IF(J678&gt;Config!$B$7,"EXCESS","HEALTHY")))))</f>
        <v/>
      </c>
      <c r="L678" s="11" t="n">
        <v>257</v>
      </c>
      <c r="M678" s="11" t="n">
        <v>315</v>
      </c>
      <c r="N678" s="11">
        <f>H678*L678</f>
        <v/>
      </c>
      <c r="O678" s="11">
        <f>IF(I678&gt;0,I678*(M678-L678),0)</f>
        <v/>
      </c>
      <c r="P678" s="11" t="n">
        <v>984</v>
      </c>
    </row>
    <row r="679">
      <c r="A679" s="4" t="inlineStr">
        <is>
          <t>WH06</t>
        </is>
      </c>
      <c r="B679" s="4" t="inlineStr">
        <is>
          <t>Ahmedabad DC</t>
        </is>
      </c>
      <c r="C679" s="4" t="inlineStr">
        <is>
          <t>West</t>
        </is>
      </c>
      <c r="D679" s="4" t="inlineStr">
        <is>
          <t>SKU075</t>
        </is>
      </c>
      <c r="E679" s="4" t="inlineStr">
        <is>
          <t>Naphthalene Balls 200g</t>
        </is>
      </c>
      <c r="F679" s="4" t="inlineStr">
        <is>
          <t>Home Care</t>
        </is>
      </c>
      <c r="G679" s="4" t="inlineStr">
        <is>
          <t>C</t>
        </is>
      </c>
      <c r="H679" s="11" t="n">
        <v>2104</v>
      </c>
      <c r="I679" s="4" t="n">
        <v>657.25</v>
      </c>
      <c r="J679" s="13">
        <f>IF(I679&gt;0,H679/I679,"")</f>
        <v/>
      </c>
      <c r="K679" s="4">
        <f>IF(I679&lt;=0,"NO DEMAND",IF(H679=0,"STOCKOUT",IF(J679&lt;Config!$B$5,"CRITICAL",IF(J679&lt;Config!$B$6,"LOW",IF(J679&gt;Config!$B$7,"EXCESS","HEALTHY")))))</f>
        <v/>
      </c>
      <c r="L679" s="11" t="n">
        <v>49</v>
      </c>
      <c r="M679" s="11" t="n">
        <v>60</v>
      </c>
      <c r="N679" s="11">
        <f>H679*L679</f>
        <v/>
      </c>
      <c r="O679" s="11">
        <f>IF(I679&gt;0,I679*(M679-L679),0)</f>
        <v/>
      </c>
      <c r="P679" s="11" t="n">
        <v>0</v>
      </c>
    </row>
    <row r="680">
      <c r="A680" s="4" t="inlineStr">
        <is>
          <t>WH06</t>
        </is>
      </c>
      <c r="B680" s="4" t="inlineStr">
        <is>
          <t>Ahmedabad DC</t>
        </is>
      </c>
      <c r="C680" s="4" t="inlineStr">
        <is>
          <t>West</t>
        </is>
      </c>
      <c r="D680" s="4" t="inlineStr">
        <is>
          <t>SKU076</t>
        </is>
      </c>
      <c r="E680" s="4" t="inlineStr">
        <is>
          <t>USB-C Cable 1m</t>
        </is>
      </c>
      <c r="F680" s="4" t="inlineStr">
        <is>
          <t>Electronics Accessories</t>
        </is>
      </c>
      <c r="G680" s="4" t="inlineStr">
        <is>
          <t>A</t>
        </is>
      </c>
      <c r="H680" s="11" t="n">
        <v>80</v>
      </c>
      <c r="I680" s="4" t="n">
        <v>125.5</v>
      </c>
      <c r="J680" s="13">
        <f>IF(I680&gt;0,H680/I680,"")</f>
        <v/>
      </c>
      <c r="K680" s="4">
        <f>IF(I680&lt;=0,"NO DEMAND",IF(H680=0,"STOCKOUT",IF(J680&lt;Config!$B$5,"CRITICAL",IF(J680&lt;Config!$B$6,"LOW",IF(J680&gt;Config!$B$7,"EXCESS","HEALTHY")))))</f>
        <v/>
      </c>
      <c r="L680" s="11" t="n">
        <v>441</v>
      </c>
      <c r="M680" s="11" t="n">
        <v>572</v>
      </c>
      <c r="N680" s="11">
        <f>H680*L680</f>
        <v/>
      </c>
      <c r="O680" s="11">
        <f>IF(I680&gt;0,I680*(M680-L680),0)</f>
        <v/>
      </c>
      <c r="P680" s="11" t="n">
        <v>600</v>
      </c>
    </row>
    <row r="681">
      <c r="A681" s="4" t="inlineStr">
        <is>
          <t>WH06</t>
        </is>
      </c>
      <c r="B681" s="4" t="inlineStr">
        <is>
          <t>Ahmedabad DC</t>
        </is>
      </c>
      <c r="C681" s="4" t="inlineStr">
        <is>
          <t>West</t>
        </is>
      </c>
      <c r="D681" s="4" t="inlineStr">
        <is>
          <t>SKU077</t>
        </is>
      </c>
      <c r="E681" s="4" t="inlineStr">
        <is>
          <t>Fast Charger 25W</t>
        </is>
      </c>
      <c r="F681" s="4" t="inlineStr">
        <is>
          <t>Electronics Accessories</t>
        </is>
      </c>
      <c r="G681" s="4" t="inlineStr">
        <is>
          <t>B</t>
        </is>
      </c>
      <c r="H681" s="11" t="n">
        <v>370</v>
      </c>
      <c r="I681" s="4" t="n">
        <v>74.5</v>
      </c>
      <c r="J681" s="13">
        <f>IF(I681&gt;0,H681/I681,"")</f>
        <v/>
      </c>
      <c r="K681" s="4">
        <f>IF(I681&lt;=0,"NO DEMAND",IF(H681=0,"STOCKOUT",IF(J681&lt;Config!$B$5,"CRITICAL",IF(J681&lt;Config!$B$6,"LOW",IF(J681&gt;Config!$B$7,"EXCESS","HEALTHY")))))</f>
        <v/>
      </c>
      <c r="L681" s="11" t="n">
        <v>364</v>
      </c>
      <c r="M681" s="11" t="n">
        <v>465</v>
      </c>
      <c r="N681" s="11">
        <f>H681*L681</f>
        <v/>
      </c>
      <c r="O681" s="11">
        <f>IF(I681&gt;0,I681*(M681-L681),0)</f>
        <v/>
      </c>
      <c r="P681" s="11" t="n">
        <v>0</v>
      </c>
    </row>
    <row r="682">
      <c r="A682" s="4" t="inlineStr">
        <is>
          <t>WH06</t>
        </is>
      </c>
      <c r="B682" s="4" t="inlineStr">
        <is>
          <t>Ahmedabad DC</t>
        </is>
      </c>
      <c r="C682" s="4" t="inlineStr">
        <is>
          <t>West</t>
        </is>
      </c>
      <c r="D682" s="4" t="inlineStr">
        <is>
          <t>SKU078</t>
        </is>
      </c>
      <c r="E682" s="4" t="inlineStr">
        <is>
          <t>Power Bank 10000mAh</t>
        </is>
      </c>
      <c r="F682" s="4" t="inlineStr">
        <is>
          <t>Electronics Accessories</t>
        </is>
      </c>
      <c r="G682" s="4" t="inlineStr">
        <is>
          <t>B</t>
        </is>
      </c>
      <c r="H682" s="11" t="n">
        <v>0</v>
      </c>
      <c r="I682" s="4" t="n">
        <v>131.25</v>
      </c>
      <c r="J682" s="13">
        <f>IF(I682&gt;0,H682/I682,"")</f>
        <v/>
      </c>
      <c r="K682" s="4">
        <f>IF(I682&lt;=0,"NO DEMAND",IF(H682=0,"STOCKOUT",IF(J682&lt;Config!$B$5,"CRITICAL",IF(J682&lt;Config!$B$6,"LOW",IF(J682&gt;Config!$B$7,"EXCESS","HEALTHY")))))</f>
        <v/>
      </c>
      <c r="L682" s="11" t="n">
        <v>359</v>
      </c>
      <c r="M682" s="11" t="n">
        <v>471</v>
      </c>
      <c r="N682" s="11">
        <f>H682*L682</f>
        <v/>
      </c>
      <c r="O682" s="11">
        <f>IF(I682&gt;0,I682*(M682-L682),0)</f>
        <v/>
      </c>
      <c r="P682" s="11" t="n">
        <v>880</v>
      </c>
    </row>
    <row r="683">
      <c r="A683" s="4" t="inlineStr">
        <is>
          <t>WH06</t>
        </is>
      </c>
      <c r="B683" s="4" t="inlineStr">
        <is>
          <t>Ahmedabad DC</t>
        </is>
      </c>
      <c r="C683" s="4" t="inlineStr">
        <is>
          <t>West</t>
        </is>
      </c>
      <c r="D683" s="4" t="inlineStr">
        <is>
          <t>SKU079</t>
        </is>
      </c>
      <c r="E683" s="4" t="inlineStr">
        <is>
          <t>Wired Earphones</t>
        </is>
      </c>
      <c r="F683" s="4" t="inlineStr">
        <is>
          <t>Electronics Accessories</t>
        </is>
      </c>
      <c r="G683" s="4" t="inlineStr">
        <is>
          <t>A</t>
        </is>
      </c>
      <c r="H683" s="11" t="n">
        <v>336</v>
      </c>
      <c r="I683" s="4" t="n">
        <v>60.75</v>
      </c>
      <c r="J683" s="13">
        <f>IF(I683&gt;0,H683/I683,"")</f>
        <v/>
      </c>
      <c r="K683" s="4">
        <f>IF(I683&lt;=0,"NO DEMAND",IF(H683=0,"STOCKOUT",IF(J683&lt;Config!$B$5,"CRITICAL",IF(J683&lt;Config!$B$6,"LOW",IF(J683&gt;Config!$B$7,"EXCESS","HEALTHY")))))</f>
        <v/>
      </c>
      <c r="L683" s="11" t="n">
        <v>1110</v>
      </c>
      <c r="M683" s="11" t="n">
        <v>1412</v>
      </c>
      <c r="N683" s="11">
        <f>H683*L683</f>
        <v/>
      </c>
      <c r="O683" s="11">
        <f>IF(I683&gt;0,I683*(M683-L683),0)</f>
        <v/>
      </c>
      <c r="P683" s="11" t="n">
        <v>0</v>
      </c>
    </row>
    <row r="684">
      <c r="A684" s="4" t="inlineStr">
        <is>
          <t>WH06</t>
        </is>
      </c>
      <c r="B684" s="4" t="inlineStr">
        <is>
          <t>Ahmedabad DC</t>
        </is>
      </c>
      <c r="C684" s="4" t="inlineStr">
        <is>
          <t>West</t>
        </is>
      </c>
      <c r="D684" s="4" t="inlineStr">
        <is>
          <t>SKU080</t>
        </is>
      </c>
      <c r="E684" s="4" t="inlineStr">
        <is>
          <t>TWS Earbuds</t>
        </is>
      </c>
      <c r="F684" s="4" t="inlineStr">
        <is>
          <t>Electronics Accessories</t>
        </is>
      </c>
      <c r="G684" s="4" t="inlineStr">
        <is>
          <t>A</t>
        </is>
      </c>
      <c r="H684" s="11" t="n">
        <v>0</v>
      </c>
      <c r="I684" s="4" t="n">
        <v>382.75</v>
      </c>
      <c r="J684" s="13">
        <f>IF(I684&gt;0,H684/I684,"")</f>
        <v/>
      </c>
      <c r="K684" s="4">
        <f>IF(I684&lt;=0,"NO DEMAND",IF(H684=0,"STOCKOUT",IF(J684&lt;Config!$B$5,"CRITICAL",IF(J684&lt;Config!$B$6,"LOW",IF(J684&gt;Config!$B$7,"EXCESS","HEALTHY")))))</f>
        <v/>
      </c>
      <c r="L684" s="11" t="n">
        <v>2238</v>
      </c>
      <c r="M684" s="11" t="n">
        <v>2947</v>
      </c>
      <c r="N684" s="11">
        <f>H684*L684</f>
        <v/>
      </c>
      <c r="O684" s="11">
        <f>IF(I684&gt;0,I684*(M684-L684),0)</f>
        <v/>
      </c>
      <c r="P684" s="11" t="n">
        <v>2620</v>
      </c>
    </row>
    <row r="685">
      <c r="A685" s="4" t="inlineStr">
        <is>
          <t>WH06</t>
        </is>
      </c>
      <c r="B685" s="4" t="inlineStr">
        <is>
          <t>Ahmedabad DC</t>
        </is>
      </c>
      <c r="C685" s="4" t="inlineStr">
        <is>
          <t>West</t>
        </is>
      </c>
      <c r="D685" s="4" t="inlineStr">
        <is>
          <t>SKU081</t>
        </is>
      </c>
      <c r="E685" s="4" t="inlineStr">
        <is>
          <t>Bluetooth Speaker</t>
        </is>
      </c>
      <c r="F685" s="4" t="inlineStr">
        <is>
          <t>Electronics Accessories</t>
        </is>
      </c>
      <c r="G685" s="4" t="inlineStr">
        <is>
          <t>B</t>
        </is>
      </c>
      <c r="H685" s="11" t="n">
        <v>939</v>
      </c>
      <c r="I685" s="4" t="n">
        <v>187.75</v>
      </c>
      <c r="J685" s="13">
        <f>IF(I685&gt;0,H685/I685,"")</f>
        <v/>
      </c>
      <c r="K685" s="4">
        <f>IF(I685&lt;=0,"NO DEMAND",IF(H685=0,"STOCKOUT",IF(J685&lt;Config!$B$5,"CRITICAL",IF(J685&lt;Config!$B$6,"LOW",IF(J685&gt;Config!$B$7,"EXCESS","HEALTHY")))))</f>
        <v/>
      </c>
      <c r="L685" s="11" t="n">
        <v>227</v>
      </c>
      <c r="M685" s="11" t="n">
        <v>293</v>
      </c>
      <c r="N685" s="11">
        <f>H685*L685</f>
        <v/>
      </c>
      <c r="O685" s="11">
        <f>IF(I685&gt;0,I685*(M685-L685),0)</f>
        <v/>
      </c>
      <c r="P685" s="11" t="n">
        <v>830</v>
      </c>
    </row>
    <row r="686">
      <c r="A686" s="4" t="inlineStr">
        <is>
          <t>WH06</t>
        </is>
      </c>
      <c r="B686" s="4" t="inlineStr">
        <is>
          <t>Ahmedabad DC</t>
        </is>
      </c>
      <c r="C686" s="4" t="inlineStr">
        <is>
          <t>West</t>
        </is>
      </c>
      <c r="D686" s="4" t="inlineStr">
        <is>
          <t>SKU082</t>
        </is>
      </c>
      <c r="E686" s="4" t="inlineStr">
        <is>
          <t>Phone Case</t>
        </is>
      </c>
      <c r="F686" s="4" t="inlineStr">
        <is>
          <t>Electronics Accessories</t>
        </is>
      </c>
      <c r="G686" s="4" t="inlineStr">
        <is>
          <t>B</t>
        </is>
      </c>
      <c r="H686" s="11" t="n">
        <v>309</v>
      </c>
      <c r="I686" s="4" t="n">
        <v>106</v>
      </c>
      <c r="J686" s="13">
        <f>IF(I686&gt;0,H686/I686,"")</f>
        <v/>
      </c>
      <c r="K686" s="4">
        <f>IF(I686&lt;=0,"NO DEMAND",IF(H686=0,"STOCKOUT",IF(J686&lt;Config!$B$5,"CRITICAL",IF(J686&lt;Config!$B$6,"LOW",IF(J686&gt;Config!$B$7,"EXCESS","HEALTHY")))))</f>
        <v/>
      </c>
      <c r="L686" s="11" t="n">
        <v>665</v>
      </c>
      <c r="M686" s="11" t="n">
        <v>835</v>
      </c>
      <c r="N686" s="11">
        <f>H686*L686</f>
        <v/>
      </c>
      <c r="O686" s="11">
        <f>IF(I686&gt;0,I686*(M686-L686),0)</f>
        <v/>
      </c>
      <c r="P686" s="11" t="n">
        <v>450</v>
      </c>
    </row>
    <row r="687">
      <c r="A687" s="4" t="inlineStr">
        <is>
          <t>WH06</t>
        </is>
      </c>
      <c r="B687" s="4" t="inlineStr">
        <is>
          <t>Ahmedabad DC</t>
        </is>
      </c>
      <c r="C687" s="4" t="inlineStr">
        <is>
          <t>West</t>
        </is>
      </c>
      <c r="D687" s="4" t="inlineStr">
        <is>
          <t>SKU083</t>
        </is>
      </c>
      <c r="E687" s="4" t="inlineStr">
        <is>
          <t>Screen Guard</t>
        </is>
      </c>
      <c r="F687" s="4" t="inlineStr">
        <is>
          <t>Electronics Accessories</t>
        </is>
      </c>
      <c r="G687" s="4" t="inlineStr">
        <is>
          <t>C</t>
        </is>
      </c>
      <c r="H687" s="11" t="n">
        <v>45</v>
      </c>
      <c r="I687" s="4" t="n">
        <v>74.25</v>
      </c>
      <c r="J687" s="13">
        <f>IF(I687&gt;0,H687/I687,"")</f>
        <v/>
      </c>
      <c r="K687" s="4">
        <f>IF(I687&lt;=0,"NO DEMAND",IF(H687=0,"STOCKOUT",IF(J687&lt;Config!$B$5,"CRITICAL",IF(J687&lt;Config!$B$6,"LOW",IF(J687&gt;Config!$B$7,"EXCESS","HEALTHY")))))</f>
        <v/>
      </c>
      <c r="L687" s="11" t="n">
        <v>229</v>
      </c>
      <c r="M687" s="11" t="n">
        <v>298</v>
      </c>
      <c r="N687" s="11">
        <f>H687*L687</f>
        <v/>
      </c>
      <c r="O687" s="11">
        <f>IF(I687&gt;0,I687*(M687-L687),0)</f>
        <v/>
      </c>
      <c r="P687" s="11" t="n">
        <v>430</v>
      </c>
    </row>
    <row r="688">
      <c r="A688" s="4" t="inlineStr">
        <is>
          <t>WH06</t>
        </is>
      </c>
      <c r="B688" s="4" t="inlineStr">
        <is>
          <t>Ahmedabad DC</t>
        </is>
      </c>
      <c r="C688" s="4" t="inlineStr">
        <is>
          <t>West</t>
        </is>
      </c>
      <c r="D688" s="4" t="inlineStr">
        <is>
          <t>SKU084</t>
        </is>
      </c>
      <c r="E688" s="4" t="inlineStr">
        <is>
          <t>LED Bulb 9W</t>
        </is>
      </c>
      <c r="F688" s="4" t="inlineStr">
        <is>
          <t>Electronics Accessories</t>
        </is>
      </c>
      <c r="G688" s="4" t="inlineStr">
        <is>
          <t>C</t>
        </is>
      </c>
      <c r="H688" s="11" t="n">
        <v>508</v>
      </c>
      <c r="I688" s="4" t="n">
        <v>199.75</v>
      </c>
      <c r="J688" s="13">
        <f>IF(I688&gt;0,H688/I688,"")</f>
        <v/>
      </c>
      <c r="K688" s="4">
        <f>IF(I688&lt;=0,"NO DEMAND",IF(H688=0,"STOCKOUT",IF(J688&lt;Config!$B$5,"CRITICAL",IF(J688&lt;Config!$B$6,"LOW",IF(J688&gt;Config!$B$7,"EXCESS","HEALTHY")))))</f>
        <v/>
      </c>
      <c r="L688" s="11" t="n">
        <v>160</v>
      </c>
      <c r="M688" s="11" t="n">
        <v>207</v>
      </c>
      <c r="N688" s="11">
        <f>H688*L688</f>
        <v/>
      </c>
      <c r="O688" s="11">
        <f>IF(I688&gt;0,I688*(M688-L688),0)</f>
        <v/>
      </c>
      <c r="P688" s="11" t="n">
        <v>800</v>
      </c>
    </row>
    <row r="689">
      <c r="A689" s="4" t="inlineStr">
        <is>
          <t>WH06</t>
        </is>
      </c>
      <c r="B689" s="4" t="inlineStr">
        <is>
          <t>Ahmedabad DC</t>
        </is>
      </c>
      <c r="C689" s="4" t="inlineStr">
        <is>
          <t>West</t>
        </is>
      </c>
      <c r="D689" s="4" t="inlineStr">
        <is>
          <t>SKU085</t>
        </is>
      </c>
      <c r="E689" s="4" t="inlineStr">
        <is>
          <t>Extension Board 4-socket</t>
        </is>
      </c>
      <c r="F689" s="4" t="inlineStr">
        <is>
          <t>Electronics Accessories</t>
        </is>
      </c>
      <c r="G689" s="4" t="inlineStr">
        <is>
          <t>B</t>
        </is>
      </c>
      <c r="H689" s="11" t="n">
        <v>39</v>
      </c>
      <c r="I689" s="4" t="n">
        <v>183.75</v>
      </c>
      <c r="J689" s="13">
        <f>IF(I689&gt;0,H689/I689,"")</f>
        <v/>
      </c>
      <c r="K689" s="4">
        <f>IF(I689&lt;=0,"NO DEMAND",IF(H689=0,"STOCKOUT",IF(J689&lt;Config!$B$5,"CRITICAL",IF(J689&lt;Config!$B$6,"LOW",IF(J689&gt;Config!$B$7,"EXCESS","HEALTHY")))))</f>
        <v/>
      </c>
      <c r="L689" s="11" t="n">
        <v>336</v>
      </c>
      <c r="M689" s="11" t="n">
        <v>431</v>
      </c>
      <c r="N689" s="11">
        <f>H689*L689</f>
        <v/>
      </c>
      <c r="O689" s="11">
        <f>IF(I689&gt;0,I689*(M689-L689),0)</f>
        <v/>
      </c>
      <c r="P689" s="11" t="n">
        <v>580</v>
      </c>
    </row>
    <row r="690">
      <c r="A690" s="4" t="inlineStr">
        <is>
          <t>WH06</t>
        </is>
      </c>
      <c r="B690" s="4" t="inlineStr">
        <is>
          <t>Ahmedabad DC</t>
        </is>
      </c>
      <c r="C690" s="4" t="inlineStr">
        <is>
          <t>West</t>
        </is>
      </c>
      <c r="D690" s="4" t="inlineStr">
        <is>
          <t>SKU086</t>
        </is>
      </c>
      <c r="E690" s="4" t="inlineStr">
        <is>
          <t>AA Batteries 10pk</t>
        </is>
      </c>
      <c r="F690" s="4" t="inlineStr">
        <is>
          <t>Electronics Accessories</t>
        </is>
      </c>
      <c r="G690" s="4" t="inlineStr">
        <is>
          <t>A</t>
        </is>
      </c>
      <c r="H690" s="11" t="n">
        <v>489</v>
      </c>
      <c r="I690" s="4" t="n">
        <v>43</v>
      </c>
      <c r="J690" s="13">
        <f>IF(I690&gt;0,H690/I690,"")</f>
        <v/>
      </c>
      <c r="K690" s="4">
        <f>IF(I690&lt;=0,"NO DEMAND",IF(H690=0,"STOCKOUT",IF(J690&lt;Config!$B$5,"CRITICAL",IF(J690&lt;Config!$B$6,"LOW",IF(J690&gt;Config!$B$7,"EXCESS","HEALTHY")))))</f>
        <v/>
      </c>
      <c r="L690" s="11" t="n">
        <v>1335</v>
      </c>
      <c r="M690" s="11" t="n">
        <v>1740</v>
      </c>
      <c r="N690" s="11">
        <f>H690*L690</f>
        <v/>
      </c>
      <c r="O690" s="11">
        <f>IF(I690&gt;0,I690*(M690-L690),0)</f>
        <v/>
      </c>
      <c r="P690" s="11" t="n">
        <v>0</v>
      </c>
    </row>
    <row r="691">
      <c r="A691" s="4" t="inlineStr">
        <is>
          <t>WH06</t>
        </is>
      </c>
      <c r="B691" s="4" t="inlineStr">
        <is>
          <t>Ahmedabad DC</t>
        </is>
      </c>
      <c r="C691" s="4" t="inlineStr">
        <is>
          <t>West</t>
        </is>
      </c>
      <c r="D691" s="4" t="inlineStr">
        <is>
          <t>SKU087</t>
        </is>
      </c>
      <c r="E691" s="4" t="inlineStr">
        <is>
          <t>SD Card 64GB</t>
        </is>
      </c>
      <c r="F691" s="4" t="inlineStr">
        <is>
          <t>Electronics Accessories</t>
        </is>
      </c>
      <c r="G691" s="4" t="inlineStr">
        <is>
          <t>A</t>
        </is>
      </c>
      <c r="H691" s="11" t="n">
        <v>622</v>
      </c>
      <c r="I691" s="4" t="n">
        <v>176</v>
      </c>
      <c r="J691" s="13">
        <f>IF(I691&gt;0,H691/I691,"")</f>
        <v/>
      </c>
      <c r="K691" s="4">
        <f>IF(I691&lt;=0,"NO DEMAND",IF(H691=0,"STOCKOUT",IF(J691&lt;Config!$B$5,"CRITICAL",IF(J691&lt;Config!$B$6,"LOW",IF(J691&gt;Config!$B$7,"EXCESS","HEALTHY")))))</f>
        <v/>
      </c>
      <c r="L691" s="11" t="n">
        <v>1750</v>
      </c>
      <c r="M691" s="11" t="n">
        <v>2180</v>
      </c>
      <c r="N691" s="11">
        <f>H691*L691</f>
        <v/>
      </c>
      <c r="O691" s="11">
        <f>IF(I691&gt;0,I691*(M691-L691),0)</f>
        <v/>
      </c>
      <c r="P691" s="11" t="n">
        <v>820</v>
      </c>
    </row>
    <row r="692">
      <c r="A692" s="4" t="inlineStr">
        <is>
          <t>WH06</t>
        </is>
      </c>
      <c r="B692" s="4" t="inlineStr">
        <is>
          <t>Ahmedabad DC</t>
        </is>
      </c>
      <c r="C692" s="4" t="inlineStr">
        <is>
          <t>West</t>
        </is>
      </c>
      <c r="D692" s="4" t="inlineStr">
        <is>
          <t>SKU088</t>
        </is>
      </c>
      <c r="E692" s="4" t="inlineStr">
        <is>
          <t>Wireless Mouse</t>
        </is>
      </c>
      <c r="F692" s="4" t="inlineStr">
        <is>
          <t>Electronics Accessories</t>
        </is>
      </c>
      <c r="G692" s="4" t="inlineStr">
        <is>
          <t>A</t>
        </is>
      </c>
      <c r="H692" s="11" t="n">
        <v>763</v>
      </c>
      <c r="I692" s="4" t="n">
        <v>89.5</v>
      </c>
      <c r="J692" s="13">
        <f>IF(I692&gt;0,H692/I692,"")</f>
        <v/>
      </c>
      <c r="K692" s="4">
        <f>IF(I692&lt;=0,"NO DEMAND",IF(H692=0,"STOCKOUT",IF(J692&lt;Config!$B$5,"CRITICAL",IF(J692&lt;Config!$B$6,"LOW",IF(J692&gt;Config!$B$7,"EXCESS","HEALTHY")))))</f>
        <v/>
      </c>
      <c r="L692" s="11" t="n">
        <v>429</v>
      </c>
      <c r="M692" s="11" t="n">
        <v>534</v>
      </c>
      <c r="N692" s="11">
        <f>H692*L692</f>
        <v/>
      </c>
      <c r="O692" s="11">
        <f>IF(I692&gt;0,I692*(M692-L692),0)</f>
        <v/>
      </c>
      <c r="P692" s="11" t="n">
        <v>0</v>
      </c>
    </row>
    <row r="693">
      <c r="A693" s="4" t="inlineStr">
        <is>
          <t>WH06</t>
        </is>
      </c>
      <c r="B693" s="4" t="inlineStr">
        <is>
          <t>Ahmedabad DC</t>
        </is>
      </c>
      <c r="C693" s="4" t="inlineStr">
        <is>
          <t>West</t>
        </is>
      </c>
      <c r="D693" s="4" t="inlineStr">
        <is>
          <t>SKU089</t>
        </is>
      </c>
      <c r="E693" s="4" t="inlineStr">
        <is>
          <t>USB Keyboard</t>
        </is>
      </c>
      <c r="F693" s="4" t="inlineStr">
        <is>
          <t>Electronics Accessories</t>
        </is>
      </c>
      <c r="G693" s="4" t="inlineStr">
        <is>
          <t>A</t>
        </is>
      </c>
      <c r="H693" s="11" t="n">
        <v>337</v>
      </c>
      <c r="I693" s="4" t="n">
        <v>72.75</v>
      </c>
      <c r="J693" s="13">
        <f>IF(I693&gt;0,H693/I693,"")</f>
        <v/>
      </c>
      <c r="K693" s="4">
        <f>IF(I693&lt;=0,"NO DEMAND",IF(H693=0,"STOCKOUT",IF(J693&lt;Config!$B$5,"CRITICAL",IF(J693&lt;Config!$B$6,"LOW",IF(J693&gt;Config!$B$7,"EXCESS","HEALTHY")))))</f>
        <v/>
      </c>
      <c r="L693" s="11" t="n">
        <v>2249</v>
      </c>
      <c r="M693" s="11" t="n">
        <v>2812</v>
      </c>
      <c r="N693" s="11">
        <f>H693*L693</f>
        <v/>
      </c>
      <c r="O693" s="11">
        <f>IF(I693&gt;0,I693*(M693-L693),0)</f>
        <v/>
      </c>
      <c r="P693" s="11" t="n">
        <v>0</v>
      </c>
    </row>
    <row r="694">
      <c r="A694" s="4" t="inlineStr">
        <is>
          <t>WH06</t>
        </is>
      </c>
      <c r="B694" s="4" t="inlineStr">
        <is>
          <t>Ahmedabad DC</t>
        </is>
      </c>
      <c r="C694" s="4" t="inlineStr">
        <is>
          <t>West</t>
        </is>
      </c>
      <c r="D694" s="4" t="inlineStr">
        <is>
          <t>SKU090</t>
        </is>
      </c>
      <c r="E694" s="4" t="inlineStr">
        <is>
          <t>HDMI Cable 2m</t>
        </is>
      </c>
      <c r="F694" s="4" t="inlineStr">
        <is>
          <t>Electronics Accessories</t>
        </is>
      </c>
      <c r="G694" s="4" t="inlineStr">
        <is>
          <t>C</t>
        </is>
      </c>
      <c r="H694" s="11" t="n">
        <v>111</v>
      </c>
      <c r="I694" s="4" t="n">
        <v>76</v>
      </c>
      <c r="J694" s="13">
        <f>IF(I694&gt;0,H694/I694,"")</f>
        <v/>
      </c>
      <c r="K694" s="4">
        <f>IF(I694&lt;=0,"NO DEMAND",IF(H694=0,"STOCKOUT",IF(J694&lt;Config!$B$5,"CRITICAL",IF(J694&lt;Config!$B$6,"LOW",IF(J694&gt;Config!$B$7,"EXCESS","HEALTHY")))))</f>
        <v/>
      </c>
      <c r="L694" s="11" t="n">
        <v>292</v>
      </c>
      <c r="M694" s="11" t="n">
        <v>378</v>
      </c>
      <c r="N694" s="11">
        <f>H694*L694</f>
        <v/>
      </c>
      <c r="O694" s="11">
        <f>IF(I694&gt;0,I694*(M694-L694),0)</f>
        <v/>
      </c>
      <c r="P694" s="11" t="n">
        <v>320</v>
      </c>
    </row>
    <row r="695">
      <c r="A695" s="4" t="inlineStr">
        <is>
          <t>WH06</t>
        </is>
      </c>
      <c r="B695" s="4" t="inlineStr">
        <is>
          <t>Ahmedabad DC</t>
        </is>
      </c>
      <c r="C695" s="4" t="inlineStr">
        <is>
          <t>West</t>
        </is>
      </c>
      <c r="D695" s="4" t="inlineStr">
        <is>
          <t>SKU091</t>
        </is>
      </c>
      <c r="E695" s="4" t="inlineStr">
        <is>
          <t>Paracetamol 500mg 15s</t>
        </is>
      </c>
      <c r="F695" s="4" t="inlineStr">
        <is>
          <t>OTC Pharma &amp; Wellness</t>
        </is>
      </c>
      <c r="G695" s="4" t="inlineStr">
        <is>
          <t>C</t>
        </is>
      </c>
      <c r="H695" s="11" t="n">
        <v>20</v>
      </c>
      <c r="I695" s="4" t="n">
        <v>85.5</v>
      </c>
      <c r="J695" s="13">
        <f>IF(I695&gt;0,H695/I695,"")</f>
        <v/>
      </c>
      <c r="K695" s="4">
        <f>IF(I695&lt;=0,"NO DEMAND",IF(H695=0,"STOCKOUT",IF(J695&lt;Config!$B$5,"CRITICAL",IF(J695&lt;Config!$B$6,"LOW",IF(J695&gt;Config!$B$7,"EXCESS","HEALTHY")))))</f>
        <v/>
      </c>
      <c r="L695" s="11" t="n">
        <v>113</v>
      </c>
      <c r="M695" s="11" t="n">
        <v>144</v>
      </c>
      <c r="N695" s="11">
        <f>H695*L695</f>
        <v/>
      </c>
      <c r="O695" s="11">
        <f>IF(I695&gt;0,I695*(M695-L695),0)</f>
        <v/>
      </c>
      <c r="P695" s="11" t="n">
        <v>528</v>
      </c>
    </row>
    <row r="696">
      <c r="A696" s="4" t="inlineStr">
        <is>
          <t>WH06</t>
        </is>
      </c>
      <c r="B696" s="4" t="inlineStr">
        <is>
          <t>Ahmedabad DC</t>
        </is>
      </c>
      <c r="C696" s="4" t="inlineStr">
        <is>
          <t>West</t>
        </is>
      </c>
      <c r="D696" s="4" t="inlineStr">
        <is>
          <t>SKU092</t>
        </is>
      </c>
      <c r="E696" s="4" t="inlineStr">
        <is>
          <t>ORS Sachets 10pk</t>
        </is>
      </c>
      <c r="F696" s="4" t="inlineStr">
        <is>
          <t>OTC Pharma &amp; Wellness</t>
        </is>
      </c>
      <c r="G696" s="4" t="inlineStr">
        <is>
          <t>C</t>
        </is>
      </c>
      <c r="H696" s="11" t="n">
        <v>605</v>
      </c>
      <c r="I696" s="4" t="n">
        <v>236.25</v>
      </c>
      <c r="J696" s="13">
        <f>IF(I696&gt;0,H696/I696,"")</f>
        <v/>
      </c>
      <c r="K696" s="4">
        <f>IF(I696&lt;=0,"NO DEMAND",IF(H696=0,"STOCKOUT",IF(J696&lt;Config!$B$5,"CRITICAL",IF(J696&lt;Config!$B$6,"LOW",IF(J696&gt;Config!$B$7,"EXCESS","HEALTHY")))))</f>
        <v/>
      </c>
      <c r="L696" s="11" t="n">
        <v>55</v>
      </c>
      <c r="M696" s="11" t="n">
        <v>75</v>
      </c>
      <c r="N696" s="11">
        <f>H696*L696</f>
        <v/>
      </c>
      <c r="O696" s="11">
        <f>IF(I696&gt;0,I696*(M696-L696),0)</f>
        <v/>
      </c>
      <c r="P696" s="11" t="n">
        <v>960</v>
      </c>
    </row>
    <row r="697">
      <c r="A697" s="4" t="inlineStr">
        <is>
          <t>WH06</t>
        </is>
      </c>
      <c r="B697" s="4" t="inlineStr">
        <is>
          <t>Ahmedabad DC</t>
        </is>
      </c>
      <c r="C697" s="4" t="inlineStr">
        <is>
          <t>West</t>
        </is>
      </c>
      <c r="D697" s="4" t="inlineStr">
        <is>
          <t>SKU093</t>
        </is>
      </c>
      <c r="E697" s="4" t="inlineStr">
        <is>
          <t>Antacid Syrup 200ml</t>
        </is>
      </c>
      <c r="F697" s="4" t="inlineStr">
        <is>
          <t>OTC Pharma &amp; Wellness</t>
        </is>
      </c>
      <c r="G697" s="4" t="inlineStr">
        <is>
          <t>A</t>
        </is>
      </c>
      <c r="H697" s="11" t="n">
        <v>413</v>
      </c>
      <c r="I697" s="4" t="n">
        <v>339.75</v>
      </c>
      <c r="J697" s="13">
        <f>IF(I697&gt;0,H697/I697,"")</f>
        <v/>
      </c>
      <c r="K697" s="4">
        <f>IF(I697&lt;=0,"NO DEMAND",IF(H697=0,"STOCKOUT",IF(J697&lt;Config!$B$5,"CRITICAL",IF(J697&lt;Config!$B$6,"LOW",IF(J697&gt;Config!$B$7,"EXCESS","HEALTHY")))))</f>
        <v/>
      </c>
      <c r="L697" s="11" t="n">
        <v>277</v>
      </c>
      <c r="M697" s="11" t="n">
        <v>362</v>
      </c>
      <c r="N697" s="11">
        <f>H697*L697</f>
        <v/>
      </c>
      <c r="O697" s="11">
        <f>IF(I697&gt;0,I697*(M697-L697),0)</f>
        <v/>
      </c>
      <c r="P697" s="11" t="n">
        <v>1140</v>
      </c>
    </row>
    <row r="698">
      <c r="A698" s="4" t="inlineStr">
        <is>
          <t>WH06</t>
        </is>
      </c>
      <c r="B698" s="4" t="inlineStr">
        <is>
          <t>Ahmedabad DC</t>
        </is>
      </c>
      <c r="C698" s="4" t="inlineStr">
        <is>
          <t>West</t>
        </is>
      </c>
      <c r="D698" s="4" t="inlineStr">
        <is>
          <t>SKU094</t>
        </is>
      </c>
      <c r="E698" s="4" t="inlineStr">
        <is>
          <t>Cough Syrup 100ml</t>
        </is>
      </c>
      <c r="F698" s="4" t="inlineStr">
        <is>
          <t>OTC Pharma &amp; Wellness</t>
        </is>
      </c>
      <c r="G698" s="4" t="inlineStr">
        <is>
          <t>B</t>
        </is>
      </c>
      <c r="H698" s="11" t="n">
        <v>885</v>
      </c>
      <c r="I698" s="4" t="n">
        <v>167.25</v>
      </c>
      <c r="J698" s="13">
        <f>IF(I698&gt;0,H698/I698,"")</f>
        <v/>
      </c>
      <c r="K698" s="4">
        <f>IF(I698&lt;=0,"NO DEMAND",IF(H698=0,"STOCKOUT",IF(J698&lt;Config!$B$5,"CRITICAL",IF(J698&lt;Config!$B$6,"LOW",IF(J698&gt;Config!$B$7,"EXCESS","HEALTHY")))))</f>
        <v/>
      </c>
      <c r="L698" s="11" t="n">
        <v>190</v>
      </c>
      <c r="M698" s="11" t="n">
        <v>254</v>
      </c>
      <c r="N698" s="11">
        <f>H698*L698</f>
        <v/>
      </c>
      <c r="O698" s="11">
        <f>IF(I698&gt;0,I698*(M698-L698),0)</f>
        <v/>
      </c>
      <c r="P698" s="11" t="n">
        <v>0</v>
      </c>
    </row>
    <row r="699">
      <c r="A699" s="4" t="inlineStr">
        <is>
          <t>WH06</t>
        </is>
      </c>
      <c r="B699" s="4" t="inlineStr">
        <is>
          <t>Ahmedabad DC</t>
        </is>
      </c>
      <c r="C699" s="4" t="inlineStr">
        <is>
          <t>West</t>
        </is>
      </c>
      <c r="D699" s="4" t="inlineStr">
        <is>
          <t>SKU095</t>
        </is>
      </c>
      <c r="E699" s="4" t="inlineStr">
        <is>
          <t>Multivitamin 30s</t>
        </is>
      </c>
      <c r="F699" s="4" t="inlineStr">
        <is>
          <t>OTC Pharma &amp; Wellness</t>
        </is>
      </c>
      <c r="G699" s="4" t="inlineStr">
        <is>
          <t>B</t>
        </is>
      </c>
      <c r="H699" s="11" t="n">
        <v>620</v>
      </c>
      <c r="I699" s="4" t="n">
        <v>143.5</v>
      </c>
      <c r="J699" s="13">
        <f>IF(I699&gt;0,H699/I699,"")</f>
        <v/>
      </c>
      <c r="K699" s="4">
        <f>IF(I699&lt;=0,"NO DEMAND",IF(H699=0,"STOCKOUT",IF(J699&lt;Config!$B$5,"CRITICAL",IF(J699&lt;Config!$B$6,"LOW",IF(J699&gt;Config!$B$7,"EXCESS","HEALTHY")))))</f>
        <v/>
      </c>
      <c r="L699" s="11" t="n">
        <v>178</v>
      </c>
      <c r="M699" s="11" t="n">
        <v>237</v>
      </c>
      <c r="N699" s="11">
        <f>H699*L699</f>
        <v/>
      </c>
      <c r="O699" s="11">
        <f>IF(I699&gt;0,I699*(M699-L699),0)</f>
        <v/>
      </c>
      <c r="P699" s="11" t="n">
        <v>624</v>
      </c>
    </row>
    <row r="700">
      <c r="A700" s="4" t="inlineStr">
        <is>
          <t>WH06</t>
        </is>
      </c>
      <c r="B700" s="4" t="inlineStr">
        <is>
          <t>Ahmedabad DC</t>
        </is>
      </c>
      <c r="C700" s="4" t="inlineStr">
        <is>
          <t>West</t>
        </is>
      </c>
      <c r="D700" s="4" t="inlineStr">
        <is>
          <t>SKU096</t>
        </is>
      </c>
      <c r="E700" s="4" t="inlineStr">
        <is>
          <t>Antiseptic Liquid 250ml</t>
        </is>
      </c>
      <c r="F700" s="4" t="inlineStr">
        <is>
          <t>OTC Pharma &amp; Wellness</t>
        </is>
      </c>
      <c r="G700" s="4" t="inlineStr">
        <is>
          <t>C</t>
        </is>
      </c>
      <c r="H700" s="11" t="n">
        <v>536</v>
      </c>
      <c r="I700" s="4" t="n">
        <v>162.75</v>
      </c>
      <c r="J700" s="13">
        <f>IF(I700&gt;0,H700/I700,"")</f>
        <v/>
      </c>
      <c r="K700" s="4">
        <f>IF(I700&lt;=0,"NO DEMAND",IF(H700=0,"STOCKOUT",IF(J700&lt;Config!$B$5,"CRITICAL",IF(J700&lt;Config!$B$6,"LOW",IF(J700&gt;Config!$B$7,"EXCESS","HEALTHY")))))</f>
        <v/>
      </c>
      <c r="L700" s="11" t="n">
        <v>88</v>
      </c>
      <c r="M700" s="11" t="n">
        <v>112</v>
      </c>
      <c r="N700" s="11">
        <f>H700*L700</f>
        <v/>
      </c>
      <c r="O700" s="11">
        <f>IF(I700&gt;0,I700*(M700-L700),0)</f>
        <v/>
      </c>
      <c r="P700" s="11" t="n">
        <v>900</v>
      </c>
    </row>
    <row r="701">
      <c r="A701" s="4" t="inlineStr">
        <is>
          <t>WH06</t>
        </is>
      </c>
      <c r="B701" s="4" t="inlineStr">
        <is>
          <t>Ahmedabad DC</t>
        </is>
      </c>
      <c r="C701" s="4" t="inlineStr">
        <is>
          <t>West</t>
        </is>
      </c>
      <c r="D701" s="4" t="inlineStr">
        <is>
          <t>SKU097</t>
        </is>
      </c>
      <c r="E701" s="4" t="inlineStr">
        <is>
          <t>Pain Balm 50g</t>
        </is>
      </c>
      <c r="F701" s="4" t="inlineStr">
        <is>
          <t>OTC Pharma &amp; Wellness</t>
        </is>
      </c>
      <c r="G701" s="4" t="inlineStr">
        <is>
          <t>C</t>
        </is>
      </c>
      <c r="H701" s="11" t="n">
        <v>362</v>
      </c>
      <c r="I701" s="4" t="n">
        <v>130.75</v>
      </c>
      <c r="J701" s="13">
        <f>IF(I701&gt;0,H701/I701,"")</f>
        <v/>
      </c>
      <c r="K701" s="4">
        <f>IF(I701&lt;=0,"NO DEMAND",IF(H701=0,"STOCKOUT",IF(J701&lt;Config!$B$5,"CRITICAL",IF(J701&lt;Config!$B$6,"LOW",IF(J701&gt;Config!$B$7,"EXCESS","HEALTHY")))))</f>
        <v/>
      </c>
      <c r="L701" s="11" t="n">
        <v>68</v>
      </c>
      <c r="M701" s="11" t="n">
        <v>91</v>
      </c>
      <c r="N701" s="11">
        <f>H701*L701</f>
        <v/>
      </c>
      <c r="O701" s="11">
        <f>IF(I701&gt;0,I701*(M701-L701),0)</f>
        <v/>
      </c>
      <c r="P701" s="11" t="n">
        <v>540</v>
      </c>
    </row>
    <row r="702">
      <c r="A702" s="4" t="inlineStr">
        <is>
          <t>WH06</t>
        </is>
      </c>
      <c r="B702" s="4" t="inlineStr">
        <is>
          <t>Ahmedabad DC</t>
        </is>
      </c>
      <c r="C702" s="4" t="inlineStr">
        <is>
          <t>West</t>
        </is>
      </c>
      <c r="D702" s="4" t="inlineStr">
        <is>
          <t>SKU098</t>
        </is>
      </c>
      <c r="E702" s="4" t="inlineStr">
        <is>
          <t>Bandage Pack</t>
        </is>
      </c>
      <c r="F702" s="4" t="inlineStr">
        <is>
          <t>OTC Pharma &amp; Wellness</t>
        </is>
      </c>
      <c r="G702" s="4" t="inlineStr">
        <is>
          <t>C</t>
        </is>
      </c>
      <c r="H702" s="11" t="n">
        <v>1484</v>
      </c>
      <c r="I702" s="4" t="n">
        <v>388.5</v>
      </c>
      <c r="J702" s="13">
        <f>IF(I702&gt;0,H702/I702,"")</f>
        <v/>
      </c>
      <c r="K702" s="4">
        <f>IF(I702&lt;=0,"NO DEMAND",IF(H702=0,"STOCKOUT",IF(J702&lt;Config!$B$5,"CRITICAL",IF(J702&lt;Config!$B$6,"LOW",IF(J702&gt;Config!$B$7,"EXCESS","HEALTHY")))))</f>
        <v/>
      </c>
      <c r="L702" s="11" t="n">
        <v>49</v>
      </c>
      <c r="M702" s="11" t="n">
        <v>66</v>
      </c>
      <c r="N702" s="11">
        <f>H702*L702</f>
        <v/>
      </c>
      <c r="O702" s="11">
        <f>IF(I702&gt;0,I702*(M702-L702),0)</f>
        <v/>
      </c>
      <c r="P702" s="11" t="n">
        <v>1728</v>
      </c>
    </row>
    <row r="703">
      <c r="A703" s="4" t="inlineStr">
        <is>
          <t>WH06</t>
        </is>
      </c>
      <c r="B703" s="4" t="inlineStr">
        <is>
          <t>Ahmedabad DC</t>
        </is>
      </c>
      <c r="C703" s="4" t="inlineStr">
        <is>
          <t>West</t>
        </is>
      </c>
      <c r="D703" s="4" t="inlineStr">
        <is>
          <t>SKU099</t>
        </is>
      </c>
      <c r="E703" s="4" t="inlineStr">
        <is>
          <t>Digital Thermometer</t>
        </is>
      </c>
      <c r="F703" s="4" t="inlineStr">
        <is>
          <t>OTC Pharma &amp; Wellness</t>
        </is>
      </c>
      <c r="G703" s="4" t="inlineStr">
        <is>
          <t>B</t>
        </is>
      </c>
      <c r="H703" s="11" t="n">
        <v>973</v>
      </c>
      <c r="I703" s="4" t="n">
        <v>298.5</v>
      </c>
      <c r="J703" s="13">
        <f>IF(I703&gt;0,H703/I703,"")</f>
        <v/>
      </c>
      <c r="K703" s="4">
        <f>IF(I703&lt;=0,"NO DEMAND",IF(H703=0,"STOCKOUT",IF(J703&lt;Config!$B$5,"CRITICAL",IF(J703&lt;Config!$B$6,"LOW",IF(J703&gt;Config!$B$7,"EXCESS","HEALTHY")))))</f>
        <v/>
      </c>
      <c r="L703" s="11" t="n">
        <v>88</v>
      </c>
      <c r="M703" s="11" t="n">
        <v>112</v>
      </c>
      <c r="N703" s="11">
        <f>H703*L703</f>
        <v/>
      </c>
      <c r="O703" s="11">
        <f>IF(I703&gt;0,I703*(M703-L703),0)</f>
        <v/>
      </c>
      <c r="P703" s="11" t="n">
        <v>0</v>
      </c>
    </row>
    <row r="704">
      <c r="A704" s="4" t="inlineStr">
        <is>
          <t>WH06</t>
        </is>
      </c>
      <c r="B704" s="4" t="inlineStr">
        <is>
          <t>Ahmedabad DC</t>
        </is>
      </c>
      <c r="C704" s="4" t="inlineStr">
        <is>
          <t>West</t>
        </is>
      </c>
      <c r="D704" s="4" t="inlineStr">
        <is>
          <t>SKU100</t>
        </is>
      </c>
      <c r="E704" s="4" t="inlineStr">
        <is>
          <t>Glucose Powder 500g</t>
        </is>
      </c>
      <c r="F704" s="4" t="inlineStr">
        <is>
          <t>OTC Pharma &amp; Wellness</t>
        </is>
      </c>
      <c r="G704" s="4" t="inlineStr">
        <is>
          <t>C</t>
        </is>
      </c>
      <c r="H704" s="11" t="n">
        <v>742</v>
      </c>
      <c r="I704" s="4" t="n">
        <v>109</v>
      </c>
      <c r="J704" s="13">
        <f>IF(I704&gt;0,H704/I704,"")</f>
        <v/>
      </c>
      <c r="K704" s="4">
        <f>IF(I704&lt;=0,"NO DEMAND",IF(H704=0,"STOCKOUT",IF(J704&lt;Config!$B$5,"CRITICAL",IF(J704&lt;Config!$B$6,"LOW",IF(J704&gt;Config!$B$7,"EXCESS","HEALTHY")))))</f>
        <v/>
      </c>
      <c r="L704" s="11" t="n">
        <v>32</v>
      </c>
      <c r="M704" s="11" t="n">
        <v>42</v>
      </c>
      <c r="N704" s="11">
        <f>H704*L704</f>
        <v/>
      </c>
      <c r="O704" s="11">
        <f>IF(I704&gt;0,I704*(M704-L704),0)</f>
        <v/>
      </c>
      <c r="P704" s="11" t="n">
        <v>0</v>
      </c>
    </row>
    <row r="705">
      <c r="A705" s="4" t="inlineStr">
        <is>
          <t>WH06</t>
        </is>
      </c>
      <c r="B705" s="4" t="inlineStr">
        <is>
          <t>Ahmedabad DC</t>
        </is>
      </c>
      <c r="C705" s="4" t="inlineStr">
        <is>
          <t>West</t>
        </is>
      </c>
      <c r="D705" s="4" t="inlineStr">
        <is>
          <t>SKU101</t>
        </is>
      </c>
      <c r="E705" s="4" t="inlineStr">
        <is>
          <t>Vitamin C 30s</t>
        </is>
      </c>
      <c r="F705" s="4" t="inlineStr">
        <is>
          <t>OTC Pharma &amp; Wellness</t>
        </is>
      </c>
      <c r="G705" s="4" t="inlineStr">
        <is>
          <t>B</t>
        </is>
      </c>
      <c r="H705" s="11" t="n">
        <v>707</v>
      </c>
      <c r="I705" s="4" t="n">
        <v>230.5</v>
      </c>
      <c r="J705" s="13">
        <f>IF(I705&gt;0,H705/I705,"")</f>
        <v/>
      </c>
      <c r="K705" s="4">
        <f>IF(I705&lt;=0,"NO DEMAND",IF(H705=0,"STOCKOUT",IF(J705&lt;Config!$B$5,"CRITICAL",IF(J705&lt;Config!$B$6,"LOW",IF(J705&gt;Config!$B$7,"EXCESS","HEALTHY")))))</f>
        <v/>
      </c>
      <c r="L705" s="11" t="n">
        <v>176</v>
      </c>
      <c r="M705" s="11" t="n">
        <v>237</v>
      </c>
      <c r="N705" s="11">
        <f>H705*L705</f>
        <v/>
      </c>
      <c r="O705" s="11">
        <f>IF(I705&gt;0,I705*(M705-L705),0)</f>
        <v/>
      </c>
      <c r="P705" s="11" t="n">
        <v>792</v>
      </c>
    </row>
    <row r="706">
      <c r="A706" s="4" t="inlineStr">
        <is>
          <t>WH06</t>
        </is>
      </c>
      <c r="B706" s="4" t="inlineStr">
        <is>
          <t>Ahmedabad DC</t>
        </is>
      </c>
      <c r="C706" s="4" t="inlineStr">
        <is>
          <t>West</t>
        </is>
      </c>
      <c r="D706" s="4" t="inlineStr">
        <is>
          <t>SKU102</t>
        </is>
      </c>
      <c r="E706" s="4" t="inlineStr">
        <is>
          <t>Eye Drops 10ml</t>
        </is>
      </c>
      <c r="F706" s="4" t="inlineStr">
        <is>
          <t>OTC Pharma &amp; Wellness</t>
        </is>
      </c>
      <c r="G706" s="4" t="inlineStr">
        <is>
          <t>C</t>
        </is>
      </c>
      <c r="H706" s="11" t="n">
        <v>1218</v>
      </c>
      <c r="I706" s="4" t="n">
        <v>328</v>
      </c>
      <c r="J706" s="13">
        <f>IF(I706&gt;0,H706/I706,"")</f>
        <v/>
      </c>
      <c r="K706" s="4">
        <f>IF(I706&lt;=0,"NO DEMAND",IF(H706=0,"STOCKOUT",IF(J706&lt;Config!$B$5,"CRITICAL",IF(J706&lt;Config!$B$6,"LOW",IF(J706&gt;Config!$B$7,"EXCESS","HEALTHY")))))</f>
        <v/>
      </c>
      <c r="L706" s="11" t="n">
        <v>72</v>
      </c>
      <c r="M706" s="11" t="n">
        <v>92</v>
      </c>
      <c r="N706" s="11">
        <f>H706*L706</f>
        <v/>
      </c>
      <c r="O706" s="11">
        <f>IF(I706&gt;0,I706*(M706-L706),0)</f>
        <v/>
      </c>
      <c r="P706" s="11" t="n">
        <v>0</v>
      </c>
    </row>
    <row r="707">
      <c r="A707" s="4" t="inlineStr">
        <is>
          <t>WH06</t>
        </is>
      </c>
      <c r="B707" s="4" t="inlineStr">
        <is>
          <t>Ahmedabad DC</t>
        </is>
      </c>
      <c r="C707" s="4" t="inlineStr">
        <is>
          <t>West</t>
        </is>
      </c>
      <c r="D707" s="4" t="inlineStr">
        <is>
          <t>SKU103</t>
        </is>
      </c>
      <c r="E707" s="4" t="inlineStr">
        <is>
          <t>Zinc Tablets 20s</t>
        </is>
      </c>
      <c r="F707" s="4" t="inlineStr">
        <is>
          <t>OTC Pharma &amp; Wellness</t>
        </is>
      </c>
      <c r="G707" s="4" t="inlineStr">
        <is>
          <t>C</t>
        </is>
      </c>
      <c r="H707" s="11" t="n">
        <v>56</v>
      </c>
      <c r="I707" s="4" t="n">
        <v>174.25</v>
      </c>
      <c r="J707" s="13">
        <f>IF(I707&gt;0,H707/I707,"")</f>
        <v/>
      </c>
      <c r="K707" s="4">
        <f>IF(I707&lt;=0,"NO DEMAND",IF(H707=0,"STOCKOUT",IF(J707&lt;Config!$B$5,"CRITICAL",IF(J707&lt;Config!$B$6,"LOW",IF(J707&gt;Config!$B$7,"EXCESS","HEALTHY")))))</f>
        <v/>
      </c>
      <c r="L707" s="11" t="n">
        <v>169</v>
      </c>
      <c r="M707" s="11" t="n">
        <v>216</v>
      </c>
      <c r="N707" s="11">
        <f>H707*L707</f>
        <v/>
      </c>
      <c r="O707" s="11">
        <f>IF(I707&gt;0,I707*(M707-L707),0)</f>
        <v/>
      </c>
      <c r="P707" s="11" t="n">
        <v>552</v>
      </c>
    </row>
    <row r="708">
      <c r="A708" s="4" t="inlineStr">
        <is>
          <t>WH06</t>
        </is>
      </c>
      <c r="B708" s="4" t="inlineStr">
        <is>
          <t>Ahmedabad DC</t>
        </is>
      </c>
      <c r="C708" s="4" t="inlineStr">
        <is>
          <t>West</t>
        </is>
      </c>
      <c r="D708" s="4" t="inlineStr">
        <is>
          <t>SKU104</t>
        </is>
      </c>
      <c r="E708" s="4" t="inlineStr">
        <is>
          <t>Hand Sanitizer 500ml</t>
        </is>
      </c>
      <c r="F708" s="4" t="inlineStr">
        <is>
          <t>OTC Pharma &amp; Wellness</t>
        </is>
      </c>
      <c r="G708" s="4" t="inlineStr">
        <is>
          <t>C</t>
        </is>
      </c>
      <c r="H708" s="11" t="n">
        <v>668</v>
      </c>
      <c r="I708" s="4" t="n">
        <v>67.5</v>
      </c>
      <c r="J708" s="13">
        <f>IF(I708&gt;0,H708/I708,"")</f>
        <v/>
      </c>
      <c r="K708" s="4">
        <f>IF(I708&lt;=0,"NO DEMAND",IF(H708=0,"STOCKOUT",IF(J708&lt;Config!$B$5,"CRITICAL",IF(J708&lt;Config!$B$6,"LOW",IF(J708&gt;Config!$B$7,"EXCESS","HEALTHY")))))</f>
        <v/>
      </c>
      <c r="L708" s="11" t="n">
        <v>37</v>
      </c>
      <c r="M708" s="11" t="n">
        <v>48</v>
      </c>
      <c r="N708" s="11">
        <f>H708*L708</f>
        <v/>
      </c>
      <c r="O708" s="11">
        <f>IF(I708&gt;0,I708*(M708-L708),0)</f>
        <v/>
      </c>
      <c r="P708" s="11" t="n">
        <v>0</v>
      </c>
    </row>
    <row r="709">
      <c r="A709" s="4" t="inlineStr">
        <is>
          <t>WH06</t>
        </is>
      </c>
      <c r="B709" s="4" t="inlineStr">
        <is>
          <t>Ahmedabad DC</t>
        </is>
      </c>
      <c r="C709" s="4" t="inlineStr">
        <is>
          <t>West</t>
        </is>
      </c>
      <c r="D709" s="4" t="inlineStr">
        <is>
          <t>SKU105</t>
        </is>
      </c>
      <c r="E709" s="4" t="inlineStr">
        <is>
          <t>Face Masks 50pk</t>
        </is>
      </c>
      <c r="F709" s="4" t="inlineStr">
        <is>
          <t>OTC Pharma &amp; Wellness</t>
        </is>
      </c>
      <c r="G709" s="4" t="inlineStr">
        <is>
          <t>C</t>
        </is>
      </c>
      <c r="H709" s="11" t="n">
        <v>227</v>
      </c>
      <c r="I709" s="4" t="n">
        <v>60.25</v>
      </c>
      <c r="J709" s="13">
        <f>IF(I709&gt;0,H709/I709,"")</f>
        <v/>
      </c>
      <c r="K709" s="4">
        <f>IF(I709&lt;=0,"NO DEMAND",IF(H709=0,"STOCKOUT",IF(J709&lt;Config!$B$5,"CRITICAL",IF(J709&lt;Config!$B$6,"LOW",IF(J709&gt;Config!$B$7,"EXCESS","HEALTHY")))))</f>
        <v/>
      </c>
      <c r="L709" s="11" t="n">
        <v>92</v>
      </c>
      <c r="M709" s="11" t="n">
        <v>121</v>
      </c>
      <c r="N709" s="11">
        <f>H709*L709</f>
        <v/>
      </c>
      <c r="O709" s="11">
        <f>IF(I709&gt;0,I709*(M709-L709),0)</f>
        <v/>
      </c>
      <c r="P709" s="11" t="n">
        <v>708</v>
      </c>
    </row>
    <row r="710">
      <c r="A710" s="4" t="inlineStr">
        <is>
          <t>WH06</t>
        </is>
      </c>
      <c r="B710" s="4" t="inlineStr">
        <is>
          <t>Ahmedabad DC</t>
        </is>
      </c>
      <c r="C710" s="4" t="inlineStr">
        <is>
          <t>West</t>
        </is>
      </c>
      <c r="D710" s="4" t="inlineStr">
        <is>
          <t>SKU106</t>
        </is>
      </c>
      <c r="E710" s="4" t="inlineStr">
        <is>
          <t>Corrugated Box 12x12</t>
        </is>
      </c>
      <c r="F710" s="4" t="inlineStr">
        <is>
          <t>Packaging &amp; Supplies</t>
        </is>
      </c>
      <c r="G710" s="4" t="inlineStr">
        <is>
          <t>B</t>
        </is>
      </c>
      <c r="H710" s="11" t="n">
        <v>323</v>
      </c>
      <c r="I710" s="4" t="n">
        <v>64.25</v>
      </c>
      <c r="J710" s="13">
        <f>IF(I710&gt;0,H710/I710,"")</f>
        <v/>
      </c>
      <c r="K710" s="4">
        <f>IF(I710&lt;=0,"NO DEMAND",IF(H710=0,"STOCKOUT",IF(J710&lt;Config!$B$5,"CRITICAL",IF(J710&lt;Config!$B$6,"LOW",IF(J710&gt;Config!$B$7,"EXCESS","HEALTHY")))))</f>
        <v/>
      </c>
      <c r="L710" s="11" t="n">
        <v>400</v>
      </c>
      <c r="M710" s="11" t="n">
        <v>480</v>
      </c>
      <c r="N710" s="11">
        <f>H710*L710</f>
        <v/>
      </c>
      <c r="O710" s="11">
        <f>IF(I710&gt;0,I710*(M710-L710),0)</f>
        <v/>
      </c>
      <c r="P710" s="11" t="n">
        <v>0</v>
      </c>
    </row>
    <row r="711">
      <c r="A711" s="4" t="inlineStr">
        <is>
          <t>WH06</t>
        </is>
      </c>
      <c r="B711" s="4" t="inlineStr">
        <is>
          <t>Ahmedabad DC</t>
        </is>
      </c>
      <c r="C711" s="4" t="inlineStr">
        <is>
          <t>West</t>
        </is>
      </c>
      <c r="D711" s="4" t="inlineStr">
        <is>
          <t>SKU107</t>
        </is>
      </c>
      <c r="E711" s="4" t="inlineStr">
        <is>
          <t>Stretch Film 500mm</t>
        </is>
      </c>
      <c r="F711" s="4" t="inlineStr">
        <is>
          <t>Packaging &amp; Supplies</t>
        </is>
      </c>
      <c r="G711" s="4" t="inlineStr">
        <is>
          <t>A</t>
        </is>
      </c>
      <c r="H711" s="11" t="n">
        <v>0</v>
      </c>
      <c r="I711" s="4" t="n">
        <v>389.5</v>
      </c>
      <c r="J711" s="13">
        <f>IF(I711&gt;0,H711/I711,"")</f>
        <v/>
      </c>
      <c r="K711" s="4">
        <f>IF(I711&lt;=0,"NO DEMAND",IF(H711=0,"STOCKOUT",IF(J711&lt;Config!$B$5,"CRITICAL",IF(J711&lt;Config!$B$6,"LOW",IF(J711&gt;Config!$B$7,"EXCESS","HEALTHY")))))</f>
        <v/>
      </c>
      <c r="L711" s="11" t="n">
        <v>324</v>
      </c>
      <c r="M711" s="11" t="n">
        <v>383</v>
      </c>
      <c r="N711" s="11">
        <f>H711*L711</f>
        <v/>
      </c>
      <c r="O711" s="11">
        <f>IF(I711&gt;0,I711*(M711-L711),0)</f>
        <v/>
      </c>
      <c r="P711" s="11" t="n">
        <v>1300</v>
      </c>
    </row>
    <row r="712">
      <c r="A712" s="4" t="inlineStr">
        <is>
          <t>WH06</t>
        </is>
      </c>
      <c r="B712" s="4" t="inlineStr">
        <is>
          <t>Ahmedabad DC</t>
        </is>
      </c>
      <c r="C712" s="4" t="inlineStr">
        <is>
          <t>West</t>
        </is>
      </c>
      <c r="D712" s="4" t="inlineStr">
        <is>
          <t>SKU108</t>
        </is>
      </c>
      <c r="E712" s="4" t="inlineStr">
        <is>
          <t>BOPP Tape 48mm</t>
        </is>
      </c>
      <c r="F712" s="4" t="inlineStr">
        <is>
          <t>Packaging &amp; Supplies</t>
        </is>
      </c>
      <c r="G712" s="4" t="inlineStr">
        <is>
          <t>A</t>
        </is>
      </c>
      <c r="H712" s="11" t="n">
        <v>0</v>
      </c>
      <c r="I712" s="4" t="n">
        <v>181.5</v>
      </c>
      <c r="J712" s="13">
        <f>IF(I712&gt;0,H712/I712,"")</f>
        <v/>
      </c>
      <c r="K712" s="4">
        <f>IF(I712&lt;=0,"NO DEMAND",IF(H712=0,"STOCKOUT",IF(J712&lt;Config!$B$5,"CRITICAL",IF(J712&lt;Config!$B$6,"LOW",IF(J712&gt;Config!$B$7,"EXCESS","HEALTHY")))))</f>
        <v/>
      </c>
      <c r="L712" s="11" t="n">
        <v>699</v>
      </c>
      <c r="M712" s="11" t="n">
        <v>822</v>
      </c>
      <c r="N712" s="11">
        <f>H712*L712</f>
        <v/>
      </c>
      <c r="O712" s="11">
        <f>IF(I712&gt;0,I712*(M712-L712),0)</f>
        <v/>
      </c>
      <c r="P712" s="11" t="n">
        <v>840</v>
      </c>
    </row>
    <row r="713">
      <c r="A713" s="4" t="inlineStr">
        <is>
          <t>WH06</t>
        </is>
      </c>
      <c r="B713" s="4" t="inlineStr">
        <is>
          <t>Ahmedabad DC</t>
        </is>
      </c>
      <c r="C713" s="4" t="inlineStr">
        <is>
          <t>West</t>
        </is>
      </c>
      <c r="D713" s="4" t="inlineStr">
        <is>
          <t>SKU109</t>
        </is>
      </c>
      <c r="E713" s="4" t="inlineStr">
        <is>
          <t>Bubble Wrap Roll</t>
        </is>
      </c>
      <c r="F713" s="4" t="inlineStr">
        <is>
          <t>Packaging &amp; Supplies</t>
        </is>
      </c>
      <c r="G713" s="4" t="inlineStr">
        <is>
          <t>C</t>
        </is>
      </c>
      <c r="H713" s="11" t="n">
        <v>332</v>
      </c>
      <c r="I713" s="4" t="n">
        <v>583</v>
      </c>
      <c r="J713" s="13">
        <f>IF(I713&gt;0,H713/I713,"")</f>
        <v/>
      </c>
      <c r="K713" s="4">
        <f>IF(I713&lt;=0,"NO DEMAND",IF(H713=0,"STOCKOUT",IF(J713&lt;Config!$B$5,"CRITICAL",IF(J713&lt;Config!$B$6,"LOW",IF(J713&gt;Config!$B$7,"EXCESS","HEALTHY")))))</f>
        <v/>
      </c>
      <c r="L713" s="11" t="n">
        <v>68</v>
      </c>
      <c r="M713" s="11" t="n">
        <v>80</v>
      </c>
      <c r="N713" s="11">
        <f>H713*L713</f>
        <v/>
      </c>
      <c r="O713" s="11">
        <f>IF(I713&gt;0,I713*(M713-L713),0)</f>
        <v/>
      </c>
      <c r="P713" s="11" t="n">
        <v>4120</v>
      </c>
    </row>
    <row r="714">
      <c r="A714" s="4" t="inlineStr">
        <is>
          <t>WH06</t>
        </is>
      </c>
      <c r="B714" s="4" t="inlineStr">
        <is>
          <t>Ahmedabad DC</t>
        </is>
      </c>
      <c r="C714" s="4" t="inlineStr">
        <is>
          <t>West</t>
        </is>
      </c>
      <c r="D714" s="4" t="inlineStr">
        <is>
          <t>SKU110</t>
        </is>
      </c>
      <c r="E714" s="4" t="inlineStr">
        <is>
          <t>Pallet Strapping Roll</t>
        </is>
      </c>
      <c r="F714" s="4" t="inlineStr">
        <is>
          <t>Packaging &amp; Supplies</t>
        </is>
      </c>
      <c r="G714" s="4" t="inlineStr">
        <is>
          <t>C</t>
        </is>
      </c>
      <c r="H714" s="11" t="n">
        <v>420</v>
      </c>
      <c r="I714" s="4" t="n">
        <v>72.5</v>
      </c>
      <c r="J714" s="13">
        <f>IF(I714&gt;0,H714/I714,"")</f>
        <v/>
      </c>
      <c r="K714" s="4">
        <f>IF(I714&lt;=0,"NO DEMAND",IF(H714=0,"STOCKOUT",IF(J714&lt;Config!$B$5,"CRITICAL",IF(J714&lt;Config!$B$6,"LOW",IF(J714&gt;Config!$B$7,"EXCESS","HEALTHY")))))</f>
        <v/>
      </c>
      <c r="L714" s="11" t="n">
        <v>45</v>
      </c>
      <c r="M714" s="11" t="n">
        <v>53</v>
      </c>
      <c r="N714" s="11">
        <f>H714*L714</f>
        <v/>
      </c>
      <c r="O714" s="11">
        <f>IF(I714&gt;0,I714*(M714-L714),0)</f>
        <v/>
      </c>
      <c r="P714" s="11" t="n">
        <v>0</v>
      </c>
    </row>
    <row r="715">
      <c r="A715" s="4" t="inlineStr">
        <is>
          <t>WH06</t>
        </is>
      </c>
      <c r="B715" s="4" t="inlineStr">
        <is>
          <t>Ahmedabad DC</t>
        </is>
      </c>
      <c r="C715" s="4" t="inlineStr">
        <is>
          <t>West</t>
        </is>
      </c>
      <c r="D715" s="4" t="inlineStr">
        <is>
          <t>SKU111</t>
        </is>
      </c>
      <c r="E715" s="4" t="inlineStr">
        <is>
          <t>Shipping Labels 1000</t>
        </is>
      </c>
      <c r="F715" s="4" t="inlineStr">
        <is>
          <t>Packaging &amp; Supplies</t>
        </is>
      </c>
      <c r="G715" s="4" t="inlineStr">
        <is>
          <t>A</t>
        </is>
      </c>
      <c r="H715" s="11" t="n">
        <v>561</v>
      </c>
      <c r="I715" s="4" t="n">
        <v>286.75</v>
      </c>
      <c r="J715" s="13">
        <f>IF(I715&gt;0,H715/I715,"")</f>
        <v/>
      </c>
      <c r="K715" s="4">
        <f>IF(I715&lt;=0,"NO DEMAND",IF(H715=0,"STOCKOUT",IF(J715&lt;Config!$B$5,"CRITICAL",IF(J715&lt;Config!$B$6,"LOW",IF(J715&gt;Config!$B$7,"EXCESS","HEALTHY")))))</f>
        <v/>
      </c>
      <c r="L715" s="11" t="n">
        <v>617</v>
      </c>
      <c r="M715" s="11" t="n">
        <v>741</v>
      </c>
      <c r="N715" s="11">
        <f>H715*L715</f>
        <v/>
      </c>
      <c r="O715" s="11">
        <f>IF(I715&gt;0,I715*(M715-L715),0)</f>
        <v/>
      </c>
      <c r="P715" s="11" t="n">
        <v>940</v>
      </c>
    </row>
    <row r="716">
      <c r="A716" s="4" t="inlineStr">
        <is>
          <t>WH06</t>
        </is>
      </c>
      <c r="B716" s="4" t="inlineStr">
        <is>
          <t>Ahmedabad DC</t>
        </is>
      </c>
      <c r="C716" s="4" t="inlineStr">
        <is>
          <t>West</t>
        </is>
      </c>
      <c r="D716" s="4" t="inlineStr">
        <is>
          <t>SKU112</t>
        </is>
      </c>
      <c r="E716" s="4" t="inlineStr">
        <is>
          <t>Poly Mailer 100pk</t>
        </is>
      </c>
      <c r="F716" s="4" t="inlineStr">
        <is>
          <t>Packaging &amp; Supplies</t>
        </is>
      </c>
      <c r="G716" s="4" t="inlineStr">
        <is>
          <t>C</t>
        </is>
      </c>
      <c r="H716" s="11" t="n">
        <v>162</v>
      </c>
      <c r="I716" s="4" t="n">
        <v>84.5</v>
      </c>
      <c r="J716" s="13">
        <f>IF(I716&gt;0,H716/I716,"")</f>
        <v/>
      </c>
      <c r="K716" s="4">
        <f>IF(I716&lt;=0,"NO DEMAND",IF(H716=0,"STOCKOUT",IF(J716&lt;Config!$B$5,"CRITICAL",IF(J716&lt;Config!$B$6,"LOW",IF(J716&gt;Config!$B$7,"EXCESS","HEALTHY")))))</f>
        <v/>
      </c>
      <c r="L716" s="11" t="n">
        <v>93</v>
      </c>
      <c r="M716" s="11" t="n">
        <v>113</v>
      </c>
      <c r="N716" s="11">
        <f>H716*L716</f>
        <v/>
      </c>
      <c r="O716" s="11">
        <f>IF(I716&gt;0,I716*(M716-L716),0)</f>
        <v/>
      </c>
      <c r="P716" s="11" t="n">
        <v>300</v>
      </c>
    </row>
    <row r="717">
      <c r="A717" s="4" t="inlineStr">
        <is>
          <t>WH06</t>
        </is>
      </c>
      <c r="B717" s="4" t="inlineStr">
        <is>
          <t>Ahmedabad DC</t>
        </is>
      </c>
      <c r="C717" s="4" t="inlineStr">
        <is>
          <t>West</t>
        </is>
      </c>
      <c r="D717" s="4" t="inlineStr">
        <is>
          <t>SKU113</t>
        </is>
      </c>
      <c r="E717" s="4" t="inlineStr">
        <is>
          <t>Void Fill Paper</t>
        </is>
      </c>
      <c r="F717" s="4" t="inlineStr">
        <is>
          <t>Packaging &amp; Supplies</t>
        </is>
      </c>
      <c r="G717" s="4" t="inlineStr">
        <is>
          <t>C</t>
        </is>
      </c>
      <c r="H717" s="11" t="n">
        <v>82</v>
      </c>
      <c r="I717" s="4" t="n">
        <v>157.25</v>
      </c>
      <c r="J717" s="13">
        <f>IF(I717&gt;0,H717/I717,"")</f>
        <v/>
      </c>
      <c r="K717" s="4">
        <f>IF(I717&lt;=0,"NO DEMAND",IF(H717=0,"STOCKOUT",IF(J717&lt;Config!$B$5,"CRITICAL",IF(J717&lt;Config!$B$6,"LOW",IF(J717&gt;Config!$B$7,"EXCESS","HEALTHY")))))</f>
        <v/>
      </c>
      <c r="L717" s="11" t="n">
        <v>89</v>
      </c>
      <c r="M717" s="11" t="n">
        <v>108</v>
      </c>
      <c r="N717" s="11">
        <f>H717*L717</f>
        <v/>
      </c>
      <c r="O717" s="11">
        <f>IF(I717&gt;0,I717*(M717-L717),0)</f>
        <v/>
      </c>
      <c r="P717" s="11" t="n">
        <v>440</v>
      </c>
    </row>
    <row r="718">
      <c r="A718" s="4" t="inlineStr">
        <is>
          <t>WH06</t>
        </is>
      </c>
      <c r="B718" s="4" t="inlineStr">
        <is>
          <t>Ahmedabad DC</t>
        </is>
      </c>
      <c r="C718" s="4" t="inlineStr">
        <is>
          <t>West</t>
        </is>
      </c>
      <c r="D718" s="4" t="inlineStr">
        <is>
          <t>SKU114</t>
        </is>
      </c>
      <c r="E718" s="4" t="inlineStr">
        <is>
          <t>Cable Ties 100pk</t>
        </is>
      </c>
      <c r="F718" s="4" t="inlineStr">
        <is>
          <t>Packaging &amp; Supplies</t>
        </is>
      </c>
      <c r="G718" s="4" t="inlineStr">
        <is>
          <t>C</t>
        </is>
      </c>
      <c r="H718" s="11" t="n">
        <v>652</v>
      </c>
      <c r="I718" s="4" t="n">
        <v>410.5</v>
      </c>
      <c r="J718" s="13">
        <f>IF(I718&gt;0,H718/I718,"")</f>
        <v/>
      </c>
      <c r="K718" s="4">
        <f>IF(I718&lt;=0,"NO DEMAND",IF(H718=0,"STOCKOUT",IF(J718&lt;Config!$B$5,"CRITICAL",IF(J718&lt;Config!$B$6,"LOW",IF(J718&gt;Config!$B$7,"EXCESS","HEALTHY")))))</f>
        <v/>
      </c>
      <c r="L718" s="11" t="n">
        <v>66</v>
      </c>
      <c r="M718" s="11" t="n">
        <v>80</v>
      </c>
      <c r="N718" s="11">
        <f>H718*L718</f>
        <v/>
      </c>
      <c r="O718" s="11">
        <f>IF(I718&gt;0,I718*(M718-L718),0)</f>
        <v/>
      </c>
      <c r="P718" s="11" t="n">
        <v>1260</v>
      </c>
    </row>
    <row r="719">
      <c r="A719" s="4" t="inlineStr">
        <is>
          <t>WH06</t>
        </is>
      </c>
      <c r="B719" s="4" t="inlineStr">
        <is>
          <t>Ahmedabad DC</t>
        </is>
      </c>
      <c r="C719" s="4" t="inlineStr">
        <is>
          <t>West</t>
        </is>
      </c>
      <c r="D719" s="4" t="inlineStr">
        <is>
          <t>SKU115</t>
        </is>
      </c>
      <c r="E719" s="4" t="inlineStr">
        <is>
          <t>Edge Protectors 50pk</t>
        </is>
      </c>
      <c r="F719" s="4" t="inlineStr">
        <is>
          <t>Packaging &amp; Supplies</t>
        </is>
      </c>
      <c r="G719" s="4" t="inlineStr">
        <is>
          <t>C</t>
        </is>
      </c>
      <c r="H719" s="11" t="n">
        <v>547</v>
      </c>
      <c r="I719" s="4" t="n">
        <v>147</v>
      </c>
      <c r="J719" s="13">
        <f>IF(I719&gt;0,H719/I719,"")</f>
        <v/>
      </c>
      <c r="K719" s="4">
        <f>IF(I719&lt;=0,"NO DEMAND",IF(H719=0,"STOCKOUT",IF(J719&lt;Config!$B$5,"CRITICAL",IF(J719&lt;Config!$B$6,"LOW",IF(J719&gt;Config!$B$7,"EXCESS","HEALTHY")))))</f>
        <v/>
      </c>
      <c r="L719" s="11" t="n">
        <v>52</v>
      </c>
      <c r="M719" s="11" t="n">
        <v>63</v>
      </c>
      <c r="N719" s="11">
        <f>H719*L719</f>
        <v/>
      </c>
      <c r="O719" s="11">
        <f>IF(I719&gt;0,I719*(M719-L719),0)</f>
        <v/>
      </c>
      <c r="P719" s="11" t="n">
        <v>0</v>
      </c>
    </row>
    <row r="720">
      <c r="A720" s="4" t="inlineStr">
        <is>
          <t>WH06</t>
        </is>
      </c>
      <c r="B720" s="4" t="inlineStr">
        <is>
          <t>Ahmedabad DC</t>
        </is>
      </c>
      <c r="C720" s="4" t="inlineStr">
        <is>
          <t>West</t>
        </is>
      </c>
      <c r="D720" s="4" t="inlineStr">
        <is>
          <t>SKU116</t>
        </is>
      </c>
      <c r="E720" s="4" t="inlineStr">
        <is>
          <t>Pallet Wrap Hand</t>
        </is>
      </c>
      <c r="F720" s="4" t="inlineStr">
        <is>
          <t>Packaging &amp; Supplies</t>
        </is>
      </c>
      <c r="G720" s="4" t="inlineStr">
        <is>
          <t>C</t>
        </is>
      </c>
      <c r="H720" s="11" t="n">
        <v>0</v>
      </c>
      <c r="I720" s="4" t="n">
        <v>122.5</v>
      </c>
      <c r="J720" s="13">
        <f>IF(I720&gt;0,H720/I720,"")</f>
        <v/>
      </c>
      <c r="K720" s="4">
        <f>IF(I720&lt;=0,"NO DEMAND",IF(H720=0,"STOCKOUT",IF(J720&lt;Config!$B$5,"CRITICAL",IF(J720&lt;Config!$B$6,"LOW",IF(J720&gt;Config!$B$7,"EXCESS","HEALTHY")))))</f>
        <v/>
      </c>
      <c r="L720" s="11" t="n">
        <v>39</v>
      </c>
      <c r="M720" s="11" t="n">
        <v>47</v>
      </c>
      <c r="N720" s="11">
        <f>H720*L720</f>
        <v/>
      </c>
      <c r="O720" s="11">
        <f>IF(I720&gt;0,I720*(M720-L720),0)</f>
        <v/>
      </c>
      <c r="P720" s="11" t="n">
        <v>460</v>
      </c>
    </row>
    <row r="721">
      <c r="A721" s="4" t="inlineStr">
        <is>
          <t>WH06</t>
        </is>
      </c>
      <c r="B721" s="4" t="inlineStr">
        <is>
          <t>Ahmedabad DC</t>
        </is>
      </c>
      <c r="C721" s="4" t="inlineStr">
        <is>
          <t>West</t>
        </is>
      </c>
      <c r="D721" s="4" t="inlineStr">
        <is>
          <t>SKU117</t>
        </is>
      </c>
      <c r="E721" s="4" t="inlineStr">
        <is>
          <t>Courier Bags 100pk</t>
        </is>
      </c>
      <c r="F721" s="4" t="inlineStr">
        <is>
          <t>Packaging &amp; Supplies</t>
        </is>
      </c>
      <c r="G721" s="4" t="inlineStr">
        <is>
          <t>C</t>
        </is>
      </c>
      <c r="H721" s="11" t="n">
        <v>198</v>
      </c>
      <c r="I721" s="4" t="n">
        <v>266.5</v>
      </c>
      <c r="J721" s="13">
        <f>IF(I721&gt;0,H721/I721,"")</f>
        <v/>
      </c>
      <c r="K721" s="4">
        <f>IF(I721&lt;=0,"NO DEMAND",IF(H721=0,"STOCKOUT",IF(J721&lt;Config!$B$5,"CRITICAL",IF(J721&lt;Config!$B$6,"LOW",IF(J721&gt;Config!$B$7,"EXCESS","HEALTHY")))))</f>
        <v/>
      </c>
      <c r="L721" s="11" t="n">
        <v>21</v>
      </c>
      <c r="M721" s="11" t="n">
        <v>25</v>
      </c>
      <c r="N721" s="11">
        <f>H721*L721</f>
        <v/>
      </c>
      <c r="O721" s="11">
        <f>IF(I721&gt;0,I721*(M721-L721),0)</f>
        <v/>
      </c>
      <c r="P721" s="11" t="n">
        <v>1120</v>
      </c>
    </row>
    <row r="722">
      <c r="A722" s="4" t="inlineStr">
        <is>
          <t>WH06</t>
        </is>
      </c>
      <c r="B722" s="4" t="inlineStr">
        <is>
          <t>Ahmedabad DC</t>
        </is>
      </c>
      <c r="C722" s="4" t="inlineStr">
        <is>
          <t>West</t>
        </is>
      </c>
      <c r="D722" s="4" t="inlineStr">
        <is>
          <t>SKU118</t>
        </is>
      </c>
      <c r="E722" s="4" t="inlineStr">
        <is>
          <t>Thermal Paper Roll 20pk</t>
        </is>
      </c>
      <c r="F722" s="4" t="inlineStr">
        <is>
          <t>Packaging &amp; Supplies</t>
        </is>
      </c>
      <c r="G722" s="4" t="inlineStr">
        <is>
          <t>B</t>
        </is>
      </c>
      <c r="H722" s="11" t="n">
        <v>1241</v>
      </c>
      <c r="I722" s="4" t="n">
        <v>368.25</v>
      </c>
      <c r="J722" s="13">
        <f>IF(I722&gt;0,H722/I722,"")</f>
        <v/>
      </c>
      <c r="K722" s="4">
        <f>IF(I722&lt;=0,"NO DEMAND",IF(H722=0,"STOCKOUT",IF(J722&lt;Config!$B$5,"CRITICAL",IF(J722&lt;Config!$B$6,"LOW",IF(J722&gt;Config!$B$7,"EXCESS","HEALTHY")))))</f>
        <v/>
      </c>
      <c r="L722" s="11" t="n">
        <v>181</v>
      </c>
      <c r="M722" s="11" t="n">
        <v>218</v>
      </c>
      <c r="N722" s="11">
        <f>H722*L722</f>
        <v/>
      </c>
      <c r="O722" s="11">
        <f>IF(I722&gt;0,I722*(M722-L722),0)</f>
        <v/>
      </c>
      <c r="P722" s="11" t="n">
        <v>1220</v>
      </c>
    </row>
    <row r="723">
      <c r="A723" s="4" t="inlineStr">
        <is>
          <t>WH06</t>
        </is>
      </c>
      <c r="B723" s="4" t="inlineStr">
        <is>
          <t>Ahmedabad DC</t>
        </is>
      </c>
      <c r="C723" s="4" t="inlineStr">
        <is>
          <t>West</t>
        </is>
      </c>
      <c r="D723" s="4" t="inlineStr">
        <is>
          <t>SKU119</t>
        </is>
      </c>
      <c r="E723" s="4" t="inlineStr">
        <is>
          <t>Safety Gloves 12pk</t>
        </is>
      </c>
      <c r="F723" s="4" t="inlineStr">
        <is>
          <t>Packaging &amp; Supplies</t>
        </is>
      </c>
      <c r="G723" s="4" t="inlineStr">
        <is>
          <t>A</t>
        </is>
      </c>
      <c r="H723" s="11" t="n">
        <v>271</v>
      </c>
      <c r="I723" s="4" t="n">
        <v>281.25</v>
      </c>
      <c r="J723" s="13">
        <f>IF(I723&gt;0,H723/I723,"")</f>
        <v/>
      </c>
      <c r="K723" s="4">
        <f>IF(I723&lt;=0,"NO DEMAND",IF(H723=0,"STOCKOUT",IF(J723&lt;Config!$B$5,"CRITICAL",IF(J723&lt;Config!$B$6,"LOW",IF(J723&gt;Config!$B$7,"EXCESS","HEALTHY")))))</f>
        <v/>
      </c>
      <c r="L723" s="11" t="n">
        <v>420</v>
      </c>
      <c r="M723" s="11" t="n">
        <v>511</v>
      </c>
      <c r="N723" s="11">
        <f>H723*L723</f>
        <v/>
      </c>
      <c r="O723" s="11">
        <f>IF(I723&gt;0,I723*(M723-L723),0)</f>
        <v/>
      </c>
      <c r="P723" s="11" t="n">
        <v>1020</v>
      </c>
    </row>
    <row r="724">
      <c r="A724" s="4" t="inlineStr">
        <is>
          <t>WH06</t>
        </is>
      </c>
      <c r="B724" s="4" t="inlineStr">
        <is>
          <t>Ahmedabad DC</t>
        </is>
      </c>
      <c r="C724" s="4" t="inlineStr">
        <is>
          <t>West</t>
        </is>
      </c>
      <c r="D724" s="4" t="inlineStr">
        <is>
          <t>SKU120</t>
        </is>
      </c>
      <c r="E724" s="4" t="inlineStr">
        <is>
          <t>Cutter Blades 10pk</t>
        </is>
      </c>
      <c r="F724" s="4" t="inlineStr">
        <is>
          <t>Packaging &amp; Supplies</t>
        </is>
      </c>
      <c r="G724" s="4" t="inlineStr">
        <is>
          <t>C</t>
        </is>
      </c>
      <c r="H724" s="11" t="n">
        <v>52</v>
      </c>
      <c r="I724" s="4" t="n">
        <v>82.5</v>
      </c>
      <c r="J724" s="13">
        <f>IF(I724&gt;0,H724/I724,"")</f>
        <v/>
      </c>
      <c r="K724" s="4">
        <f>IF(I724&lt;=0,"NO DEMAND",IF(H724=0,"STOCKOUT",IF(J724&lt;Config!$B$5,"CRITICAL",IF(J724&lt;Config!$B$6,"LOW",IF(J724&gt;Config!$B$7,"EXCESS","HEALTHY")))))</f>
        <v/>
      </c>
      <c r="L724" s="11" t="n">
        <v>30</v>
      </c>
      <c r="M724" s="11" t="n">
        <v>35</v>
      </c>
      <c r="N724" s="11">
        <f>H724*L724</f>
        <v/>
      </c>
      <c r="O724" s="11">
        <f>IF(I724&gt;0,I724*(M724-L724),0)</f>
        <v/>
      </c>
      <c r="P724" s="11" t="n">
        <v>680</v>
      </c>
    </row>
    <row r="725">
      <c r="A725" s="4" t="inlineStr">
        <is>
          <t>WH07</t>
        </is>
      </c>
      <c r="B725" s="4" t="inlineStr">
        <is>
          <t>Bengaluru DC</t>
        </is>
      </c>
      <c r="C725" s="4" t="inlineStr">
        <is>
          <t>South</t>
        </is>
      </c>
      <c r="D725" s="4" t="inlineStr">
        <is>
          <t>SKU001</t>
        </is>
      </c>
      <c r="E725" s="4" t="inlineStr">
        <is>
          <t>Atta 5kg</t>
        </is>
      </c>
      <c r="F725" s="4" t="inlineStr">
        <is>
          <t>Packaged Staples</t>
        </is>
      </c>
      <c r="G725" s="4" t="inlineStr">
        <is>
          <t>A</t>
        </is>
      </c>
      <c r="H725" s="11" t="n">
        <v>3502</v>
      </c>
      <c r="I725" s="4" t="n">
        <v>1173</v>
      </c>
      <c r="J725" s="13">
        <f>IF(I725&gt;0,H725/I725,"")</f>
        <v/>
      </c>
      <c r="K725" s="4">
        <f>IF(I725&lt;=0,"NO DEMAND",IF(H725=0,"STOCKOUT",IF(J725&lt;Config!$B$5,"CRITICAL",IF(J725&lt;Config!$B$6,"LOW",IF(J725&gt;Config!$B$7,"EXCESS","HEALTHY")))))</f>
        <v/>
      </c>
      <c r="L725" s="11" t="n">
        <v>152</v>
      </c>
      <c r="M725" s="11" t="n">
        <v>168</v>
      </c>
      <c r="N725" s="11">
        <f>H725*L725</f>
        <v/>
      </c>
      <c r="O725" s="11">
        <f>IF(I725&gt;0,I725*(M725-L725),0)</f>
        <v/>
      </c>
      <c r="P725" s="11" t="n">
        <v>0</v>
      </c>
    </row>
    <row r="726">
      <c r="A726" s="4" t="inlineStr">
        <is>
          <t>WH07</t>
        </is>
      </c>
      <c r="B726" s="4" t="inlineStr">
        <is>
          <t>Bengaluru DC</t>
        </is>
      </c>
      <c r="C726" s="4" t="inlineStr">
        <is>
          <t>South</t>
        </is>
      </c>
      <c r="D726" s="4" t="inlineStr">
        <is>
          <t>SKU002</t>
        </is>
      </c>
      <c r="E726" s="4" t="inlineStr">
        <is>
          <t>Basmati Rice 5kg</t>
        </is>
      </c>
      <c r="F726" s="4" t="inlineStr">
        <is>
          <t>Packaged Staples</t>
        </is>
      </c>
      <c r="G726" s="4" t="inlineStr">
        <is>
          <t>B</t>
        </is>
      </c>
      <c r="H726" s="11" t="n">
        <v>1892</v>
      </c>
      <c r="I726" s="4" t="n">
        <v>169.5</v>
      </c>
      <c r="J726" s="13">
        <f>IF(I726&gt;0,H726/I726,"")</f>
        <v/>
      </c>
      <c r="K726" s="4">
        <f>IF(I726&lt;=0,"NO DEMAND",IF(H726=0,"STOCKOUT",IF(J726&lt;Config!$B$5,"CRITICAL",IF(J726&lt;Config!$B$6,"LOW",IF(J726&gt;Config!$B$7,"EXCESS","HEALTHY")))))</f>
        <v/>
      </c>
      <c r="L726" s="11" t="n">
        <v>59</v>
      </c>
      <c r="M726" s="11" t="n">
        <v>66</v>
      </c>
      <c r="N726" s="11">
        <f>H726*L726</f>
        <v/>
      </c>
      <c r="O726" s="11">
        <f>IF(I726&gt;0,I726*(M726-L726),0)</f>
        <v/>
      </c>
      <c r="P726" s="11" t="n">
        <v>0</v>
      </c>
    </row>
    <row r="727">
      <c r="A727" s="4" t="inlineStr">
        <is>
          <t>WH07</t>
        </is>
      </c>
      <c r="B727" s="4" t="inlineStr">
        <is>
          <t>Bengaluru DC</t>
        </is>
      </c>
      <c r="C727" s="4" t="inlineStr">
        <is>
          <t>South</t>
        </is>
      </c>
      <c r="D727" s="4" t="inlineStr">
        <is>
          <t>SKU003</t>
        </is>
      </c>
      <c r="E727" s="4" t="inlineStr">
        <is>
          <t>Toor Dal 1kg</t>
        </is>
      </c>
      <c r="F727" s="4" t="inlineStr">
        <is>
          <t>Packaged Staples</t>
        </is>
      </c>
      <c r="G727" s="4" t="inlineStr">
        <is>
          <t>A</t>
        </is>
      </c>
      <c r="H727" s="11" t="n">
        <v>2473</v>
      </c>
      <c r="I727" s="4" t="n">
        <v>1294.5</v>
      </c>
      <c r="J727" s="13">
        <f>IF(I727&gt;0,H727/I727,"")</f>
        <v/>
      </c>
      <c r="K727" s="4">
        <f>IF(I727&lt;=0,"NO DEMAND",IF(H727=0,"STOCKOUT",IF(J727&lt;Config!$B$5,"CRITICAL",IF(J727&lt;Config!$B$6,"LOW",IF(J727&gt;Config!$B$7,"EXCESS","HEALTHY")))))</f>
        <v/>
      </c>
      <c r="L727" s="11" t="n">
        <v>61</v>
      </c>
      <c r="M727" s="11" t="n">
        <v>69</v>
      </c>
      <c r="N727" s="11">
        <f>H727*L727</f>
        <v/>
      </c>
      <c r="O727" s="11">
        <f>IF(I727&gt;0,I727*(M727-L727),0)</f>
        <v/>
      </c>
      <c r="P727" s="11" t="n">
        <v>0</v>
      </c>
    </row>
    <row r="728">
      <c r="A728" s="4" t="inlineStr">
        <is>
          <t>WH07</t>
        </is>
      </c>
      <c r="B728" s="4" t="inlineStr">
        <is>
          <t>Bengaluru DC</t>
        </is>
      </c>
      <c r="C728" s="4" t="inlineStr">
        <is>
          <t>South</t>
        </is>
      </c>
      <c r="D728" s="4" t="inlineStr">
        <is>
          <t>SKU004</t>
        </is>
      </c>
      <c r="E728" s="4" t="inlineStr">
        <is>
          <t>Moong Dal 1kg</t>
        </is>
      </c>
      <c r="F728" s="4" t="inlineStr">
        <is>
          <t>Packaged Staples</t>
        </is>
      </c>
      <c r="G728" s="4" t="inlineStr">
        <is>
          <t>B</t>
        </is>
      </c>
      <c r="H728" s="11" t="n">
        <v>579</v>
      </c>
      <c r="I728" s="4" t="n">
        <v>249.5</v>
      </c>
      <c r="J728" s="13">
        <f>IF(I728&gt;0,H728/I728,"")</f>
        <v/>
      </c>
      <c r="K728" s="4">
        <f>IF(I728&lt;=0,"NO DEMAND",IF(H728=0,"STOCKOUT",IF(J728&lt;Config!$B$5,"CRITICAL",IF(J728&lt;Config!$B$6,"LOW",IF(J728&gt;Config!$B$7,"EXCESS","HEALTHY")))))</f>
        <v/>
      </c>
      <c r="L728" s="11" t="n">
        <v>80</v>
      </c>
      <c r="M728" s="11" t="n">
        <v>91</v>
      </c>
      <c r="N728" s="11">
        <f>H728*L728</f>
        <v/>
      </c>
      <c r="O728" s="11">
        <f>IF(I728&gt;0,I728*(M728-L728),0)</f>
        <v/>
      </c>
      <c r="P728" s="11" t="n">
        <v>0</v>
      </c>
    </row>
    <row r="729">
      <c r="A729" s="4" t="inlineStr">
        <is>
          <t>WH07</t>
        </is>
      </c>
      <c r="B729" s="4" t="inlineStr">
        <is>
          <t>Bengaluru DC</t>
        </is>
      </c>
      <c r="C729" s="4" t="inlineStr">
        <is>
          <t>South</t>
        </is>
      </c>
      <c r="D729" s="4" t="inlineStr">
        <is>
          <t>SKU005</t>
        </is>
      </c>
      <c r="E729" s="4" t="inlineStr">
        <is>
          <t>Sunflower Oil 1L</t>
        </is>
      </c>
      <c r="F729" s="4" t="inlineStr">
        <is>
          <t>Packaged Staples</t>
        </is>
      </c>
      <c r="G729" s="4" t="inlineStr">
        <is>
          <t>A</t>
        </is>
      </c>
      <c r="H729" s="11" t="n">
        <v>1673</v>
      </c>
      <c r="I729" s="4" t="n">
        <v>1596</v>
      </c>
      <c r="J729" s="13">
        <f>IF(I729&gt;0,H729/I729,"")</f>
        <v/>
      </c>
      <c r="K729" s="4">
        <f>IF(I729&lt;=0,"NO DEMAND",IF(H729=0,"STOCKOUT",IF(J729&lt;Config!$B$5,"CRITICAL",IF(J729&lt;Config!$B$6,"LOW",IF(J729&gt;Config!$B$7,"EXCESS","HEALTHY")))))</f>
        <v/>
      </c>
      <c r="L729" s="11" t="n">
        <v>245</v>
      </c>
      <c r="M729" s="11" t="n">
        <v>273</v>
      </c>
      <c r="N729" s="11">
        <f>H729*L729</f>
        <v/>
      </c>
      <c r="O729" s="11">
        <f>IF(I729&gt;0,I729*(M729-L729),0)</f>
        <v/>
      </c>
      <c r="P729" s="11" t="n">
        <v>4956</v>
      </c>
    </row>
    <row r="730">
      <c r="A730" s="4" t="inlineStr">
        <is>
          <t>WH07</t>
        </is>
      </c>
      <c r="B730" s="4" t="inlineStr">
        <is>
          <t>Bengaluru DC</t>
        </is>
      </c>
      <c r="C730" s="4" t="inlineStr">
        <is>
          <t>South</t>
        </is>
      </c>
      <c r="D730" s="4" t="inlineStr">
        <is>
          <t>SKU006</t>
        </is>
      </c>
      <c r="E730" s="4" t="inlineStr">
        <is>
          <t>Mustard Oil 1L</t>
        </is>
      </c>
      <c r="F730" s="4" t="inlineStr">
        <is>
          <t>Packaged Staples</t>
        </is>
      </c>
      <c r="G730" s="4" t="inlineStr">
        <is>
          <t>B</t>
        </is>
      </c>
      <c r="H730" s="11" t="n">
        <v>1369</v>
      </c>
      <c r="I730" s="4" t="n">
        <v>902.75</v>
      </c>
      <c r="J730" s="13">
        <f>IF(I730&gt;0,H730/I730,"")</f>
        <v/>
      </c>
      <c r="K730" s="4">
        <f>IF(I730&lt;=0,"NO DEMAND",IF(H730=0,"STOCKOUT",IF(J730&lt;Config!$B$5,"CRITICAL",IF(J730&lt;Config!$B$6,"LOW",IF(J730&gt;Config!$B$7,"EXCESS","HEALTHY")))))</f>
        <v/>
      </c>
      <c r="L730" s="11" t="n">
        <v>68</v>
      </c>
      <c r="M730" s="11" t="n">
        <v>77</v>
      </c>
      <c r="N730" s="11">
        <f>H730*L730</f>
        <v/>
      </c>
      <c r="O730" s="11">
        <f>IF(I730&gt;0,I730*(M730-L730),0)</f>
        <v/>
      </c>
      <c r="P730" s="11" t="n">
        <v>2940</v>
      </c>
    </row>
    <row r="731">
      <c r="A731" s="4" t="inlineStr">
        <is>
          <t>WH07</t>
        </is>
      </c>
      <c r="B731" s="4" t="inlineStr">
        <is>
          <t>Bengaluru DC</t>
        </is>
      </c>
      <c r="C731" s="4" t="inlineStr">
        <is>
          <t>South</t>
        </is>
      </c>
      <c r="D731" s="4" t="inlineStr">
        <is>
          <t>SKU007</t>
        </is>
      </c>
      <c r="E731" s="4" t="inlineStr">
        <is>
          <t>Sugar 1kg</t>
        </is>
      </c>
      <c r="F731" s="4" t="inlineStr">
        <is>
          <t>Packaged Staples</t>
        </is>
      </c>
      <c r="G731" s="4" t="inlineStr">
        <is>
          <t>A</t>
        </is>
      </c>
      <c r="H731" s="11" t="n">
        <v>1162</v>
      </c>
      <c r="I731" s="4" t="n">
        <v>865.75</v>
      </c>
      <c r="J731" s="13">
        <f>IF(I731&gt;0,H731/I731,"")</f>
        <v/>
      </c>
      <c r="K731" s="4">
        <f>IF(I731&lt;=0,"NO DEMAND",IF(H731=0,"STOCKOUT",IF(J731&lt;Config!$B$5,"CRITICAL",IF(J731&lt;Config!$B$6,"LOW",IF(J731&gt;Config!$B$7,"EXCESS","HEALTHY")))))</f>
        <v/>
      </c>
      <c r="L731" s="11" t="n">
        <v>129</v>
      </c>
      <c r="M731" s="11" t="n">
        <v>143</v>
      </c>
      <c r="N731" s="11">
        <f>H731*L731</f>
        <v/>
      </c>
      <c r="O731" s="11">
        <f>IF(I731&gt;0,I731*(M731-L731),0)</f>
        <v/>
      </c>
      <c r="P731" s="11" t="n">
        <v>2784</v>
      </c>
    </row>
    <row r="732">
      <c r="A732" s="4" t="inlineStr">
        <is>
          <t>WH07</t>
        </is>
      </c>
      <c r="B732" s="4" t="inlineStr">
        <is>
          <t>Bengaluru DC</t>
        </is>
      </c>
      <c r="C732" s="4" t="inlineStr">
        <is>
          <t>South</t>
        </is>
      </c>
      <c r="D732" s="4" t="inlineStr">
        <is>
          <t>SKU008</t>
        </is>
      </c>
      <c r="E732" s="4" t="inlineStr">
        <is>
          <t>Iodized Salt 1kg</t>
        </is>
      </c>
      <c r="F732" s="4" t="inlineStr">
        <is>
          <t>Packaged Staples</t>
        </is>
      </c>
      <c r="G732" s="4" t="inlineStr">
        <is>
          <t>A</t>
        </is>
      </c>
      <c r="H732" s="11" t="n">
        <v>1724</v>
      </c>
      <c r="I732" s="4" t="n">
        <v>965.5</v>
      </c>
      <c r="J732" s="13">
        <f>IF(I732&gt;0,H732/I732,"")</f>
        <v/>
      </c>
      <c r="K732" s="4">
        <f>IF(I732&lt;=0,"NO DEMAND",IF(H732=0,"STOCKOUT",IF(J732&lt;Config!$B$5,"CRITICAL",IF(J732&lt;Config!$B$6,"LOW",IF(J732&gt;Config!$B$7,"EXCESS","HEALTHY")))))</f>
        <v/>
      </c>
      <c r="L732" s="11" t="n">
        <v>140</v>
      </c>
      <c r="M732" s="11" t="n">
        <v>156</v>
      </c>
      <c r="N732" s="11">
        <f>H732*L732</f>
        <v/>
      </c>
      <c r="O732" s="11">
        <f>IF(I732&gt;0,I732*(M732-L732),0)</f>
        <v/>
      </c>
      <c r="P732" s="11" t="n">
        <v>3972</v>
      </c>
    </row>
    <row r="733">
      <c r="A733" s="4" t="inlineStr">
        <is>
          <t>WH07</t>
        </is>
      </c>
      <c r="B733" s="4" t="inlineStr">
        <is>
          <t>Bengaluru DC</t>
        </is>
      </c>
      <c r="C733" s="4" t="inlineStr">
        <is>
          <t>South</t>
        </is>
      </c>
      <c r="D733" s="4" t="inlineStr">
        <is>
          <t>SKU009</t>
        </is>
      </c>
      <c r="E733" s="4" t="inlineStr">
        <is>
          <t>Tea Leaves 500g</t>
        </is>
      </c>
      <c r="F733" s="4" t="inlineStr">
        <is>
          <t>Packaged Staples</t>
        </is>
      </c>
      <c r="G733" s="4" t="inlineStr">
        <is>
          <t>A</t>
        </is>
      </c>
      <c r="H733" s="11" t="n">
        <v>1591</v>
      </c>
      <c r="I733" s="4" t="n">
        <v>932</v>
      </c>
      <c r="J733" s="13">
        <f>IF(I733&gt;0,H733/I733,"")</f>
        <v/>
      </c>
      <c r="K733" s="4">
        <f>IF(I733&lt;=0,"NO DEMAND",IF(H733=0,"STOCKOUT",IF(J733&lt;Config!$B$5,"CRITICAL",IF(J733&lt;Config!$B$6,"LOW",IF(J733&gt;Config!$B$7,"EXCESS","HEALTHY")))))</f>
        <v/>
      </c>
      <c r="L733" s="11" t="n">
        <v>103</v>
      </c>
      <c r="M733" s="11" t="n">
        <v>116</v>
      </c>
      <c r="N733" s="11">
        <f>H733*L733</f>
        <v/>
      </c>
      <c r="O733" s="11">
        <f>IF(I733&gt;0,I733*(M733-L733),0)</f>
        <v/>
      </c>
      <c r="P733" s="11" t="n">
        <v>0</v>
      </c>
    </row>
    <row r="734">
      <c r="A734" s="4" t="inlineStr">
        <is>
          <t>WH07</t>
        </is>
      </c>
      <c r="B734" s="4" t="inlineStr">
        <is>
          <t>Bengaluru DC</t>
        </is>
      </c>
      <c r="C734" s="4" t="inlineStr">
        <is>
          <t>South</t>
        </is>
      </c>
      <c r="D734" s="4" t="inlineStr">
        <is>
          <t>SKU010</t>
        </is>
      </c>
      <c r="E734" s="4" t="inlineStr">
        <is>
          <t>Poha 500g</t>
        </is>
      </c>
      <c r="F734" s="4" t="inlineStr">
        <is>
          <t>Packaged Staples</t>
        </is>
      </c>
      <c r="G734" s="4" t="inlineStr">
        <is>
          <t>B</t>
        </is>
      </c>
      <c r="H734" s="11" t="n">
        <v>8002</v>
      </c>
      <c r="I734" s="4" t="n">
        <v>1240.75</v>
      </c>
      <c r="J734" s="13">
        <f>IF(I734&gt;0,H734/I734,"")</f>
        <v/>
      </c>
      <c r="K734" s="4">
        <f>IF(I734&lt;=0,"NO DEMAND",IF(H734=0,"STOCKOUT",IF(J734&lt;Config!$B$5,"CRITICAL",IF(J734&lt;Config!$B$6,"LOW",IF(J734&gt;Config!$B$7,"EXCESS","HEALTHY")))))</f>
        <v/>
      </c>
      <c r="L734" s="11" t="n">
        <v>40</v>
      </c>
      <c r="M734" s="11" t="n">
        <v>45</v>
      </c>
      <c r="N734" s="11">
        <f>H734*L734</f>
        <v/>
      </c>
      <c r="O734" s="11">
        <f>IF(I734&gt;0,I734*(M734-L734),0)</f>
        <v/>
      </c>
      <c r="P734" s="11" t="n">
        <v>0</v>
      </c>
    </row>
    <row r="735">
      <c r="A735" s="4" t="inlineStr">
        <is>
          <t>WH07</t>
        </is>
      </c>
      <c r="B735" s="4" t="inlineStr">
        <is>
          <t>Bengaluru DC</t>
        </is>
      </c>
      <c r="C735" s="4" t="inlineStr">
        <is>
          <t>South</t>
        </is>
      </c>
      <c r="D735" s="4" t="inlineStr">
        <is>
          <t>SKU011</t>
        </is>
      </c>
      <c r="E735" s="4" t="inlineStr">
        <is>
          <t>Besan 1kg</t>
        </is>
      </c>
      <c r="F735" s="4" t="inlineStr">
        <is>
          <t>Packaged Staples</t>
        </is>
      </c>
      <c r="G735" s="4" t="inlineStr">
        <is>
          <t>A</t>
        </is>
      </c>
      <c r="H735" s="11" t="n">
        <v>1009</v>
      </c>
      <c r="I735" s="4" t="n">
        <v>1099.75</v>
      </c>
      <c r="J735" s="13">
        <f>IF(I735&gt;0,H735/I735,"")</f>
        <v/>
      </c>
      <c r="K735" s="4">
        <f>IF(I735&lt;=0,"NO DEMAND",IF(H735=0,"STOCKOUT",IF(J735&lt;Config!$B$5,"CRITICAL",IF(J735&lt;Config!$B$6,"LOW",IF(J735&gt;Config!$B$7,"EXCESS","HEALTHY")))))</f>
        <v/>
      </c>
      <c r="L735" s="11" t="n">
        <v>110</v>
      </c>
      <c r="M735" s="11" t="n">
        <v>122</v>
      </c>
      <c r="N735" s="11">
        <f>H735*L735</f>
        <v/>
      </c>
      <c r="O735" s="11">
        <f>IF(I735&gt;0,I735*(M735-L735),0)</f>
        <v/>
      </c>
      <c r="P735" s="11" t="n">
        <v>3336</v>
      </c>
    </row>
    <row r="736">
      <c r="A736" s="4" t="inlineStr">
        <is>
          <t>WH07</t>
        </is>
      </c>
      <c r="B736" s="4" t="inlineStr">
        <is>
          <t>Bengaluru DC</t>
        </is>
      </c>
      <c r="C736" s="4" t="inlineStr">
        <is>
          <t>South</t>
        </is>
      </c>
      <c r="D736" s="4" t="inlineStr">
        <is>
          <t>SKU012</t>
        </is>
      </c>
      <c r="E736" s="4" t="inlineStr">
        <is>
          <t>Rajma 1kg</t>
        </is>
      </c>
      <c r="F736" s="4" t="inlineStr">
        <is>
          <t>Packaged Staples</t>
        </is>
      </c>
      <c r="G736" s="4" t="inlineStr">
        <is>
          <t>B</t>
        </is>
      </c>
      <c r="H736" s="11" t="n">
        <v>0</v>
      </c>
      <c r="I736" s="4" t="n">
        <v>1328.75</v>
      </c>
      <c r="J736" s="13">
        <f>IF(I736&gt;0,H736/I736,"")</f>
        <v/>
      </c>
      <c r="K736" s="4">
        <f>IF(I736&lt;=0,"NO DEMAND",IF(H736=0,"STOCKOUT",IF(J736&lt;Config!$B$5,"CRITICAL",IF(J736&lt;Config!$B$6,"LOW",IF(J736&gt;Config!$B$7,"EXCESS","HEALTHY")))))</f>
        <v/>
      </c>
      <c r="L736" s="11" t="n">
        <v>45</v>
      </c>
      <c r="M736" s="11" t="n">
        <v>50</v>
      </c>
      <c r="N736" s="11">
        <f>H736*L736</f>
        <v/>
      </c>
      <c r="O736" s="11">
        <f>IF(I736&gt;0,I736*(M736-L736),0)</f>
        <v/>
      </c>
      <c r="P736" s="11" t="n">
        <v>3816</v>
      </c>
    </row>
    <row r="737">
      <c r="A737" s="4" t="inlineStr">
        <is>
          <t>WH07</t>
        </is>
      </c>
      <c r="B737" s="4" t="inlineStr">
        <is>
          <t>Bengaluru DC</t>
        </is>
      </c>
      <c r="C737" s="4" t="inlineStr">
        <is>
          <t>South</t>
        </is>
      </c>
      <c r="D737" s="4" t="inlineStr">
        <is>
          <t>SKU013</t>
        </is>
      </c>
      <c r="E737" s="4" t="inlineStr">
        <is>
          <t>Jaggery 1kg</t>
        </is>
      </c>
      <c r="F737" s="4" t="inlineStr">
        <is>
          <t>Packaged Staples</t>
        </is>
      </c>
      <c r="G737" s="4" t="inlineStr">
        <is>
          <t>A</t>
        </is>
      </c>
      <c r="H737" s="11" t="n">
        <v>1234</v>
      </c>
      <c r="I737" s="4" t="n">
        <v>1371.5</v>
      </c>
      <c r="J737" s="13">
        <f>IF(I737&gt;0,H737/I737,"")</f>
        <v/>
      </c>
      <c r="K737" s="4">
        <f>IF(I737&lt;=0,"NO DEMAND",IF(H737=0,"STOCKOUT",IF(J737&lt;Config!$B$5,"CRITICAL",IF(J737&lt;Config!$B$6,"LOW",IF(J737&gt;Config!$B$7,"EXCESS","HEALTHY")))))</f>
        <v/>
      </c>
      <c r="L737" s="11" t="n">
        <v>125</v>
      </c>
      <c r="M737" s="11" t="n">
        <v>140</v>
      </c>
      <c r="N737" s="11">
        <f>H737*L737</f>
        <v/>
      </c>
      <c r="O737" s="11">
        <f>IF(I737&gt;0,I737*(M737-L737),0)</f>
        <v/>
      </c>
      <c r="P737" s="11" t="n">
        <v>4608</v>
      </c>
    </row>
    <row r="738">
      <c r="A738" s="4" t="inlineStr">
        <is>
          <t>WH07</t>
        </is>
      </c>
      <c r="B738" s="4" t="inlineStr">
        <is>
          <t>Bengaluru DC</t>
        </is>
      </c>
      <c r="C738" s="4" t="inlineStr">
        <is>
          <t>South</t>
        </is>
      </c>
      <c r="D738" s="4" t="inlineStr">
        <is>
          <t>SKU014</t>
        </is>
      </c>
      <c r="E738" s="4" t="inlineStr">
        <is>
          <t>Ghee 500ml</t>
        </is>
      </c>
      <c r="F738" s="4" t="inlineStr">
        <is>
          <t>Packaged Staples</t>
        </is>
      </c>
      <c r="G738" s="4" t="inlineStr">
        <is>
          <t>A</t>
        </is>
      </c>
      <c r="H738" s="11" t="n">
        <v>0</v>
      </c>
      <c r="I738" s="4" t="n">
        <v>578.25</v>
      </c>
      <c r="J738" s="13">
        <f>IF(I738&gt;0,H738/I738,"")</f>
        <v/>
      </c>
      <c r="K738" s="4">
        <f>IF(I738&lt;=0,"NO DEMAND",IF(H738=0,"STOCKOUT",IF(J738&lt;Config!$B$5,"CRITICAL",IF(J738&lt;Config!$B$6,"LOW",IF(J738&gt;Config!$B$7,"EXCESS","HEALTHY")))))</f>
        <v/>
      </c>
      <c r="L738" s="11" t="n">
        <v>240</v>
      </c>
      <c r="M738" s="11" t="n">
        <v>270</v>
      </c>
      <c r="N738" s="11">
        <f>H738*L738</f>
        <v/>
      </c>
      <c r="O738" s="11">
        <f>IF(I738&gt;0,I738*(M738-L738),0)</f>
        <v/>
      </c>
      <c r="P738" s="11" t="n">
        <v>1836</v>
      </c>
    </row>
    <row r="739">
      <c r="A739" s="4" t="inlineStr">
        <is>
          <t>WH07</t>
        </is>
      </c>
      <c r="B739" s="4" t="inlineStr">
        <is>
          <t>Bengaluru DC</t>
        </is>
      </c>
      <c r="C739" s="4" t="inlineStr">
        <is>
          <t>South</t>
        </is>
      </c>
      <c r="D739" s="4" t="inlineStr">
        <is>
          <t>SKU015</t>
        </is>
      </c>
      <c r="E739" s="4" t="inlineStr">
        <is>
          <t>Suji 1kg</t>
        </is>
      </c>
      <c r="F739" s="4" t="inlineStr">
        <is>
          <t>Packaged Staples</t>
        </is>
      </c>
      <c r="G739" s="4" t="inlineStr">
        <is>
          <t>C</t>
        </is>
      </c>
      <c r="H739" s="11" t="n">
        <v>3730</v>
      </c>
      <c r="I739" s="4" t="n">
        <v>816.5</v>
      </c>
      <c r="J739" s="13">
        <f>IF(I739&gt;0,H739/I739,"")</f>
        <v/>
      </c>
      <c r="K739" s="4">
        <f>IF(I739&lt;=0,"NO DEMAND",IF(H739=0,"STOCKOUT",IF(J739&lt;Config!$B$5,"CRITICAL",IF(J739&lt;Config!$B$6,"LOW",IF(J739&gt;Config!$B$7,"EXCESS","HEALTHY")))))</f>
        <v/>
      </c>
      <c r="L739" s="11" t="n">
        <v>42</v>
      </c>
      <c r="M739" s="11" t="n">
        <v>47</v>
      </c>
      <c r="N739" s="11">
        <f>H739*L739</f>
        <v/>
      </c>
      <c r="O739" s="11">
        <f>IF(I739&gt;0,I739*(M739-L739),0)</f>
        <v/>
      </c>
      <c r="P739" s="11" t="n">
        <v>0</v>
      </c>
    </row>
    <row r="740">
      <c r="A740" s="4" t="inlineStr">
        <is>
          <t>WH07</t>
        </is>
      </c>
      <c r="B740" s="4" t="inlineStr">
        <is>
          <t>Bengaluru DC</t>
        </is>
      </c>
      <c r="C740" s="4" t="inlineStr">
        <is>
          <t>South</t>
        </is>
      </c>
      <c r="D740" s="4" t="inlineStr">
        <is>
          <t>SKU016</t>
        </is>
      </c>
      <c r="E740" s="4" t="inlineStr">
        <is>
          <t>Cola 750ml</t>
        </is>
      </c>
      <c r="F740" s="4" t="inlineStr">
        <is>
          <t>Beverages</t>
        </is>
      </c>
      <c r="G740" s="4" t="inlineStr">
        <is>
          <t>C</t>
        </is>
      </c>
      <c r="H740" s="11" t="n">
        <v>0</v>
      </c>
      <c r="I740" s="4" t="n">
        <v>205.25</v>
      </c>
      <c r="J740" s="13">
        <f>IF(I740&gt;0,H740/I740,"")</f>
        <v/>
      </c>
      <c r="K740" s="4">
        <f>IF(I740&lt;=0,"NO DEMAND",IF(H740=0,"STOCKOUT",IF(J740&lt;Config!$B$5,"CRITICAL",IF(J740&lt;Config!$B$6,"LOW",IF(J740&gt;Config!$B$7,"EXCESS","HEALTHY")))))</f>
        <v/>
      </c>
      <c r="L740" s="11" t="n">
        <v>41</v>
      </c>
      <c r="M740" s="11" t="n">
        <v>47</v>
      </c>
      <c r="N740" s="11">
        <f>H740*L740</f>
        <v/>
      </c>
      <c r="O740" s="11">
        <f>IF(I740&gt;0,I740*(M740-L740),0)</f>
        <v/>
      </c>
      <c r="P740" s="11" t="n">
        <v>1248</v>
      </c>
    </row>
    <row r="741">
      <c r="A741" s="4" t="inlineStr">
        <is>
          <t>WH07</t>
        </is>
      </c>
      <c r="B741" s="4" t="inlineStr">
        <is>
          <t>Bengaluru DC</t>
        </is>
      </c>
      <c r="C741" s="4" t="inlineStr">
        <is>
          <t>South</t>
        </is>
      </c>
      <c r="D741" s="4" t="inlineStr">
        <is>
          <t>SKU017</t>
        </is>
      </c>
      <c r="E741" s="4" t="inlineStr">
        <is>
          <t>Lemon Soda 600ml</t>
        </is>
      </c>
      <c r="F741" s="4" t="inlineStr">
        <is>
          <t>Beverages</t>
        </is>
      </c>
      <c r="G741" s="4" t="inlineStr">
        <is>
          <t>B</t>
        </is>
      </c>
      <c r="H741" s="11" t="n">
        <v>2439</v>
      </c>
      <c r="I741" s="4" t="n">
        <v>1436.75</v>
      </c>
      <c r="J741" s="13">
        <f>IF(I741&gt;0,H741/I741,"")</f>
        <v/>
      </c>
      <c r="K741" s="4">
        <f>IF(I741&lt;=0,"NO DEMAND",IF(H741=0,"STOCKOUT",IF(J741&lt;Config!$B$5,"CRITICAL",IF(J741&lt;Config!$B$6,"LOW",IF(J741&gt;Config!$B$7,"EXCESS","HEALTHY")))))</f>
        <v/>
      </c>
      <c r="L741" s="11" t="n">
        <v>42</v>
      </c>
      <c r="M741" s="11" t="n">
        <v>50</v>
      </c>
      <c r="N741" s="11">
        <f>H741*L741</f>
        <v/>
      </c>
      <c r="O741" s="11">
        <f>IF(I741&gt;0,I741*(M741-L741),0)</f>
        <v/>
      </c>
      <c r="P741" s="11" t="n">
        <v>0</v>
      </c>
    </row>
    <row r="742">
      <c r="A742" s="4" t="inlineStr">
        <is>
          <t>WH07</t>
        </is>
      </c>
      <c r="B742" s="4" t="inlineStr">
        <is>
          <t>Bengaluru DC</t>
        </is>
      </c>
      <c r="C742" s="4" t="inlineStr">
        <is>
          <t>South</t>
        </is>
      </c>
      <c r="D742" s="4" t="inlineStr">
        <is>
          <t>SKU018</t>
        </is>
      </c>
      <c r="E742" s="4" t="inlineStr">
        <is>
          <t>Mango Drink 1L</t>
        </is>
      </c>
      <c r="F742" s="4" t="inlineStr">
        <is>
          <t>Beverages</t>
        </is>
      </c>
      <c r="G742" s="4" t="inlineStr">
        <is>
          <t>A</t>
        </is>
      </c>
      <c r="H742" s="11" t="n">
        <v>9888</v>
      </c>
      <c r="I742" s="4" t="n">
        <v>1641.5</v>
      </c>
      <c r="J742" s="13">
        <f>IF(I742&gt;0,H742/I742,"")</f>
        <v/>
      </c>
      <c r="K742" s="4">
        <f>IF(I742&lt;=0,"NO DEMAND",IF(H742=0,"STOCKOUT",IF(J742&lt;Config!$B$5,"CRITICAL",IF(J742&lt;Config!$B$6,"LOW",IF(J742&gt;Config!$B$7,"EXCESS","HEALTHY")))))</f>
        <v/>
      </c>
      <c r="L742" s="11" t="n">
        <v>101</v>
      </c>
      <c r="M742" s="11" t="n">
        <v>117</v>
      </c>
      <c r="N742" s="11">
        <f>H742*L742</f>
        <v/>
      </c>
      <c r="O742" s="11">
        <f>IF(I742&gt;0,I742*(M742-L742),0)</f>
        <v/>
      </c>
      <c r="P742" s="11" t="n">
        <v>0</v>
      </c>
    </row>
    <row r="743">
      <c r="A743" s="4" t="inlineStr">
        <is>
          <t>WH07</t>
        </is>
      </c>
      <c r="B743" s="4" t="inlineStr">
        <is>
          <t>Bengaluru DC</t>
        </is>
      </c>
      <c r="C743" s="4" t="inlineStr">
        <is>
          <t>South</t>
        </is>
      </c>
      <c r="D743" s="4" t="inlineStr">
        <is>
          <t>SKU019</t>
        </is>
      </c>
      <c r="E743" s="4" t="inlineStr">
        <is>
          <t>Packaged Water 1L</t>
        </is>
      </c>
      <c r="F743" s="4" t="inlineStr">
        <is>
          <t>Beverages</t>
        </is>
      </c>
      <c r="G743" s="4" t="inlineStr">
        <is>
          <t>A</t>
        </is>
      </c>
      <c r="H743" s="11" t="n">
        <v>4661</v>
      </c>
      <c r="I743" s="4" t="n">
        <v>2024.5</v>
      </c>
      <c r="J743" s="13">
        <f>IF(I743&gt;0,H743/I743,"")</f>
        <v/>
      </c>
      <c r="K743" s="4">
        <f>IF(I743&lt;=0,"NO DEMAND",IF(H743=0,"STOCKOUT",IF(J743&lt;Config!$B$5,"CRITICAL",IF(J743&lt;Config!$B$6,"LOW",IF(J743&gt;Config!$B$7,"EXCESS","HEALTHY")))))</f>
        <v/>
      </c>
      <c r="L743" s="11" t="n">
        <v>57</v>
      </c>
      <c r="M743" s="11" t="n">
        <v>68</v>
      </c>
      <c r="N743" s="11">
        <f>H743*L743</f>
        <v/>
      </c>
      <c r="O743" s="11">
        <f>IF(I743&gt;0,I743*(M743-L743),0)</f>
        <v/>
      </c>
      <c r="P743" s="11" t="n">
        <v>5856</v>
      </c>
    </row>
    <row r="744">
      <c r="A744" s="4" t="inlineStr">
        <is>
          <t>WH07</t>
        </is>
      </c>
      <c r="B744" s="4" t="inlineStr">
        <is>
          <t>Bengaluru DC</t>
        </is>
      </c>
      <c r="C744" s="4" t="inlineStr">
        <is>
          <t>South</t>
        </is>
      </c>
      <c r="D744" s="4" t="inlineStr">
        <is>
          <t>SKU020</t>
        </is>
      </c>
      <c r="E744" s="4" t="inlineStr">
        <is>
          <t>Energy Drink 250ml</t>
        </is>
      </c>
      <c r="F744" s="4" t="inlineStr">
        <is>
          <t>Beverages</t>
        </is>
      </c>
      <c r="G744" s="4" t="inlineStr">
        <is>
          <t>B</t>
        </is>
      </c>
      <c r="H744" s="11" t="n">
        <v>2551</v>
      </c>
      <c r="I744" s="4" t="n">
        <v>440.75</v>
      </c>
      <c r="J744" s="13">
        <f>IF(I744&gt;0,H744/I744,"")</f>
        <v/>
      </c>
      <c r="K744" s="4">
        <f>IF(I744&lt;=0,"NO DEMAND",IF(H744=0,"STOCKOUT",IF(J744&lt;Config!$B$5,"CRITICAL",IF(J744&lt;Config!$B$6,"LOW",IF(J744&gt;Config!$B$7,"EXCESS","HEALTHY")))))</f>
        <v/>
      </c>
      <c r="L744" s="11" t="n">
        <v>24</v>
      </c>
      <c r="M744" s="11" t="n">
        <v>28</v>
      </c>
      <c r="N744" s="11">
        <f>H744*L744</f>
        <v/>
      </c>
      <c r="O744" s="11">
        <f>IF(I744&gt;0,I744*(M744-L744),0)</f>
        <v/>
      </c>
      <c r="P744" s="11" t="n">
        <v>0</v>
      </c>
    </row>
    <row r="745">
      <c r="A745" s="4" t="inlineStr">
        <is>
          <t>WH07</t>
        </is>
      </c>
      <c r="B745" s="4" t="inlineStr">
        <is>
          <t>Bengaluru DC</t>
        </is>
      </c>
      <c r="C745" s="4" t="inlineStr">
        <is>
          <t>South</t>
        </is>
      </c>
      <c r="D745" s="4" t="inlineStr">
        <is>
          <t>SKU021</t>
        </is>
      </c>
      <c r="E745" s="4" t="inlineStr">
        <is>
          <t>Fruit Juice 1L</t>
        </is>
      </c>
      <c r="F745" s="4" t="inlineStr">
        <is>
          <t>Beverages</t>
        </is>
      </c>
      <c r="G745" s="4" t="inlineStr">
        <is>
          <t>A</t>
        </is>
      </c>
      <c r="H745" s="11" t="n">
        <v>5713</v>
      </c>
      <c r="I745" s="4" t="n">
        <v>1686.75</v>
      </c>
      <c r="J745" s="13">
        <f>IF(I745&gt;0,H745/I745,"")</f>
        <v/>
      </c>
      <c r="K745" s="4">
        <f>IF(I745&lt;=0,"NO DEMAND",IF(H745=0,"STOCKOUT",IF(J745&lt;Config!$B$5,"CRITICAL",IF(J745&lt;Config!$B$6,"LOW",IF(J745&gt;Config!$B$7,"EXCESS","HEALTHY")))))</f>
        <v/>
      </c>
      <c r="L745" s="11" t="n">
        <v>54</v>
      </c>
      <c r="M745" s="11" t="n">
        <v>63</v>
      </c>
      <c r="N745" s="11">
        <f>H745*L745</f>
        <v/>
      </c>
      <c r="O745" s="11">
        <f>IF(I745&gt;0,I745*(M745-L745),0)</f>
        <v/>
      </c>
      <c r="P745" s="11" t="n">
        <v>0</v>
      </c>
    </row>
    <row r="746">
      <c r="A746" s="4" t="inlineStr">
        <is>
          <t>WH07</t>
        </is>
      </c>
      <c r="B746" s="4" t="inlineStr">
        <is>
          <t>Bengaluru DC</t>
        </is>
      </c>
      <c r="C746" s="4" t="inlineStr">
        <is>
          <t>South</t>
        </is>
      </c>
      <c r="D746" s="4" t="inlineStr">
        <is>
          <t>SKU022</t>
        </is>
      </c>
      <c r="E746" s="4" t="inlineStr">
        <is>
          <t>Iced Tea 500ml</t>
        </is>
      </c>
      <c r="F746" s="4" t="inlineStr">
        <is>
          <t>Beverages</t>
        </is>
      </c>
      <c r="G746" s="4" t="inlineStr">
        <is>
          <t>A</t>
        </is>
      </c>
      <c r="H746" s="11" t="n">
        <v>7258</v>
      </c>
      <c r="I746" s="4" t="n">
        <v>1945</v>
      </c>
      <c r="J746" s="13">
        <f>IF(I746&gt;0,H746/I746,"")</f>
        <v/>
      </c>
      <c r="K746" s="4">
        <f>IF(I746&lt;=0,"NO DEMAND",IF(H746=0,"STOCKOUT",IF(J746&lt;Config!$B$5,"CRITICAL",IF(J746&lt;Config!$B$6,"LOW",IF(J746&gt;Config!$B$7,"EXCESS","HEALTHY")))))</f>
        <v/>
      </c>
      <c r="L746" s="11" t="n">
        <v>53</v>
      </c>
      <c r="M746" s="11" t="n">
        <v>64</v>
      </c>
      <c r="N746" s="11">
        <f>H746*L746</f>
        <v/>
      </c>
      <c r="O746" s="11">
        <f>IF(I746&gt;0,I746*(M746-L746),0)</f>
        <v/>
      </c>
      <c r="P746" s="11" t="n">
        <v>0</v>
      </c>
    </row>
    <row r="747">
      <c r="A747" s="4" t="inlineStr">
        <is>
          <t>WH07</t>
        </is>
      </c>
      <c r="B747" s="4" t="inlineStr">
        <is>
          <t>Bengaluru DC</t>
        </is>
      </c>
      <c r="C747" s="4" t="inlineStr">
        <is>
          <t>South</t>
        </is>
      </c>
      <c r="D747" s="4" t="inlineStr">
        <is>
          <t>SKU023</t>
        </is>
      </c>
      <c r="E747" s="4" t="inlineStr">
        <is>
          <t>Coconut Water 200ml</t>
        </is>
      </c>
      <c r="F747" s="4" t="inlineStr">
        <is>
          <t>Beverages</t>
        </is>
      </c>
      <c r="G747" s="4" t="inlineStr">
        <is>
          <t>A</t>
        </is>
      </c>
      <c r="H747" s="11" t="n">
        <v>10861</v>
      </c>
      <c r="I747" s="4" t="n">
        <v>2492.75</v>
      </c>
      <c r="J747" s="13">
        <f>IF(I747&gt;0,H747/I747,"")</f>
        <v/>
      </c>
      <c r="K747" s="4">
        <f>IF(I747&lt;=0,"NO DEMAND",IF(H747=0,"STOCKOUT",IF(J747&lt;Config!$B$5,"CRITICAL",IF(J747&lt;Config!$B$6,"LOW",IF(J747&gt;Config!$B$7,"EXCESS","HEALTHY")))))</f>
        <v/>
      </c>
      <c r="L747" s="11" t="n">
        <v>59</v>
      </c>
      <c r="M747" s="11" t="n">
        <v>69</v>
      </c>
      <c r="N747" s="11">
        <f>H747*L747</f>
        <v/>
      </c>
      <c r="O747" s="11">
        <f>IF(I747&gt;0,I747*(M747-L747),0)</f>
        <v/>
      </c>
      <c r="P747" s="11" t="n">
        <v>0</v>
      </c>
    </row>
    <row r="748">
      <c r="A748" s="4" t="inlineStr">
        <is>
          <t>WH07</t>
        </is>
      </c>
      <c r="B748" s="4" t="inlineStr">
        <is>
          <t>Bengaluru DC</t>
        </is>
      </c>
      <c r="C748" s="4" t="inlineStr">
        <is>
          <t>South</t>
        </is>
      </c>
      <c r="D748" s="4" t="inlineStr">
        <is>
          <t>SKU024</t>
        </is>
      </c>
      <c r="E748" s="4" t="inlineStr">
        <is>
          <t>Instant Coffee 100g</t>
        </is>
      </c>
      <c r="F748" s="4" t="inlineStr">
        <is>
          <t>Beverages</t>
        </is>
      </c>
      <c r="G748" s="4" t="inlineStr">
        <is>
          <t>C</t>
        </is>
      </c>
      <c r="H748" s="11" t="n">
        <v>106</v>
      </c>
      <c r="I748" s="4" t="n">
        <v>294</v>
      </c>
      <c r="J748" s="13">
        <f>IF(I748&gt;0,H748/I748,"")</f>
        <v/>
      </c>
      <c r="K748" s="4">
        <f>IF(I748&lt;=0,"NO DEMAND",IF(H748=0,"STOCKOUT",IF(J748&lt;Config!$B$5,"CRITICAL",IF(J748&lt;Config!$B$6,"LOW",IF(J748&gt;Config!$B$7,"EXCESS","HEALTHY")))))</f>
        <v/>
      </c>
      <c r="L748" s="11" t="n">
        <v>27</v>
      </c>
      <c r="M748" s="11" t="n">
        <v>31</v>
      </c>
      <c r="N748" s="11">
        <f>H748*L748</f>
        <v/>
      </c>
      <c r="O748" s="11">
        <f>IF(I748&gt;0,I748*(M748-L748),0)</f>
        <v/>
      </c>
      <c r="P748" s="11" t="n">
        <v>1416</v>
      </c>
    </row>
    <row r="749">
      <c r="A749" s="4" t="inlineStr">
        <is>
          <t>WH07</t>
        </is>
      </c>
      <c r="B749" s="4" t="inlineStr">
        <is>
          <t>Bengaluru DC</t>
        </is>
      </c>
      <c r="C749" s="4" t="inlineStr">
        <is>
          <t>South</t>
        </is>
      </c>
      <c r="D749" s="4" t="inlineStr">
        <is>
          <t>SKU025</t>
        </is>
      </c>
      <c r="E749" s="4" t="inlineStr">
        <is>
          <t>Tea Bags 100pk</t>
        </is>
      </c>
      <c r="F749" s="4" t="inlineStr">
        <is>
          <t>Beverages</t>
        </is>
      </c>
      <c r="G749" s="4" t="inlineStr">
        <is>
          <t>C</t>
        </is>
      </c>
      <c r="H749" s="11" t="n">
        <v>3470</v>
      </c>
      <c r="I749" s="4" t="n">
        <v>1654.5</v>
      </c>
      <c r="J749" s="13">
        <f>IF(I749&gt;0,H749/I749,"")</f>
        <v/>
      </c>
      <c r="K749" s="4">
        <f>IF(I749&lt;=0,"NO DEMAND",IF(H749=0,"STOCKOUT",IF(J749&lt;Config!$B$5,"CRITICAL",IF(J749&lt;Config!$B$6,"LOW",IF(J749&gt;Config!$B$7,"EXCESS","HEALTHY")))))</f>
        <v/>
      </c>
      <c r="L749" s="11" t="n">
        <v>24</v>
      </c>
      <c r="M749" s="11" t="n">
        <v>28</v>
      </c>
      <c r="N749" s="11">
        <f>H749*L749</f>
        <v/>
      </c>
      <c r="O749" s="11">
        <f>IF(I749&gt;0,I749*(M749-L749),0)</f>
        <v/>
      </c>
      <c r="P749" s="11" t="n">
        <v>0</v>
      </c>
    </row>
    <row r="750">
      <c r="A750" s="4" t="inlineStr">
        <is>
          <t>WH07</t>
        </is>
      </c>
      <c r="B750" s="4" t="inlineStr">
        <is>
          <t>Bengaluru DC</t>
        </is>
      </c>
      <c r="C750" s="4" t="inlineStr">
        <is>
          <t>South</t>
        </is>
      </c>
      <c r="D750" s="4" t="inlineStr">
        <is>
          <t>SKU026</t>
        </is>
      </c>
      <c r="E750" s="4" t="inlineStr">
        <is>
          <t>Buttermilk 200ml</t>
        </is>
      </c>
      <c r="F750" s="4" t="inlineStr">
        <is>
          <t>Beverages</t>
        </is>
      </c>
      <c r="G750" s="4" t="inlineStr">
        <is>
          <t>B</t>
        </is>
      </c>
      <c r="H750" s="11" t="n">
        <v>1712</v>
      </c>
      <c r="I750" s="4" t="n">
        <v>1415.25</v>
      </c>
      <c r="J750" s="13">
        <f>IF(I750&gt;0,H750/I750,"")</f>
        <v/>
      </c>
      <c r="K750" s="4">
        <f>IF(I750&lt;=0,"NO DEMAND",IF(H750=0,"STOCKOUT",IF(J750&lt;Config!$B$5,"CRITICAL",IF(J750&lt;Config!$B$6,"LOW",IF(J750&gt;Config!$B$7,"EXCESS","HEALTHY")))))</f>
        <v/>
      </c>
      <c r="L750" s="11" t="n">
        <v>31</v>
      </c>
      <c r="M750" s="11" t="n">
        <v>36</v>
      </c>
      <c r="N750" s="11">
        <f>H750*L750</f>
        <v/>
      </c>
      <c r="O750" s="11">
        <f>IF(I750&gt;0,I750*(M750-L750),0)</f>
        <v/>
      </c>
      <c r="P750" s="11" t="n">
        <v>0</v>
      </c>
    </row>
    <row r="751">
      <c r="A751" s="4" t="inlineStr">
        <is>
          <t>WH07</t>
        </is>
      </c>
      <c r="B751" s="4" t="inlineStr">
        <is>
          <t>Bengaluru DC</t>
        </is>
      </c>
      <c r="C751" s="4" t="inlineStr">
        <is>
          <t>South</t>
        </is>
      </c>
      <c r="D751" s="4" t="inlineStr">
        <is>
          <t>SKU027</t>
        </is>
      </c>
      <c r="E751" s="4" t="inlineStr">
        <is>
          <t>Lassi 200ml</t>
        </is>
      </c>
      <c r="F751" s="4" t="inlineStr">
        <is>
          <t>Beverages</t>
        </is>
      </c>
      <c r="G751" s="4" t="inlineStr">
        <is>
          <t>A</t>
        </is>
      </c>
      <c r="H751" s="11" t="n">
        <v>7534</v>
      </c>
      <c r="I751" s="4" t="n">
        <v>3667.5</v>
      </c>
      <c r="J751" s="13">
        <f>IF(I751&gt;0,H751/I751,"")</f>
        <v/>
      </c>
      <c r="K751" s="4">
        <f>IF(I751&lt;=0,"NO DEMAND",IF(H751=0,"STOCKOUT",IF(J751&lt;Config!$B$5,"CRITICAL",IF(J751&lt;Config!$B$6,"LOW",IF(J751&gt;Config!$B$7,"EXCESS","HEALTHY")))))</f>
        <v/>
      </c>
      <c r="L751" s="11" t="n">
        <v>60</v>
      </c>
      <c r="M751" s="11" t="n">
        <v>72</v>
      </c>
      <c r="N751" s="11">
        <f>H751*L751</f>
        <v/>
      </c>
      <c r="O751" s="11">
        <f>IF(I751&gt;0,I751*(M751-L751),0)</f>
        <v/>
      </c>
      <c r="P751" s="11" t="n">
        <v>0</v>
      </c>
    </row>
    <row r="752">
      <c r="A752" s="4" t="inlineStr">
        <is>
          <t>WH07</t>
        </is>
      </c>
      <c r="B752" s="4" t="inlineStr">
        <is>
          <t>Bengaluru DC</t>
        </is>
      </c>
      <c r="C752" s="4" t="inlineStr">
        <is>
          <t>South</t>
        </is>
      </c>
      <c r="D752" s="4" t="inlineStr">
        <is>
          <t>SKU028</t>
        </is>
      </c>
      <c r="E752" s="4" t="inlineStr">
        <is>
          <t>Sports Drink 500ml</t>
        </is>
      </c>
      <c r="F752" s="4" t="inlineStr">
        <is>
          <t>Beverages</t>
        </is>
      </c>
      <c r="G752" s="4" t="inlineStr">
        <is>
          <t>A</t>
        </is>
      </c>
      <c r="H752" s="11" t="n">
        <v>2424</v>
      </c>
      <c r="I752" s="4" t="n">
        <v>2184.25</v>
      </c>
      <c r="J752" s="13">
        <f>IF(I752&gt;0,H752/I752,"")</f>
        <v/>
      </c>
      <c r="K752" s="4">
        <f>IF(I752&lt;=0,"NO DEMAND",IF(H752=0,"STOCKOUT",IF(J752&lt;Config!$B$5,"CRITICAL",IF(J752&lt;Config!$B$6,"LOW",IF(J752&gt;Config!$B$7,"EXCESS","HEALTHY")))))</f>
        <v/>
      </c>
      <c r="L752" s="11" t="n">
        <v>110</v>
      </c>
      <c r="M752" s="11" t="n">
        <v>131</v>
      </c>
      <c r="N752" s="11">
        <f>H752*L752</f>
        <v/>
      </c>
      <c r="O752" s="11">
        <f>IF(I752&gt;0,I752*(M752-L752),0)</f>
        <v/>
      </c>
      <c r="P752" s="11" t="n">
        <v>7488</v>
      </c>
    </row>
    <row r="753">
      <c r="A753" s="4" t="inlineStr">
        <is>
          <t>WH07</t>
        </is>
      </c>
      <c r="B753" s="4" t="inlineStr">
        <is>
          <t>Bengaluru DC</t>
        </is>
      </c>
      <c r="C753" s="4" t="inlineStr">
        <is>
          <t>South</t>
        </is>
      </c>
      <c r="D753" s="4" t="inlineStr">
        <is>
          <t>SKU029</t>
        </is>
      </c>
      <c r="E753" s="4" t="inlineStr">
        <is>
          <t>Tonic Water 300ml</t>
        </is>
      </c>
      <c r="F753" s="4" t="inlineStr">
        <is>
          <t>Beverages</t>
        </is>
      </c>
      <c r="G753" s="4" t="inlineStr">
        <is>
          <t>B</t>
        </is>
      </c>
      <c r="H753" s="11" t="n">
        <v>11592</v>
      </c>
      <c r="I753" s="4" t="n">
        <v>2443.75</v>
      </c>
      <c r="J753" s="13">
        <f>IF(I753&gt;0,H753/I753,"")</f>
        <v/>
      </c>
      <c r="K753" s="4">
        <f>IF(I753&lt;=0,"NO DEMAND",IF(H753=0,"STOCKOUT",IF(J753&lt;Config!$B$5,"CRITICAL",IF(J753&lt;Config!$B$6,"LOW",IF(J753&gt;Config!$B$7,"EXCESS","HEALTHY")))))</f>
        <v/>
      </c>
      <c r="L753" s="11" t="n">
        <v>23</v>
      </c>
      <c r="M753" s="11" t="n">
        <v>27</v>
      </c>
      <c r="N753" s="11">
        <f>H753*L753</f>
        <v/>
      </c>
      <c r="O753" s="11">
        <f>IF(I753&gt;0,I753*(M753-L753),0)</f>
        <v/>
      </c>
      <c r="P753" s="11" t="n">
        <v>0</v>
      </c>
    </row>
    <row r="754">
      <c r="A754" s="4" t="inlineStr">
        <is>
          <t>WH07</t>
        </is>
      </c>
      <c r="B754" s="4" t="inlineStr">
        <is>
          <t>Bengaluru DC</t>
        </is>
      </c>
      <c r="C754" s="4" t="inlineStr">
        <is>
          <t>South</t>
        </is>
      </c>
      <c r="D754" s="4" t="inlineStr">
        <is>
          <t>SKU030</t>
        </is>
      </c>
      <c r="E754" s="4" t="inlineStr">
        <is>
          <t>Malt Drink 500g</t>
        </is>
      </c>
      <c r="F754" s="4" t="inlineStr">
        <is>
          <t>Beverages</t>
        </is>
      </c>
      <c r="G754" s="4" t="inlineStr">
        <is>
          <t>C</t>
        </is>
      </c>
      <c r="H754" s="11" t="n">
        <v>2313</v>
      </c>
      <c r="I754" s="4" t="n">
        <v>291.75</v>
      </c>
      <c r="J754" s="13">
        <f>IF(I754&gt;0,H754/I754,"")</f>
        <v/>
      </c>
      <c r="K754" s="4">
        <f>IF(I754&lt;=0,"NO DEMAND",IF(H754=0,"STOCKOUT",IF(J754&lt;Config!$B$5,"CRITICAL",IF(J754&lt;Config!$B$6,"LOW",IF(J754&gt;Config!$B$7,"EXCESS","HEALTHY")))))</f>
        <v/>
      </c>
      <c r="L754" s="11" t="n">
        <v>31</v>
      </c>
      <c r="M754" s="11" t="n">
        <v>37</v>
      </c>
      <c r="N754" s="11">
        <f>H754*L754</f>
        <v/>
      </c>
      <c r="O754" s="11">
        <f>IF(I754&gt;0,I754*(M754-L754),0)</f>
        <v/>
      </c>
      <c r="P754" s="11" t="n">
        <v>0</v>
      </c>
    </row>
    <row r="755">
      <c r="A755" s="4" t="inlineStr">
        <is>
          <t>WH07</t>
        </is>
      </c>
      <c r="B755" s="4" t="inlineStr">
        <is>
          <t>Bengaluru DC</t>
        </is>
      </c>
      <c r="C755" s="4" t="inlineStr">
        <is>
          <t>South</t>
        </is>
      </c>
      <c r="D755" s="4" t="inlineStr">
        <is>
          <t>SKU031</t>
        </is>
      </c>
      <c r="E755" s="4" t="inlineStr">
        <is>
          <t>Potato Chips 90g</t>
        </is>
      </c>
      <c r="F755" s="4" t="inlineStr">
        <is>
          <t>Snacks &amp; Confectionery</t>
        </is>
      </c>
      <c r="G755" s="4" t="inlineStr">
        <is>
          <t>C</t>
        </is>
      </c>
      <c r="H755" s="11" t="n">
        <v>2610</v>
      </c>
      <c r="I755" s="4" t="n">
        <v>1541.25</v>
      </c>
      <c r="J755" s="13">
        <f>IF(I755&gt;0,H755/I755,"")</f>
        <v/>
      </c>
      <c r="K755" s="4">
        <f>IF(I755&lt;=0,"NO DEMAND",IF(H755=0,"STOCKOUT",IF(J755&lt;Config!$B$5,"CRITICAL",IF(J755&lt;Config!$B$6,"LOW",IF(J755&gt;Config!$B$7,"EXCESS","HEALTHY")))))</f>
        <v/>
      </c>
      <c r="L755" s="11" t="n">
        <v>13</v>
      </c>
      <c r="M755" s="11" t="n">
        <v>16</v>
      </c>
      <c r="N755" s="11">
        <f>H755*L755</f>
        <v/>
      </c>
      <c r="O755" s="11">
        <f>IF(I755&gt;0,I755*(M755-L755),0)</f>
        <v/>
      </c>
      <c r="P755" s="11" t="n">
        <v>0</v>
      </c>
    </row>
    <row r="756">
      <c r="A756" s="4" t="inlineStr">
        <is>
          <t>WH07</t>
        </is>
      </c>
      <c r="B756" s="4" t="inlineStr">
        <is>
          <t>Bengaluru DC</t>
        </is>
      </c>
      <c r="C756" s="4" t="inlineStr">
        <is>
          <t>South</t>
        </is>
      </c>
      <c r="D756" s="4" t="inlineStr">
        <is>
          <t>SKU032</t>
        </is>
      </c>
      <c r="E756" s="4" t="inlineStr">
        <is>
          <t>Namkeen Mix 400g</t>
        </is>
      </c>
      <c r="F756" s="4" t="inlineStr">
        <is>
          <t>Snacks &amp; Confectionery</t>
        </is>
      </c>
      <c r="G756" s="4" t="inlineStr">
        <is>
          <t>C</t>
        </is>
      </c>
      <c r="H756" s="11" t="n">
        <v>2426</v>
      </c>
      <c r="I756" s="4" t="n">
        <v>895.25</v>
      </c>
      <c r="J756" s="13">
        <f>IF(I756&gt;0,H756/I756,"")</f>
        <v/>
      </c>
      <c r="K756" s="4">
        <f>IF(I756&lt;=0,"NO DEMAND",IF(H756=0,"STOCKOUT",IF(J756&lt;Config!$B$5,"CRITICAL",IF(J756&lt;Config!$B$6,"LOW",IF(J756&gt;Config!$B$7,"EXCESS","HEALTHY")))))</f>
        <v/>
      </c>
      <c r="L756" s="11" t="n">
        <v>14</v>
      </c>
      <c r="M756" s="11" t="n">
        <v>17</v>
      </c>
      <c r="N756" s="11">
        <f>H756*L756</f>
        <v/>
      </c>
      <c r="O756" s="11">
        <f>IF(I756&gt;0,I756*(M756-L756),0)</f>
        <v/>
      </c>
      <c r="P756" s="11" t="n">
        <v>3540</v>
      </c>
    </row>
    <row r="757">
      <c r="A757" s="4" t="inlineStr">
        <is>
          <t>WH07</t>
        </is>
      </c>
      <c r="B757" s="4" t="inlineStr">
        <is>
          <t>Bengaluru DC</t>
        </is>
      </c>
      <c r="C757" s="4" t="inlineStr">
        <is>
          <t>South</t>
        </is>
      </c>
      <c r="D757" s="4" t="inlineStr">
        <is>
          <t>SKU033</t>
        </is>
      </c>
      <c r="E757" s="4" t="inlineStr">
        <is>
          <t>Glucose Biscuits 300g</t>
        </is>
      </c>
      <c r="F757" s="4" t="inlineStr">
        <is>
          <t>Snacks &amp; Confectionery</t>
        </is>
      </c>
      <c r="G757" s="4" t="inlineStr">
        <is>
          <t>A</t>
        </is>
      </c>
      <c r="H757" s="11" t="n">
        <v>6464</v>
      </c>
      <c r="I757" s="4" t="n">
        <v>2562.75</v>
      </c>
      <c r="J757" s="13">
        <f>IF(I757&gt;0,H757/I757,"")</f>
        <v/>
      </c>
      <c r="K757" s="4">
        <f>IF(I757&lt;=0,"NO DEMAND",IF(H757=0,"STOCKOUT",IF(J757&lt;Config!$B$5,"CRITICAL",IF(J757&lt;Config!$B$6,"LOW",IF(J757&gt;Config!$B$7,"EXCESS","HEALTHY")))))</f>
        <v/>
      </c>
      <c r="L757" s="11" t="n">
        <v>119</v>
      </c>
      <c r="M757" s="11" t="n">
        <v>144</v>
      </c>
      <c r="N757" s="11">
        <f>H757*L757</f>
        <v/>
      </c>
      <c r="O757" s="11">
        <f>IF(I757&gt;0,I757*(M757-L757),0)</f>
        <v/>
      </c>
      <c r="P757" s="11" t="n">
        <v>0</v>
      </c>
    </row>
    <row r="758">
      <c r="A758" s="4" t="inlineStr">
        <is>
          <t>WH07</t>
        </is>
      </c>
      <c r="B758" s="4" t="inlineStr">
        <is>
          <t>Bengaluru DC</t>
        </is>
      </c>
      <c r="C758" s="4" t="inlineStr">
        <is>
          <t>South</t>
        </is>
      </c>
      <c r="D758" s="4" t="inlineStr">
        <is>
          <t>SKU034</t>
        </is>
      </c>
      <c r="E758" s="4" t="inlineStr">
        <is>
          <t>Cream Biscuits 120g</t>
        </is>
      </c>
      <c r="F758" s="4" t="inlineStr">
        <is>
          <t>Snacks &amp; Confectionery</t>
        </is>
      </c>
      <c r="G758" s="4" t="inlineStr">
        <is>
          <t>B</t>
        </is>
      </c>
      <c r="H758" s="11" t="n">
        <v>1999</v>
      </c>
      <c r="I758" s="4" t="n">
        <v>272</v>
      </c>
      <c r="J758" s="13">
        <f>IF(I758&gt;0,H758/I758,"")</f>
        <v/>
      </c>
      <c r="K758" s="4">
        <f>IF(I758&lt;=0,"NO DEMAND",IF(H758=0,"STOCKOUT",IF(J758&lt;Config!$B$5,"CRITICAL",IF(J758&lt;Config!$B$6,"LOW",IF(J758&gt;Config!$B$7,"EXCESS","HEALTHY")))))</f>
        <v/>
      </c>
      <c r="L758" s="11" t="n">
        <v>61</v>
      </c>
      <c r="M758" s="11" t="n">
        <v>73</v>
      </c>
      <c r="N758" s="11">
        <f>H758*L758</f>
        <v/>
      </c>
      <c r="O758" s="11">
        <f>IF(I758&gt;0,I758*(M758-L758),0)</f>
        <v/>
      </c>
      <c r="P758" s="11" t="n">
        <v>0</v>
      </c>
    </row>
    <row r="759">
      <c r="A759" s="4" t="inlineStr">
        <is>
          <t>WH07</t>
        </is>
      </c>
      <c r="B759" s="4" t="inlineStr">
        <is>
          <t>Bengaluru DC</t>
        </is>
      </c>
      <c r="C759" s="4" t="inlineStr">
        <is>
          <t>South</t>
        </is>
      </c>
      <c r="D759" s="4" t="inlineStr">
        <is>
          <t>SKU035</t>
        </is>
      </c>
      <c r="E759" s="4" t="inlineStr">
        <is>
          <t>Chocolate Bar 40g</t>
        </is>
      </c>
      <c r="F759" s="4" t="inlineStr">
        <is>
          <t>Snacks &amp; Confectionery</t>
        </is>
      </c>
      <c r="G759" s="4" t="inlineStr">
        <is>
          <t>C</t>
        </is>
      </c>
      <c r="H759" s="11" t="n">
        <v>4286</v>
      </c>
      <c r="I759" s="4" t="n">
        <v>801.5</v>
      </c>
      <c r="J759" s="13">
        <f>IF(I759&gt;0,H759/I759,"")</f>
        <v/>
      </c>
      <c r="K759" s="4">
        <f>IF(I759&lt;=0,"NO DEMAND",IF(H759=0,"STOCKOUT",IF(J759&lt;Config!$B$5,"CRITICAL",IF(J759&lt;Config!$B$6,"LOW",IF(J759&gt;Config!$B$7,"EXCESS","HEALTHY")))))</f>
        <v/>
      </c>
      <c r="L759" s="11" t="n">
        <v>16</v>
      </c>
      <c r="M759" s="11" t="n">
        <v>20</v>
      </c>
      <c r="N759" s="11">
        <f>H759*L759</f>
        <v/>
      </c>
      <c r="O759" s="11">
        <f>IF(I759&gt;0,I759*(M759-L759),0)</f>
        <v/>
      </c>
      <c r="P759" s="11" t="n">
        <v>0</v>
      </c>
    </row>
    <row r="760">
      <c r="A760" s="4" t="inlineStr">
        <is>
          <t>WH07</t>
        </is>
      </c>
      <c r="B760" s="4" t="inlineStr">
        <is>
          <t>Bengaluru DC</t>
        </is>
      </c>
      <c r="C760" s="4" t="inlineStr">
        <is>
          <t>South</t>
        </is>
      </c>
      <c r="D760" s="4" t="inlineStr">
        <is>
          <t>SKU036</t>
        </is>
      </c>
      <c r="E760" s="4" t="inlineStr">
        <is>
          <t>Instant Noodles 70g</t>
        </is>
      </c>
      <c r="F760" s="4" t="inlineStr">
        <is>
          <t>Snacks &amp; Confectionery</t>
        </is>
      </c>
      <c r="G760" s="4" t="inlineStr">
        <is>
          <t>C</t>
        </is>
      </c>
      <c r="H760" s="11" t="n">
        <v>2875</v>
      </c>
      <c r="I760" s="4" t="n">
        <v>964.25</v>
      </c>
      <c r="J760" s="13">
        <f>IF(I760&gt;0,H760/I760,"")</f>
        <v/>
      </c>
      <c r="K760" s="4">
        <f>IF(I760&lt;=0,"NO DEMAND",IF(H760=0,"STOCKOUT",IF(J760&lt;Config!$B$5,"CRITICAL",IF(J760&lt;Config!$B$6,"LOW",IF(J760&gt;Config!$B$7,"EXCESS","HEALTHY")))))</f>
        <v/>
      </c>
      <c r="L760" s="11" t="n">
        <v>19</v>
      </c>
      <c r="M760" s="11" t="n">
        <v>24</v>
      </c>
      <c r="N760" s="11">
        <f>H760*L760</f>
        <v/>
      </c>
      <c r="O760" s="11">
        <f>IF(I760&gt;0,I760*(M760-L760),0)</f>
        <v/>
      </c>
      <c r="P760" s="11" t="n">
        <v>0</v>
      </c>
    </row>
    <row r="761">
      <c r="A761" s="4" t="inlineStr">
        <is>
          <t>WH07</t>
        </is>
      </c>
      <c r="B761" s="4" t="inlineStr">
        <is>
          <t>Bengaluru DC</t>
        </is>
      </c>
      <c r="C761" s="4" t="inlineStr">
        <is>
          <t>South</t>
        </is>
      </c>
      <c r="D761" s="4" t="inlineStr">
        <is>
          <t>SKU037</t>
        </is>
      </c>
      <c r="E761" s="4" t="inlineStr">
        <is>
          <t>Popcorn 60g</t>
        </is>
      </c>
      <c r="F761" s="4" t="inlineStr">
        <is>
          <t>Snacks &amp; Confectionery</t>
        </is>
      </c>
      <c r="G761" s="4" t="inlineStr">
        <is>
          <t>A</t>
        </is>
      </c>
      <c r="H761" s="11" t="n">
        <v>697</v>
      </c>
      <c r="I761" s="4" t="n">
        <v>697.5</v>
      </c>
      <c r="J761" s="13">
        <f>IF(I761&gt;0,H761/I761,"")</f>
        <v/>
      </c>
      <c r="K761" s="4">
        <f>IF(I761&lt;=0,"NO DEMAND",IF(H761=0,"STOCKOUT",IF(J761&lt;Config!$B$5,"CRITICAL",IF(J761&lt;Config!$B$6,"LOW",IF(J761&gt;Config!$B$7,"EXCESS","HEALTHY")))))</f>
        <v/>
      </c>
      <c r="L761" s="11" t="n">
        <v>137</v>
      </c>
      <c r="M761" s="11" t="n">
        <v>163</v>
      </c>
      <c r="N761" s="11">
        <f>H761*L761</f>
        <v/>
      </c>
      <c r="O761" s="11">
        <f>IF(I761&gt;0,I761*(M761-L761),0)</f>
        <v/>
      </c>
      <c r="P761" s="11" t="n">
        <v>2436</v>
      </c>
    </row>
    <row r="762">
      <c r="A762" s="4" t="inlineStr">
        <is>
          <t>WH07</t>
        </is>
      </c>
      <c r="B762" s="4" t="inlineStr">
        <is>
          <t>Bengaluru DC</t>
        </is>
      </c>
      <c r="C762" s="4" t="inlineStr">
        <is>
          <t>South</t>
        </is>
      </c>
      <c r="D762" s="4" t="inlineStr">
        <is>
          <t>SKU038</t>
        </is>
      </c>
      <c r="E762" s="4" t="inlineStr">
        <is>
          <t>Peanut Chikki 200g</t>
        </is>
      </c>
      <c r="F762" s="4" t="inlineStr">
        <is>
          <t>Snacks &amp; Confectionery</t>
        </is>
      </c>
      <c r="G762" s="4" t="inlineStr">
        <is>
          <t>C</t>
        </is>
      </c>
      <c r="H762" s="11" t="n">
        <v>3451</v>
      </c>
      <c r="I762" s="4" t="n">
        <v>1002.25</v>
      </c>
      <c r="J762" s="13">
        <f>IF(I762&gt;0,H762/I762,"")</f>
        <v/>
      </c>
      <c r="K762" s="4">
        <f>IF(I762&lt;=0,"NO DEMAND",IF(H762=0,"STOCKOUT",IF(J762&lt;Config!$B$5,"CRITICAL",IF(J762&lt;Config!$B$6,"LOW",IF(J762&gt;Config!$B$7,"EXCESS","HEALTHY")))))</f>
        <v/>
      </c>
      <c r="L762" s="11" t="n">
        <v>18</v>
      </c>
      <c r="M762" s="11" t="n">
        <v>22</v>
      </c>
      <c r="N762" s="11">
        <f>H762*L762</f>
        <v/>
      </c>
      <c r="O762" s="11">
        <f>IF(I762&gt;0,I762*(M762-L762),0)</f>
        <v/>
      </c>
      <c r="P762" s="11" t="n">
        <v>0</v>
      </c>
    </row>
    <row r="763">
      <c r="A763" s="4" t="inlineStr">
        <is>
          <t>WH07</t>
        </is>
      </c>
      <c r="B763" s="4" t="inlineStr">
        <is>
          <t>Bengaluru DC</t>
        </is>
      </c>
      <c r="C763" s="4" t="inlineStr">
        <is>
          <t>South</t>
        </is>
      </c>
      <c r="D763" s="4" t="inlineStr">
        <is>
          <t>SKU039</t>
        </is>
      </c>
      <c r="E763" s="4" t="inlineStr">
        <is>
          <t>Cookies 200g</t>
        </is>
      </c>
      <c r="F763" s="4" t="inlineStr">
        <is>
          <t>Snacks &amp; Confectionery</t>
        </is>
      </c>
      <c r="G763" s="4" t="inlineStr">
        <is>
          <t>A</t>
        </is>
      </c>
      <c r="H763" s="11" t="n">
        <v>2302</v>
      </c>
      <c r="I763" s="4" t="n">
        <v>320.75</v>
      </c>
      <c r="J763" s="13">
        <f>IF(I763&gt;0,H763/I763,"")</f>
        <v/>
      </c>
      <c r="K763" s="4">
        <f>IF(I763&lt;=0,"NO DEMAND",IF(H763=0,"STOCKOUT",IF(J763&lt;Config!$B$5,"CRITICAL",IF(J763&lt;Config!$B$6,"LOW",IF(J763&gt;Config!$B$7,"EXCESS","HEALTHY")))))</f>
        <v/>
      </c>
      <c r="L763" s="11" t="n">
        <v>126</v>
      </c>
      <c r="M763" s="11" t="n">
        <v>150</v>
      </c>
      <c r="N763" s="11">
        <f>H763*L763</f>
        <v/>
      </c>
      <c r="O763" s="11">
        <f>IF(I763&gt;0,I763*(M763-L763),0)</f>
        <v/>
      </c>
      <c r="P763" s="11" t="n">
        <v>0</v>
      </c>
    </row>
    <row r="764">
      <c r="A764" s="4" t="inlineStr">
        <is>
          <t>WH07</t>
        </is>
      </c>
      <c r="B764" s="4" t="inlineStr">
        <is>
          <t>Bengaluru DC</t>
        </is>
      </c>
      <c r="C764" s="4" t="inlineStr">
        <is>
          <t>South</t>
        </is>
      </c>
      <c r="D764" s="4" t="inlineStr">
        <is>
          <t>SKU040</t>
        </is>
      </c>
      <c r="E764" s="4" t="inlineStr">
        <is>
          <t>Wafers 75g</t>
        </is>
      </c>
      <c r="F764" s="4" t="inlineStr">
        <is>
          <t>Snacks &amp; Confectionery</t>
        </is>
      </c>
      <c r="G764" s="4" t="inlineStr">
        <is>
          <t>A</t>
        </is>
      </c>
      <c r="H764" s="11" t="n">
        <v>2651</v>
      </c>
      <c r="I764" s="4" t="n">
        <v>1185.75</v>
      </c>
      <c r="J764" s="13">
        <f>IF(I764&gt;0,H764/I764,"")</f>
        <v/>
      </c>
      <c r="K764" s="4">
        <f>IF(I764&lt;=0,"NO DEMAND",IF(H764=0,"STOCKOUT",IF(J764&lt;Config!$B$5,"CRITICAL",IF(J764&lt;Config!$B$6,"LOW",IF(J764&gt;Config!$B$7,"EXCESS","HEALTHY")))))</f>
        <v/>
      </c>
      <c r="L764" s="11" t="n">
        <v>90</v>
      </c>
      <c r="M764" s="11" t="n">
        <v>109</v>
      </c>
      <c r="N764" s="11">
        <f>H764*L764</f>
        <v/>
      </c>
      <c r="O764" s="11">
        <f>IF(I764&gt;0,I764*(M764-L764),0)</f>
        <v/>
      </c>
      <c r="P764" s="11" t="n">
        <v>0</v>
      </c>
    </row>
    <row r="765">
      <c r="A765" s="4" t="inlineStr">
        <is>
          <t>WH07</t>
        </is>
      </c>
      <c r="B765" s="4" t="inlineStr">
        <is>
          <t>Bengaluru DC</t>
        </is>
      </c>
      <c r="C765" s="4" t="inlineStr">
        <is>
          <t>South</t>
        </is>
      </c>
      <c r="D765" s="4" t="inlineStr">
        <is>
          <t>SKU041</t>
        </is>
      </c>
      <c r="E765" s="4" t="inlineStr">
        <is>
          <t>Mathri 250g</t>
        </is>
      </c>
      <c r="F765" s="4" t="inlineStr">
        <is>
          <t>Snacks &amp; Confectionery</t>
        </is>
      </c>
      <c r="G765" s="4" t="inlineStr">
        <is>
          <t>A</t>
        </is>
      </c>
      <c r="H765" s="11" t="n">
        <v>4328</v>
      </c>
      <c r="I765" s="4" t="n">
        <v>913.5</v>
      </c>
      <c r="J765" s="13">
        <f>IF(I765&gt;0,H765/I765,"")</f>
        <v/>
      </c>
      <c r="K765" s="4">
        <f>IF(I765&lt;=0,"NO DEMAND",IF(H765=0,"STOCKOUT",IF(J765&lt;Config!$B$5,"CRITICAL",IF(J765&lt;Config!$B$6,"LOW",IF(J765&gt;Config!$B$7,"EXCESS","HEALTHY")))))</f>
        <v/>
      </c>
      <c r="L765" s="11" t="n">
        <v>100</v>
      </c>
      <c r="M765" s="11" t="n">
        <v>125</v>
      </c>
      <c r="N765" s="11">
        <f>H765*L765</f>
        <v/>
      </c>
      <c r="O765" s="11">
        <f>IF(I765&gt;0,I765*(M765-L765),0)</f>
        <v/>
      </c>
      <c r="P765" s="11" t="n">
        <v>0</v>
      </c>
    </row>
    <row r="766">
      <c r="A766" s="4" t="inlineStr">
        <is>
          <t>WH07</t>
        </is>
      </c>
      <c r="B766" s="4" t="inlineStr">
        <is>
          <t>Bengaluru DC</t>
        </is>
      </c>
      <c r="C766" s="4" t="inlineStr">
        <is>
          <t>South</t>
        </is>
      </c>
      <c r="D766" s="4" t="inlineStr">
        <is>
          <t>SKU042</t>
        </is>
      </c>
      <c r="E766" s="4" t="inlineStr">
        <is>
          <t>Dry Fruit Mix 250g</t>
        </is>
      </c>
      <c r="F766" s="4" t="inlineStr">
        <is>
          <t>Snacks &amp; Confectionery</t>
        </is>
      </c>
      <c r="G766" s="4" t="inlineStr">
        <is>
          <t>A</t>
        </is>
      </c>
      <c r="H766" s="11" t="n">
        <v>4567</v>
      </c>
      <c r="I766" s="4" t="n">
        <v>1011.75</v>
      </c>
      <c r="J766" s="13">
        <f>IF(I766&gt;0,H766/I766,"")</f>
        <v/>
      </c>
      <c r="K766" s="4">
        <f>IF(I766&lt;=0,"NO DEMAND",IF(H766=0,"STOCKOUT",IF(J766&lt;Config!$B$5,"CRITICAL",IF(J766&lt;Config!$B$6,"LOW",IF(J766&gt;Config!$B$7,"EXCESS","HEALTHY")))))</f>
        <v/>
      </c>
      <c r="L766" s="11" t="n">
        <v>74</v>
      </c>
      <c r="M766" s="11" t="n">
        <v>88</v>
      </c>
      <c r="N766" s="11">
        <f>H766*L766</f>
        <v/>
      </c>
      <c r="O766" s="11">
        <f>IF(I766&gt;0,I766*(M766-L766),0)</f>
        <v/>
      </c>
      <c r="P766" s="11" t="n">
        <v>0</v>
      </c>
    </row>
    <row r="767">
      <c r="A767" s="4" t="inlineStr">
        <is>
          <t>WH07</t>
        </is>
      </c>
      <c r="B767" s="4" t="inlineStr">
        <is>
          <t>Bengaluru DC</t>
        </is>
      </c>
      <c r="C767" s="4" t="inlineStr">
        <is>
          <t>South</t>
        </is>
      </c>
      <c r="D767" s="4" t="inlineStr">
        <is>
          <t>SKU043</t>
        </is>
      </c>
      <c r="E767" s="4" t="inlineStr">
        <is>
          <t>Soan Papdi 500g</t>
        </is>
      </c>
      <c r="F767" s="4" t="inlineStr">
        <is>
          <t>Snacks &amp; Confectionery</t>
        </is>
      </c>
      <c r="G767" s="4" t="inlineStr">
        <is>
          <t>C</t>
        </is>
      </c>
      <c r="H767" s="11" t="n">
        <v>4341</v>
      </c>
      <c r="I767" s="4" t="n">
        <v>782.5</v>
      </c>
      <c r="J767" s="13">
        <f>IF(I767&gt;0,H767/I767,"")</f>
        <v/>
      </c>
      <c r="K767" s="4">
        <f>IF(I767&lt;=0,"NO DEMAND",IF(H767=0,"STOCKOUT",IF(J767&lt;Config!$B$5,"CRITICAL",IF(J767&lt;Config!$B$6,"LOW",IF(J767&gt;Config!$B$7,"EXCESS","HEALTHY")))))</f>
        <v/>
      </c>
      <c r="L767" s="11" t="n">
        <v>15</v>
      </c>
      <c r="M767" s="11" t="n">
        <v>18</v>
      </c>
      <c r="N767" s="11">
        <f>H767*L767</f>
        <v/>
      </c>
      <c r="O767" s="11">
        <f>IF(I767&gt;0,I767*(M767-L767),0)</f>
        <v/>
      </c>
      <c r="P767" s="11" t="n">
        <v>0</v>
      </c>
    </row>
    <row r="768">
      <c r="A768" s="4" t="inlineStr">
        <is>
          <t>WH07</t>
        </is>
      </c>
      <c r="B768" s="4" t="inlineStr">
        <is>
          <t>Bengaluru DC</t>
        </is>
      </c>
      <c r="C768" s="4" t="inlineStr">
        <is>
          <t>South</t>
        </is>
      </c>
      <c r="D768" s="4" t="inlineStr">
        <is>
          <t>SKU044</t>
        </is>
      </c>
      <c r="E768" s="4" t="inlineStr">
        <is>
          <t>Rusk 300g</t>
        </is>
      </c>
      <c r="F768" s="4" t="inlineStr">
        <is>
          <t>Snacks &amp; Confectionery</t>
        </is>
      </c>
      <c r="G768" s="4" t="inlineStr">
        <is>
          <t>A</t>
        </is>
      </c>
      <c r="H768" s="11" t="n">
        <v>4569</v>
      </c>
      <c r="I768" s="4" t="n">
        <v>1102.5</v>
      </c>
      <c r="J768" s="13">
        <f>IF(I768&gt;0,H768/I768,"")</f>
        <v/>
      </c>
      <c r="K768" s="4">
        <f>IF(I768&lt;=0,"NO DEMAND",IF(H768=0,"STOCKOUT",IF(J768&lt;Config!$B$5,"CRITICAL",IF(J768&lt;Config!$B$6,"LOW",IF(J768&gt;Config!$B$7,"EXCESS","HEALTHY")))))</f>
        <v/>
      </c>
      <c r="L768" s="11" t="n">
        <v>57</v>
      </c>
      <c r="M768" s="11" t="n">
        <v>70</v>
      </c>
      <c r="N768" s="11">
        <f>H768*L768</f>
        <v/>
      </c>
      <c r="O768" s="11">
        <f>IF(I768&gt;0,I768*(M768-L768),0)</f>
        <v/>
      </c>
      <c r="P768" s="11" t="n">
        <v>0</v>
      </c>
    </row>
    <row r="769">
      <c r="A769" s="4" t="inlineStr">
        <is>
          <t>WH07</t>
        </is>
      </c>
      <c r="B769" s="4" t="inlineStr">
        <is>
          <t>Bengaluru DC</t>
        </is>
      </c>
      <c r="C769" s="4" t="inlineStr">
        <is>
          <t>South</t>
        </is>
      </c>
      <c r="D769" s="4" t="inlineStr">
        <is>
          <t>SKU045</t>
        </is>
      </c>
      <c r="E769" s="4" t="inlineStr">
        <is>
          <t>Candy Pack 150g</t>
        </is>
      </c>
      <c r="F769" s="4" t="inlineStr">
        <is>
          <t>Snacks &amp; Confectionery</t>
        </is>
      </c>
      <c r="G769" s="4" t="inlineStr">
        <is>
          <t>C</t>
        </is>
      </c>
      <c r="H769" s="11" t="n">
        <v>2628</v>
      </c>
      <c r="I769" s="4" t="n">
        <v>2194.5</v>
      </c>
      <c r="J769" s="13">
        <f>IF(I769&gt;0,H769/I769,"")</f>
        <v/>
      </c>
      <c r="K769" s="4">
        <f>IF(I769&lt;=0,"NO DEMAND",IF(H769=0,"STOCKOUT",IF(J769&lt;Config!$B$5,"CRITICAL",IF(J769&lt;Config!$B$6,"LOW",IF(J769&gt;Config!$B$7,"EXCESS","HEALTHY")))))</f>
        <v/>
      </c>
      <c r="L769" s="11" t="n">
        <v>22</v>
      </c>
      <c r="M769" s="11" t="n">
        <v>27</v>
      </c>
      <c r="N769" s="11">
        <f>H769*L769</f>
        <v/>
      </c>
      <c r="O769" s="11">
        <f>IF(I769&gt;0,I769*(M769-L769),0)</f>
        <v/>
      </c>
      <c r="P769" s="11" t="n">
        <v>8196</v>
      </c>
    </row>
    <row r="770">
      <c r="A770" s="4" t="inlineStr">
        <is>
          <t>WH07</t>
        </is>
      </c>
      <c r="B770" s="4" t="inlineStr">
        <is>
          <t>Bengaluru DC</t>
        </is>
      </c>
      <c r="C770" s="4" t="inlineStr">
        <is>
          <t>South</t>
        </is>
      </c>
      <c r="D770" s="4" t="inlineStr">
        <is>
          <t>SKU046</t>
        </is>
      </c>
      <c r="E770" s="4" t="inlineStr">
        <is>
          <t>Shampoo 340ml</t>
        </is>
      </c>
      <c r="F770" s="4" t="inlineStr">
        <is>
          <t>Personal Care</t>
        </is>
      </c>
      <c r="G770" s="4" t="inlineStr">
        <is>
          <t>C</t>
        </is>
      </c>
      <c r="H770" s="11" t="n">
        <v>355</v>
      </c>
      <c r="I770" s="4" t="n">
        <v>158.75</v>
      </c>
      <c r="J770" s="13">
        <f>IF(I770&gt;0,H770/I770,"")</f>
        <v/>
      </c>
      <c r="K770" s="4">
        <f>IF(I770&lt;=0,"NO DEMAND",IF(H770=0,"STOCKOUT",IF(J770&lt;Config!$B$5,"CRITICAL",IF(J770&lt;Config!$B$6,"LOW",IF(J770&gt;Config!$B$7,"EXCESS","HEALTHY")))))</f>
        <v/>
      </c>
      <c r="L770" s="11" t="n">
        <v>51</v>
      </c>
      <c r="M770" s="11" t="n">
        <v>67</v>
      </c>
      <c r="N770" s="11">
        <f>H770*L770</f>
        <v/>
      </c>
      <c r="O770" s="11">
        <f>IF(I770&gt;0,I770*(M770-L770),0)</f>
        <v/>
      </c>
      <c r="P770" s="11" t="n">
        <v>1260</v>
      </c>
    </row>
    <row r="771">
      <c r="A771" s="4" t="inlineStr">
        <is>
          <t>WH07</t>
        </is>
      </c>
      <c r="B771" s="4" t="inlineStr">
        <is>
          <t>Bengaluru DC</t>
        </is>
      </c>
      <c r="C771" s="4" t="inlineStr">
        <is>
          <t>South</t>
        </is>
      </c>
      <c r="D771" s="4" t="inlineStr">
        <is>
          <t>SKU047</t>
        </is>
      </c>
      <c r="E771" s="4" t="inlineStr">
        <is>
          <t>Soap 4-pack</t>
        </is>
      </c>
      <c r="F771" s="4" t="inlineStr">
        <is>
          <t>Personal Care</t>
        </is>
      </c>
      <c r="G771" s="4" t="inlineStr">
        <is>
          <t>C</t>
        </is>
      </c>
      <c r="H771" s="11" t="n">
        <v>1565</v>
      </c>
      <c r="I771" s="4" t="n">
        <v>875.5</v>
      </c>
      <c r="J771" s="13">
        <f>IF(I771&gt;0,H771/I771,"")</f>
        <v/>
      </c>
      <c r="K771" s="4">
        <f>IF(I771&lt;=0,"NO DEMAND",IF(H771=0,"STOCKOUT",IF(J771&lt;Config!$B$5,"CRITICAL",IF(J771&lt;Config!$B$6,"LOW",IF(J771&gt;Config!$B$7,"EXCESS","HEALTHY")))))</f>
        <v/>
      </c>
      <c r="L771" s="11" t="n">
        <v>37</v>
      </c>
      <c r="M771" s="11" t="n">
        <v>47</v>
      </c>
      <c r="N771" s="11">
        <f>H771*L771</f>
        <v/>
      </c>
      <c r="O771" s="11">
        <f>IF(I771&gt;0,I771*(M771-L771),0)</f>
        <v/>
      </c>
      <c r="P771" s="11" t="n">
        <v>3324</v>
      </c>
    </row>
    <row r="772">
      <c r="A772" s="4" t="inlineStr">
        <is>
          <t>WH07</t>
        </is>
      </c>
      <c r="B772" s="4" t="inlineStr">
        <is>
          <t>Bengaluru DC</t>
        </is>
      </c>
      <c r="C772" s="4" t="inlineStr">
        <is>
          <t>South</t>
        </is>
      </c>
      <c r="D772" s="4" t="inlineStr">
        <is>
          <t>SKU048</t>
        </is>
      </c>
      <c r="E772" s="4" t="inlineStr">
        <is>
          <t>Toothpaste 150g</t>
        </is>
      </c>
      <c r="F772" s="4" t="inlineStr">
        <is>
          <t>Personal Care</t>
        </is>
      </c>
      <c r="G772" s="4" t="inlineStr">
        <is>
          <t>C</t>
        </is>
      </c>
      <c r="H772" s="11" t="n">
        <v>21</v>
      </c>
      <c r="I772" s="4" t="n">
        <v>630.5</v>
      </c>
      <c r="J772" s="13">
        <f>IF(I772&gt;0,H772/I772,"")</f>
        <v/>
      </c>
      <c r="K772" s="4">
        <f>IF(I772&lt;=0,"NO DEMAND",IF(H772=0,"STOCKOUT",IF(J772&lt;Config!$B$5,"CRITICAL",IF(J772&lt;Config!$B$6,"LOW",IF(J772&gt;Config!$B$7,"EXCESS","HEALTHY")))))</f>
        <v/>
      </c>
      <c r="L772" s="11" t="n">
        <v>51</v>
      </c>
      <c r="M772" s="11" t="n">
        <v>67</v>
      </c>
      <c r="N772" s="11">
        <f>H772*L772</f>
        <v/>
      </c>
      <c r="O772" s="11">
        <f>IF(I772&gt;0,I772*(M772-L772),0)</f>
        <v/>
      </c>
      <c r="P772" s="11" t="n">
        <v>2220</v>
      </c>
    </row>
    <row r="773">
      <c r="A773" s="4" t="inlineStr">
        <is>
          <t>WH07</t>
        </is>
      </c>
      <c r="B773" s="4" t="inlineStr">
        <is>
          <t>Bengaluru DC</t>
        </is>
      </c>
      <c r="C773" s="4" t="inlineStr">
        <is>
          <t>South</t>
        </is>
      </c>
      <c r="D773" s="4" t="inlineStr">
        <is>
          <t>SKU049</t>
        </is>
      </c>
      <c r="E773" s="4" t="inlineStr">
        <is>
          <t>Face Wash 100ml</t>
        </is>
      </c>
      <c r="F773" s="4" t="inlineStr">
        <is>
          <t>Personal Care</t>
        </is>
      </c>
      <c r="G773" s="4" t="inlineStr">
        <is>
          <t>C</t>
        </is>
      </c>
      <c r="H773" s="11" t="n">
        <v>0</v>
      </c>
      <c r="I773" s="4" t="n">
        <v>554.25</v>
      </c>
      <c r="J773" s="13">
        <f>IF(I773&gt;0,H773/I773,"")</f>
        <v/>
      </c>
      <c r="K773" s="4">
        <f>IF(I773&lt;=0,"NO DEMAND",IF(H773=0,"STOCKOUT",IF(J773&lt;Config!$B$5,"CRITICAL",IF(J773&lt;Config!$B$6,"LOW",IF(J773&gt;Config!$B$7,"EXCESS","HEALTHY")))))</f>
        <v/>
      </c>
      <c r="L773" s="11" t="n">
        <v>32</v>
      </c>
      <c r="M773" s="11" t="n">
        <v>41</v>
      </c>
      <c r="N773" s="11">
        <f>H773*L773</f>
        <v/>
      </c>
      <c r="O773" s="11">
        <f>IF(I773&gt;0,I773*(M773-L773),0)</f>
        <v/>
      </c>
      <c r="P773" s="11" t="n">
        <v>1836</v>
      </c>
    </row>
    <row r="774">
      <c r="A774" s="4" t="inlineStr">
        <is>
          <t>WH07</t>
        </is>
      </c>
      <c r="B774" s="4" t="inlineStr">
        <is>
          <t>Bengaluru DC</t>
        </is>
      </c>
      <c r="C774" s="4" t="inlineStr">
        <is>
          <t>South</t>
        </is>
      </c>
      <c r="D774" s="4" t="inlineStr">
        <is>
          <t>SKU050</t>
        </is>
      </c>
      <c r="E774" s="4" t="inlineStr">
        <is>
          <t>Body Lotion 400ml</t>
        </is>
      </c>
      <c r="F774" s="4" t="inlineStr">
        <is>
          <t>Personal Care</t>
        </is>
      </c>
      <c r="G774" s="4" t="inlineStr">
        <is>
          <t>B</t>
        </is>
      </c>
      <c r="H774" s="11" t="n">
        <v>1233</v>
      </c>
      <c r="I774" s="4" t="n">
        <v>706.75</v>
      </c>
      <c r="J774" s="13">
        <f>IF(I774&gt;0,H774/I774,"")</f>
        <v/>
      </c>
      <c r="K774" s="4">
        <f>IF(I774&lt;=0,"NO DEMAND",IF(H774=0,"STOCKOUT",IF(J774&lt;Config!$B$5,"CRITICAL",IF(J774&lt;Config!$B$6,"LOW",IF(J774&gt;Config!$B$7,"EXCESS","HEALTHY")))))</f>
        <v/>
      </c>
      <c r="L774" s="11" t="n">
        <v>138</v>
      </c>
      <c r="M774" s="11" t="n">
        <v>175</v>
      </c>
      <c r="N774" s="11">
        <f>H774*L774</f>
        <v/>
      </c>
      <c r="O774" s="11">
        <f>IF(I774&gt;0,I774*(M774-L774),0)</f>
        <v/>
      </c>
      <c r="P774" s="11" t="n">
        <v>2688</v>
      </c>
    </row>
    <row r="775">
      <c r="A775" s="4" t="inlineStr">
        <is>
          <t>WH07</t>
        </is>
      </c>
      <c r="B775" s="4" t="inlineStr">
        <is>
          <t>Bengaluru DC</t>
        </is>
      </c>
      <c r="C775" s="4" t="inlineStr">
        <is>
          <t>South</t>
        </is>
      </c>
      <c r="D775" s="4" t="inlineStr">
        <is>
          <t>SKU051</t>
        </is>
      </c>
      <c r="E775" s="4" t="inlineStr">
        <is>
          <t>Hair Oil 200ml</t>
        </is>
      </c>
      <c r="F775" s="4" t="inlineStr">
        <is>
          <t>Personal Care</t>
        </is>
      </c>
      <c r="G775" s="4" t="inlineStr">
        <is>
          <t>B</t>
        </is>
      </c>
      <c r="H775" s="11" t="n">
        <v>2758</v>
      </c>
      <c r="I775" s="4" t="n">
        <v>591.25</v>
      </c>
      <c r="J775" s="13">
        <f>IF(I775&gt;0,H775/I775,"")</f>
        <v/>
      </c>
      <c r="K775" s="4">
        <f>IF(I775&lt;=0,"NO DEMAND",IF(H775=0,"STOCKOUT",IF(J775&lt;Config!$B$5,"CRITICAL",IF(J775&lt;Config!$B$6,"LOW",IF(J775&gt;Config!$B$7,"EXCESS","HEALTHY")))))</f>
        <v/>
      </c>
      <c r="L775" s="11" t="n">
        <v>156</v>
      </c>
      <c r="M775" s="11" t="n">
        <v>203</v>
      </c>
      <c r="N775" s="11">
        <f>H775*L775</f>
        <v/>
      </c>
      <c r="O775" s="11">
        <f>IF(I775&gt;0,I775*(M775-L775),0)</f>
        <v/>
      </c>
      <c r="P775" s="11" t="n">
        <v>0</v>
      </c>
    </row>
    <row r="776">
      <c r="A776" s="4" t="inlineStr">
        <is>
          <t>WH07</t>
        </is>
      </c>
      <c r="B776" s="4" t="inlineStr">
        <is>
          <t>Bengaluru DC</t>
        </is>
      </c>
      <c r="C776" s="4" t="inlineStr">
        <is>
          <t>South</t>
        </is>
      </c>
      <c r="D776" s="4" t="inlineStr">
        <is>
          <t>SKU052</t>
        </is>
      </c>
      <c r="E776" s="4" t="inlineStr">
        <is>
          <t>Deodorant 150ml</t>
        </is>
      </c>
      <c r="F776" s="4" t="inlineStr">
        <is>
          <t>Personal Care</t>
        </is>
      </c>
      <c r="G776" s="4" t="inlineStr">
        <is>
          <t>B</t>
        </is>
      </c>
      <c r="H776" s="11" t="n">
        <v>121</v>
      </c>
      <c r="I776" s="4" t="n">
        <v>391.5</v>
      </c>
      <c r="J776" s="13">
        <f>IF(I776&gt;0,H776/I776,"")</f>
        <v/>
      </c>
      <c r="K776" s="4">
        <f>IF(I776&lt;=0,"NO DEMAND",IF(H776=0,"STOCKOUT",IF(J776&lt;Config!$B$5,"CRITICAL",IF(J776&lt;Config!$B$6,"LOW",IF(J776&gt;Config!$B$7,"EXCESS","HEALTHY")))))</f>
        <v/>
      </c>
      <c r="L776" s="11" t="n">
        <v>133</v>
      </c>
      <c r="M776" s="11" t="n">
        <v>179</v>
      </c>
      <c r="N776" s="11">
        <f>H776*L776</f>
        <v/>
      </c>
      <c r="O776" s="11">
        <f>IF(I776&gt;0,I776*(M776-L776),0)</f>
        <v/>
      </c>
      <c r="P776" s="11" t="n">
        <v>2112</v>
      </c>
    </row>
    <row r="777">
      <c r="A777" s="4" t="inlineStr">
        <is>
          <t>WH07</t>
        </is>
      </c>
      <c r="B777" s="4" t="inlineStr">
        <is>
          <t>Bengaluru DC</t>
        </is>
      </c>
      <c r="C777" s="4" t="inlineStr">
        <is>
          <t>South</t>
        </is>
      </c>
      <c r="D777" s="4" t="inlineStr">
        <is>
          <t>SKU053</t>
        </is>
      </c>
      <c r="E777" s="4" t="inlineStr">
        <is>
          <t>Sanitary Pads 20pk</t>
        </is>
      </c>
      <c r="F777" s="4" t="inlineStr">
        <is>
          <t>Personal Care</t>
        </is>
      </c>
      <c r="G777" s="4" t="inlineStr">
        <is>
          <t>C</t>
        </is>
      </c>
      <c r="H777" s="11" t="n">
        <v>1979</v>
      </c>
      <c r="I777" s="4" t="n">
        <v>688.25</v>
      </c>
      <c r="J777" s="13">
        <f>IF(I777&gt;0,H777/I777,"")</f>
        <v/>
      </c>
      <c r="K777" s="4">
        <f>IF(I777&lt;=0,"NO DEMAND",IF(H777=0,"STOCKOUT",IF(J777&lt;Config!$B$5,"CRITICAL",IF(J777&lt;Config!$B$6,"LOW",IF(J777&gt;Config!$B$7,"EXCESS","HEALTHY")))))</f>
        <v/>
      </c>
      <c r="L777" s="11" t="n">
        <v>31</v>
      </c>
      <c r="M777" s="11" t="n">
        <v>39</v>
      </c>
      <c r="N777" s="11">
        <f>H777*L777</f>
        <v/>
      </c>
      <c r="O777" s="11">
        <f>IF(I777&gt;0,I777*(M777-L777),0)</f>
        <v/>
      </c>
      <c r="P777" s="11" t="n">
        <v>0</v>
      </c>
    </row>
    <row r="778">
      <c r="A778" s="4" t="inlineStr">
        <is>
          <t>WH07</t>
        </is>
      </c>
      <c r="B778" s="4" t="inlineStr">
        <is>
          <t>Bengaluru DC</t>
        </is>
      </c>
      <c r="C778" s="4" t="inlineStr">
        <is>
          <t>South</t>
        </is>
      </c>
      <c r="D778" s="4" t="inlineStr">
        <is>
          <t>SKU054</t>
        </is>
      </c>
      <c r="E778" s="4" t="inlineStr">
        <is>
          <t>Razor 5pk</t>
        </is>
      </c>
      <c r="F778" s="4" t="inlineStr">
        <is>
          <t>Personal Care</t>
        </is>
      </c>
      <c r="G778" s="4" t="inlineStr">
        <is>
          <t>B</t>
        </is>
      </c>
      <c r="H778" s="11" t="n">
        <v>2735</v>
      </c>
      <c r="I778" s="4" t="n">
        <v>529.25</v>
      </c>
      <c r="J778" s="13">
        <f>IF(I778&gt;0,H778/I778,"")</f>
        <v/>
      </c>
      <c r="K778" s="4">
        <f>IF(I778&lt;=0,"NO DEMAND",IF(H778=0,"STOCKOUT",IF(J778&lt;Config!$B$5,"CRITICAL",IF(J778&lt;Config!$B$6,"LOW",IF(J778&gt;Config!$B$7,"EXCESS","HEALTHY")))))</f>
        <v/>
      </c>
      <c r="L778" s="11" t="n">
        <v>106</v>
      </c>
      <c r="M778" s="11" t="n">
        <v>137</v>
      </c>
      <c r="N778" s="11">
        <f>H778*L778</f>
        <v/>
      </c>
      <c r="O778" s="11">
        <f>IF(I778&gt;0,I778*(M778-L778),0)</f>
        <v/>
      </c>
      <c r="P778" s="11" t="n">
        <v>0</v>
      </c>
    </row>
    <row r="779">
      <c r="A779" s="4" t="inlineStr">
        <is>
          <t>WH07</t>
        </is>
      </c>
      <c r="B779" s="4" t="inlineStr">
        <is>
          <t>Bengaluru DC</t>
        </is>
      </c>
      <c r="C779" s="4" t="inlineStr">
        <is>
          <t>South</t>
        </is>
      </c>
      <c r="D779" s="4" t="inlineStr">
        <is>
          <t>SKU055</t>
        </is>
      </c>
      <c r="E779" s="4" t="inlineStr">
        <is>
          <t>Talc 300g</t>
        </is>
      </c>
      <c r="F779" s="4" t="inlineStr">
        <is>
          <t>Personal Care</t>
        </is>
      </c>
      <c r="G779" s="4" t="inlineStr">
        <is>
          <t>B</t>
        </is>
      </c>
      <c r="H779" s="11" t="n">
        <v>94</v>
      </c>
      <c r="I779" s="4" t="n">
        <v>431.75</v>
      </c>
      <c r="J779" s="13">
        <f>IF(I779&gt;0,H779/I779,"")</f>
        <v/>
      </c>
      <c r="K779" s="4">
        <f>IF(I779&lt;=0,"NO DEMAND",IF(H779=0,"STOCKOUT",IF(J779&lt;Config!$B$5,"CRITICAL",IF(J779&lt;Config!$B$6,"LOW",IF(J779&gt;Config!$B$7,"EXCESS","HEALTHY")))))</f>
        <v/>
      </c>
      <c r="L779" s="11" t="n">
        <v>77</v>
      </c>
      <c r="M779" s="11" t="n">
        <v>100</v>
      </c>
      <c r="N779" s="11">
        <f>H779*L779</f>
        <v/>
      </c>
      <c r="O779" s="11">
        <f>IF(I779&gt;0,I779*(M779-L779),0)</f>
        <v/>
      </c>
      <c r="P779" s="11" t="n">
        <v>1272</v>
      </c>
    </row>
    <row r="780">
      <c r="A780" s="4" t="inlineStr">
        <is>
          <t>WH07</t>
        </is>
      </c>
      <c r="B780" s="4" t="inlineStr">
        <is>
          <t>Bengaluru DC</t>
        </is>
      </c>
      <c r="C780" s="4" t="inlineStr">
        <is>
          <t>South</t>
        </is>
      </c>
      <c r="D780" s="4" t="inlineStr">
        <is>
          <t>SKU056</t>
        </is>
      </c>
      <c r="E780" s="4" t="inlineStr">
        <is>
          <t>Sunscreen 50g</t>
        </is>
      </c>
      <c r="F780" s="4" t="inlineStr">
        <is>
          <t>Personal Care</t>
        </is>
      </c>
      <c r="G780" s="4" t="inlineStr">
        <is>
          <t>A</t>
        </is>
      </c>
      <c r="H780" s="11" t="n">
        <v>577</v>
      </c>
      <c r="I780" s="4" t="n">
        <v>389.25</v>
      </c>
      <c r="J780" s="13">
        <f>IF(I780&gt;0,H780/I780,"")</f>
        <v/>
      </c>
      <c r="K780" s="4">
        <f>IF(I780&lt;=0,"NO DEMAND",IF(H780=0,"STOCKOUT",IF(J780&lt;Config!$B$5,"CRITICAL",IF(J780&lt;Config!$B$6,"LOW",IF(J780&gt;Config!$B$7,"EXCESS","HEALTHY")))))</f>
        <v/>
      </c>
      <c r="L780" s="11" t="n">
        <v>393</v>
      </c>
      <c r="M780" s="11" t="n">
        <v>510</v>
      </c>
      <c r="N780" s="11">
        <f>H780*L780</f>
        <v/>
      </c>
      <c r="O780" s="11">
        <f>IF(I780&gt;0,I780*(M780-L780),0)</f>
        <v/>
      </c>
      <c r="P780" s="11" t="n">
        <v>1512</v>
      </c>
    </row>
    <row r="781">
      <c r="A781" s="4" t="inlineStr">
        <is>
          <t>WH07</t>
        </is>
      </c>
      <c r="B781" s="4" t="inlineStr">
        <is>
          <t>Bengaluru DC</t>
        </is>
      </c>
      <c r="C781" s="4" t="inlineStr">
        <is>
          <t>South</t>
        </is>
      </c>
      <c r="D781" s="4" t="inlineStr">
        <is>
          <t>SKU057</t>
        </is>
      </c>
      <c r="E781" s="4" t="inlineStr">
        <is>
          <t>Hand Wash 250ml</t>
        </is>
      </c>
      <c r="F781" s="4" t="inlineStr">
        <is>
          <t>Personal Care</t>
        </is>
      </c>
      <c r="G781" s="4" t="inlineStr">
        <is>
          <t>C</t>
        </is>
      </c>
      <c r="H781" s="11" t="n">
        <v>921</v>
      </c>
      <c r="I781" s="4" t="n">
        <v>368.75</v>
      </c>
      <c r="J781" s="13">
        <f>IF(I781&gt;0,H781/I781,"")</f>
        <v/>
      </c>
      <c r="K781" s="4">
        <f>IF(I781&lt;=0,"NO DEMAND",IF(H781=0,"STOCKOUT",IF(J781&lt;Config!$B$5,"CRITICAL",IF(J781&lt;Config!$B$6,"LOW",IF(J781&gt;Config!$B$7,"EXCESS","HEALTHY")))))</f>
        <v/>
      </c>
      <c r="L781" s="11" t="n">
        <v>108</v>
      </c>
      <c r="M781" s="11" t="n">
        <v>136</v>
      </c>
      <c r="N781" s="11">
        <f>H781*L781</f>
        <v/>
      </c>
      <c r="O781" s="11">
        <f>IF(I781&gt;0,I781*(M781-L781),0)</f>
        <v/>
      </c>
      <c r="P781" s="11" t="n">
        <v>0</v>
      </c>
    </row>
    <row r="782">
      <c r="A782" s="4" t="inlineStr">
        <is>
          <t>WH07</t>
        </is>
      </c>
      <c r="B782" s="4" t="inlineStr">
        <is>
          <t>Bengaluru DC</t>
        </is>
      </c>
      <c r="C782" s="4" t="inlineStr">
        <is>
          <t>South</t>
        </is>
      </c>
      <c r="D782" s="4" t="inlineStr">
        <is>
          <t>SKU058</t>
        </is>
      </c>
      <c r="E782" s="4" t="inlineStr">
        <is>
          <t>Kajal Pack</t>
        </is>
      </c>
      <c r="F782" s="4" t="inlineStr">
        <is>
          <t>Personal Care</t>
        </is>
      </c>
      <c r="G782" s="4" t="inlineStr">
        <is>
          <t>A</t>
        </is>
      </c>
      <c r="H782" s="11" t="n">
        <v>391</v>
      </c>
      <c r="I782" s="4" t="n">
        <v>457.75</v>
      </c>
      <c r="J782" s="13">
        <f>IF(I782&gt;0,H782/I782,"")</f>
        <v/>
      </c>
      <c r="K782" s="4">
        <f>IF(I782&lt;=0,"NO DEMAND",IF(H782=0,"STOCKOUT",IF(J782&lt;Config!$B$5,"CRITICAL",IF(J782&lt;Config!$B$6,"LOW",IF(J782&gt;Config!$B$7,"EXCESS","HEALTHY")))))</f>
        <v/>
      </c>
      <c r="L782" s="11" t="n">
        <v>392</v>
      </c>
      <c r="M782" s="11" t="n">
        <v>498</v>
      </c>
      <c r="N782" s="11">
        <f>H782*L782</f>
        <v/>
      </c>
      <c r="O782" s="11">
        <f>IF(I782&gt;0,I782*(M782-L782),0)</f>
        <v/>
      </c>
      <c r="P782" s="11" t="n">
        <v>1404</v>
      </c>
    </row>
    <row r="783">
      <c r="A783" s="4" t="inlineStr">
        <is>
          <t>WH07</t>
        </is>
      </c>
      <c r="B783" s="4" t="inlineStr">
        <is>
          <t>Bengaluru DC</t>
        </is>
      </c>
      <c r="C783" s="4" t="inlineStr">
        <is>
          <t>South</t>
        </is>
      </c>
      <c r="D783" s="4" t="inlineStr">
        <is>
          <t>SKU059</t>
        </is>
      </c>
      <c r="E783" s="4" t="inlineStr">
        <is>
          <t>Lip Balm</t>
        </is>
      </c>
      <c r="F783" s="4" t="inlineStr">
        <is>
          <t>Personal Care</t>
        </is>
      </c>
      <c r="G783" s="4" t="inlineStr">
        <is>
          <t>B</t>
        </is>
      </c>
      <c r="H783" s="11" t="n">
        <v>2361</v>
      </c>
      <c r="I783" s="4" t="n">
        <v>521.25</v>
      </c>
      <c r="J783" s="13">
        <f>IF(I783&gt;0,H783/I783,"")</f>
        <v/>
      </c>
      <c r="K783" s="4">
        <f>IF(I783&lt;=0,"NO DEMAND",IF(H783=0,"STOCKOUT",IF(J783&lt;Config!$B$5,"CRITICAL",IF(J783&lt;Config!$B$6,"LOW",IF(J783&gt;Config!$B$7,"EXCESS","HEALTHY")))))</f>
        <v/>
      </c>
      <c r="L783" s="11" t="n">
        <v>150</v>
      </c>
      <c r="M783" s="11" t="n">
        <v>198</v>
      </c>
      <c r="N783" s="11">
        <f>H783*L783</f>
        <v/>
      </c>
      <c r="O783" s="11">
        <f>IF(I783&gt;0,I783*(M783-L783),0)</f>
        <v/>
      </c>
      <c r="P783" s="11" t="n">
        <v>0</v>
      </c>
    </row>
    <row r="784">
      <c r="A784" s="4" t="inlineStr">
        <is>
          <t>WH07</t>
        </is>
      </c>
      <c r="B784" s="4" t="inlineStr">
        <is>
          <t>Bengaluru DC</t>
        </is>
      </c>
      <c r="C784" s="4" t="inlineStr">
        <is>
          <t>South</t>
        </is>
      </c>
      <c r="D784" s="4" t="inlineStr">
        <is>
          <t>SKU060</t>
        </is>
      </c>
      <c r="E784" s="4" t="inlineStr">
        <is>
          <t>Mouthwash 250ml</t>
        </is>
      </c>
      <c r="F784" s="4" t="inlineStr">
        <is>
          <t>Personal Care</t>
        </is>
      </c>
      <c r="G784" s="4" t="inlineStr">
        <is>
          <t>A</t>
        </is>
      </c>
      <c r="H784" s="11" t="n">
        <v>2165</v>
      </c>
      <c r="I784" s="4" t="n">
        <v>880.75</v>
      </c>
      <c r="J784" s="13">
        <f>IF(I784&gt;0,H784/I784,"")</f>
        <v/>
      </c>
      <c r="K784" s="4">
        <f>IF(I784&lt;=0,"NO DEMAND",IF(H784=0,"STOCKOUT",IF(J784&lt;Config!$B$5,"CRITICAL",IF(J784&lt;Config!$B$6,"LOW",IF(J784&gt;Config!$B$7,"EXCESS","HEALTHY")))))</f>
        <v/>
      </c>
      <c r="L784" s="11" t="n">
        <v>376</v>
      </c>
      <c r="M784" s="11" t="n">
        <v>491</v>
      </c>
      <c r="N784" s="11">
        <f>H784*L784</f>
        <v/>
      </c>
      <c r="O784" s="11">
        <f>IF(I784&gt;0,I784*(M784-L784),0)</f>
        <v/>
      </c>
      <c r="P784" s="11" t="n">
        <v>0</v>
      </c>
    </row>
    <row r="785">
      <c r="A785" s="4" t="inlineStr">
        <is>
          <t>WH07</t>
        </is>
      </c>
      <c r="B785" s="4" t="inlineStr">
        <is>
          <t>Bengaluru DC</t>
        </is>
      </c>
      <c r="C785" s="4" t="inlineStr">
        <is>
          <t>South</t>
        </is>
      </c>
      <c r="D785" s="4" t="inlineStr">
        <is>
          <t>SKU061</t>
        </is>
      </c>
      <c r="E785" s="4" t="inlineStr">
        <is>
          <t>Detergent Powder 2kg</t>
        </is>
      </c>
      <c r="F785" s="4" t="inlineStr">
        <is>
          <t>Home Care</t>
        </is>
      </c>
      <c r="G785" s="4" t="inlineStr">
        <is>
          <t>B</t>
        </is>
      </c>
      <c r="H785" s="11" t="n">
        <v>603</v>
      </c>
      <c r="I785" s="4" t="n">
        <v>155.75</v>
      </c>
      <c r="J785" s="13">
        <f>IF(I785&gt;0,H785/I785,"")</f>
        <v/>
      </c>
      <c r="K785" s="4">
        <f>IF(I785&lt;=0,"NO DEMAND",IF(H785=0,"STOCKOUT",IF(J785&lt;Config!$B$5,"CRITICAL",IF(J785&lt;Config!$B$6,"LOW",IF(J785&gt;Config!$B$7,"EXCESS","HEALTHY")))))</f>
        <v/>
      </c>
      <c r="L785" s="11" t="n">
        <v>104</v>
      </c>
      <c r="M785" s="11" t="n">
        <v>132</v>
      </c>
      <c r="N785" s="11">
        <f>H785*L785</f>
        <v/>
      </c>
      <c r="O785" s="11">
        <f>IF(I785&gt;0,I785*(M785-L785),0)</f>
        <v/>
      </c>
      <c r="P785" s="11" t="n">
        <v>0</v>
      </c>
    </row>
    <row r="786">
      <c r="A786" s="4" t="inlineStr">
        <is>
          <t>WH07</t>
        </is>
      </c>
      <c r="B786" s="4" t="inlineStr">
        <is>
          <t>Bengaluru DC</t>
        </is>
      </c>
      <c r="C786" s="4" t="inlineStr">
        <is>
          <t>South</t>
        </is>
      </c>
      <c r="D786" s="4" t="inlineStr">
        <is>
          <t>SKU062</t>
        </is>
      </c>
      <c r="E786" s="4" t="inlineStr">
        <is>
          <t>Dishwash Liquid 750ml</t>
        </is>
      </c>
      <c r="F786" s="4" t="inlineStr">
        <is>
          <t>Home Care</t>
        </is>
      </c>
      <c r="G786" s="4" t="inlineStr">
        <is>
          <t>A</t>
        </is>
      </c>
      <c r="H786" s="11" t="n">
        <v>3032</v>
      </c>
      <c r="I786" s="4" t="n">
        <v>1175.25</v>
      </c>
      <c r="J786" s="13">
        <f>IF(I786&gt;0,H786/I786,"")</f>
        <v/>
      </c>
      <c r="K786" s="4">
        <f>IF(I786&lt;=0,"NO DEMAND",IF(H786=0,"STOCKOUT",IF(J786&lt;Config!$B$5,"CRITICAL",IF(J786&lt;Config!$B$6,"LOW",IF(J786&gt;Config!$B$7,"EXCESS","HEALTHY")))))</f>
        <v/>
      </c>
      <c r="L786" s="11" t="n">
        <v>122</v>
      </c>
      <c r="M786" s="11" t="n">
        <v>148</v>
      </c>
      <c r="N786" s="11">
        <f>H786*L786</f>
        <v/>
      </c>
      <c r="O786" s="11">
        <f>IF(I786&gt;0,I786*(M786-L786),0)</f>
        <v/>
      </c>
      <c r="P786" s="11" t="n">
        <v>0</v>
      </c>
    </row>
    <row r="787">
      <c r="A787" s="4" t="inlineStr">
        <is>
          <t>WH07</t>
        </is>
      </c>
      <c r="B787" s="4" t="inlineStr">
        <is>
          <t>Bengaluru DC</t>
        </is>
      </c>
      <c r="C787" s="4" t="inlineStr">
        <is>
          <t>South</t>
        </is>
      </c>
      <c r="D787" s="4" t="inlineStr">
        <is>
          <t>SKU063</t>
        </is>
      </c>
      <c r="E787" s="4" t="inlineStr">
        <is>
          <t>Floor Cleaner 1L</t>
        </is>
      </c>
      <c r="F787" s="4" t="inlineStr">
        <is>
          <t>Home Care</t>
        </is>
      </c>
      <c r="G787" s="4" t="inlineStr">
        <is>
          <t>C</t>
        </is>
      </c>
      <c r="H787" s="11" t="n">
        <v>1740</v>
      </c>
      <c r="I787" s="4" t="n">
        <v>955</v>
      </c>
      <c r="J787" s="13">
        <f>IF(I787&gt;0,H787/I787,"")</f>
        <v/>
      </c>
      <c r="K787" s="4">
        <f>IF(I787&lt;=0,"NO DEMAND",IF(H787=0,"STOCKOUT",IF(J787&lt;Config!$B$5,"CRITICAL",IF(J787&lt;Config!$B$6,"LOW",IF(J787&gt;Config!$B$7,"EXCESS","HEALTHY")))))</f>
        <v/>
      </c>
      <c r="L787" s="11" t="n">
        <v>44</v>
      </c>
      <c r="M787" s="11" t="n">
        <v>56</v>
      </c>
      <c r="N787" s="11">
        <f>H787*L787</f>
        <v/>
      </c>
      <c r="O787" s="11">
        <f>IF(I787&gt;0,I787*(M787-L787),0)</f>
        <v/>
      </c>
      <c r="P787" s="11" t="n">
        <v>3996</v>
      </c>
    </row>
    <row r="788">
      <c r="A788" s="4" t="inlineStr">
        <is>
          <t>WH07</t>
        </is>
      </c>
      <c r="B788" s="4" t="inlineStr">
        <is>
          <t>Bengaluru DC</t>
        </is>
      </c>
      <c r="C788" s="4" t="inlineStr">
        <is>
          <t>South</t>
        </is>
      </c>
      <c r="D788" s="4" t="inlineStr">
        <is>
          <t>SKU064</t>
        </is>
      </c>
      <c r="E788" s="4" t="inlineStr">
        <is>
          <t>Toilet Cleaner 500ml</t>
        </is>
      </c>
      <c r="F788" s="4" t="inlineStr">
        <is>
          <t>Home Care</t>
        </is>
      </c>
      <c r="G788" s="4" t="inlineStr">
        <is>
          <t>C</t>
        </is>
      </c>
      <c r="H788" s="11" t="n">
        <v>1278</v>
      </c>
      <c r="I788" s="4" t="n">
        <v>324</v>
      </c>
      <c r="J788" s="13">
        <f>IF(I788&gt;0,H788/I788,"")</f>
        <v/>
      </c>
      <c r="K788" s="4">
        <f>IF(I788&lt;=0,"NO DEMAND",IF(H788=0,"STOCKOUT",IF(J788&lt;Config!$B$5,"CRITICAL",IF(J788&lt;Config!$B$6,"LOW",IF(J788&gt;Config!$B$7,"EXCESS","HEALTHY")))))</f>
        <v/>
      </c>
      <c r="L788" s="11" t="n">
        <v>102</v>
      </c>
      <c r="M788" s="11" t="n">
        <v>128</v>
      </c>
      <c r="N788" s="11">
        <f>H788*L788</f>
        <v/>
      </c>
      <c r="O788" s="11">
        <f>IF(I788&gt;0,I788*(M788-L788),0)</f>
        <v/>
      </c>
      <c r="P788" s="11" t="n">
        <v>0</v>
      </c>
    </row>
    <row r="789">
      <c r="A789" s="4" t="inlineStr">
        <is>
          <t>WH07</t>
        </is>
      </c>
      <c r="B789" s="4" t="inlineStr">
        <is>
          <t>Bengaluru DC</t>
        </is>
      </c>
      <c r="C789" s="4" t="inlineStr">
        <is>
          <t>South</t>
        </is>
      </c>
      <c r="D789" s="4" t="inlineStr">
        <is>
          <t>SKU065</t>
        </is>
      </c>
      <c r="E789" s="4" t="inlineStr">
        <is>
          <t>Glass Cleaner 500ml</t>
        </is>
      </c>
      <c r="F789" s="4" t="inlineStr">
        <is>
          <t>Home Care</t>
        </is>
      </c>
      <c r="G789" s="4" t="inlineStr">
        <is>
          <t>B</t>
        </is>
      </c>
      <c r="H789" s="11" t="n">
        <v>2839</v>
      </c>
      <c r="I789" s="4" t="n">
        <v>590</v>
      </c>
      <c r="J789" s="13">
        <f>IF(I789&gt;0,H789/I789,"")</f>
        <v/>
      </c>
      <c r="K789" s="4">
        <f>IF(I789&lt;=0,"NO DEMAND",IF(H789=0,"STOCKOUT",IF(J789&lt;Config!$B$5,"CRITICAL",IF(J789&lt;Config!$B$6,"LOW",IF(J789&gt;Config!$B$7,"EXCESS","HEALTHY")))))</f>
        <v/>
      </c>
      <c r="L789" s="11" t="n">
        <v>82</v>
      </c>
      <c r="M789" s="11" t="n">
        <v>102</v>
      </c>
      <c r="N789" s="11">
        <f>H789*L789</f>
        <v/>
      </c>
      <c r="O789" s="11">
        <f>IF(I789&gt;0,I789*(M789-L789),0)</f>
        <v/>
      </c>
      <c r="P789" s="11" t="n">
        <v>0</v>
      </c>
    </row>
    <row r="790">
      <c r="A790" s="4" t="inlineStr">
        <is>
          <t>WH07</t>
        </is>
      </c>
      <c r="B790" s="4" t="inlineStr">
        <is>
          <t>Bengaluru DC</t>
        </is>
      </c>
      <c r="C790" s="4" t="inlineStr">
        <is>
          <t>South</t>
        </is>
      </c>
      <c r="D790" s="4" t="inlineStr">
        <is>
          <t>SKU066</t>
        </is>
      </c>
      <c r="E790" s="4" t="inlineStr">
        <is>
          <t>Fabric Softener 1L</t>
        </is>
      </c>
      <c r="F790" s="4" t="inlineStr">
        <is>
          <t>Home Care</t>
        </is>
      </c>
      <c r="G790" s="4" t="inlineStr">
        <is>
          <t>B</t>
        </is>
      </c>
      <c r="H790" s="11" t="n">
        <v>1730</v>
      </c>
      <c r="I790" s="4" t="n">
        <v>843</v>
      </c>
      <c r="J790" s="13">
        <f>IF(I790&gt;0,H790/I790,"")</f>
        <v/>
      </c>
      <c r="K790" s="4">
        <f>IF(I790&lt;=0,"NO DEMAND",IF(H790=0,"STOCKOUT",IF(J790&lt;Config!$B$5,"CRITICAL",IF(J790&lt;Config!$B$6,"LOW",IF(J790&gt;Config!$B$7,"EXCESS","HEALTHY")))))</f>
        <v/>
      </c>
      <c r="L790" s="11" t="n">
        <v>51</v>
      </c>
      <c r="M790" s="11" t="n">
        <v>65</v>
      </c>
      <c r="N790" s="11">
        <f>H790*L790</f>
        <v/>
      </c>
      <c r="O790" s="11">
        <f>IF(I790&gt;0,I790*(M790-L790),0)</f>
        <v/>
      </c>
      <c r="P790" s="11" t="n">
        <v>2712</v>
      </c>
    </row>
    <row r="791">
      <c r="A791" s="4" t="inlineStr">
        <is>
          <t>WH07</t>
        </is>
      </c>
      <c r="B791" s="4" t="inlineStr">
        <is>
          <t>Bengaluru DC</t>
        </is>
      </c>
      <c r="C791" s="4" t="inlineStr">
        <is>
          <t>South</t>
        </is>
      </c>
      <c r="D791" s="4" t="inlineStr">
        <is>
          <t>SKU067</t>
        </is>
      </c>
      <c r="E791" s="4" t="inlineStr">
        <is>
          <t>Mosquito Coil 10pk</t>
        </is>
      </c>
      <c r="F791" s="4" t="inlineStr">
        <is>
          <t>Home Care</t>
        </is>
      </c>
      <c r="G791" s="4" t="inlineStr">
        <is>
          <t>A</t>
        </is>
      </c>
      <c r="H791" s="11" t="n">
        <v>1313</v>
      </c>
      <c r="I791" s="4" t="n">
        <v>595.75</v>
      </c>
      <c r="J791" s="13">
        <f>IF(I791&gt;0,H791/I791,"")</f>
        <v/>
      </c>
      <c r="K791" s="4">
        <f>IF(I791&lt;=0,"NO DEMAND",IF(H791=0,"STOCKOUT",IF(J791&lt;Config!$B$5,"CRITICAL",IF(J791&lt;Config!$B$6,"LOW",IF(J791&gt;Config!$B$7,"EXCESS","HEALTHY")))))</f>
        <v/>
      </c>
      <c r="L791" s="11" t="n">
        <v>200</v>
      </c>
      <c r="M791" s="11" t="n">
        <v>257</v>
      </c>
      <c r="N791" s="11">
        <f>H791*L791</f>
        <v/>
      </c>
      <c r="O791" s="11">
        <f>IF(I791&gt;0,I791*(M791-L791),0)</f>
        <v/>
      </c>
      <c r="P791" s="11" t="n">
        <v>1860</v>
      </c>
    </row>
    <row r="792">
      <c r="A792" s="4" t="inlineStr">
        <is>
          <t>WH07</t>
        </is>
      </c>
      <c r="B792" s="4" t="inlineStr">
        <is>
          <t>Bengaluru DC</t>
        </is>
      </c>
      <c r="C792" s="4" t="inlineStr">
        <is>
          <t>South</t>
        </is>
      </c>
      <c r="D792" s="4" t="inlineStr">
        <is>
          <t>SKU068</t>
        </is>
      </c>
      <c r="E792" s="4" t="inlineStr">
        <is>
          <t>Air Freshener 250ml</t>
        </is>
      </c>
      <c r="F792" s="4" t="inlineStr">
        <is>
          <t>Home Care</t>
        </is>
      </c>
      <c r="G792" s="4" t="inlineStr">
        <is>
          <t>A</t>
        </is>
      </c>
      <c r="H792" s="11" t="n">
        <v>2947</v>
      </c>
      <c r="I792" s="4" t="n">
        <v>750.5</v>
      </c>
      <c r="J792" s="13">
        <f>IF(I792&gt;0,H792/I792,"")</f>
        <v/>
      </c>
      <c r="K792" s="4">
        <f>IF(I792&lt;=0,"NO DEMAND",IF(H792=0,"STOCKOUT",IF(J792&lt;Config!$B$5,"CRITICAL",IF(J792&lt;Config!$B$6,"LOW",IF(J792&gt;Config!$B$7,"EXCESS","HEALTHY")))))</f>
        <v/>
      </c>
      <c r="L792" s="11" t="n">
        <v>99</v>
      </c>
      <c r="M792" s="11" t="n">
        <v>123</v>
      </c>
      <c r="N792" s="11">
        <f>H792*L792</f>
        <v/>
      </c>
      <c r="O792" s="11">
        <f>IF(I792&gt;0,I792*(M792-L792),0)</f>
        <v/>
      </c>
      <c r="P792" s="11" t="n">
        <v>0</v>
      </c>
    </row>
    <row r="793">
      <c r="A793" s="4" t="inlineStr">
        <is>
          <t>WH07</t>
        </is>
      </c>
      <c r="B793" s="4" t="inlineStr">
        <is>
          <t>Bengaluru DC</t>
        </is>
      </c>
      <c r="C793" s="4" t="inlineStr">
        <is>
          <t>South</t>
        </is>
      </c>
      <c r="D793" s="4" t="inlineStr">
        <is>
          <t>SKU069</t>
        </is>
      </c>
      <c r="E793" s="4" t="inlineStr">
        <is>
          <t>Garbage Bags 30pk</t>
        </is>
      </c>
      <c r="F793" s="4" t="inlineStr">
        <is>
          <t>Home Care</t>
        </is>
      </c>
      <c r="G793" s="4" t="inlineStr">
        <is>
          <t>B</t>
        </is>
      </c>
      <c r="H793" s="11" t="n">
        <v>530</v>
      </c>
      <c r="I793" s="4" t="n">
        <v>274</v>
      </c>
      <c r="J793" s="13">
        <f>IF(I793&gt;0,H793/I793,"")</f>
        <v/>
      </c>
      <c r="K793" s="4">
        <f>IF(I793&lt;=0,"NO DEMAND",IF(H793=0,"STOCKOUT",IF(J793&lt;Config!$B$5,"CRITICAL",IF(J793&lt;Config!$B$6,"LOW",IF(J793&gt;Config!$B$7,"EXCESS","HEALTHY")))))</f>
        <v/>
      </c>
      <c r="L793" s="11" t="n">
        <v>202</v>
      </c>
      <c r="M793" s="11" t="n">
        <v>252</v>
      </c>
      <c r="N793" s="11">
        <f>H793*L793</f>
        <v/>
      </c>
      <c r="O793" s="11">
        <f>IF(I793&gt;0,I793*(M793-L793),0)</f>
        <v/>
      </c>
      <c r="P793" s="11" t="n">
        <v>0</v>
      </c>
    </row>
    <row r="794">
      <c r="A794" s="4" t="inlineStr">
        <is>
          <t>WH07</t>
        </is>
      </c>
      <c r="B794" s="4" t="inlineStr">
        <is>
          <t>Bengaluru DC</t>
        </is>
      </c>
      <c r="C794" s="4" t="inlineStr">
        <is>
          <t>South</t>
        </is>
      </c>
      <c r="D794" s="4" t="inlineStr">
        <is>
          <t>SKU070</t>
        </is>
      </c>
      <c r="E794" s="4" t="inlineStr">
        <is>
          <t>Scrub Pad 3pk</t>
        </is>
      </c>
      <c r="F794" s="4" t="inlineStr">
        <is>
          <t>Home Care</t>
        </is>
      </c>
      <c r="G794" s="4" t="inlineStr">
        <is>
          <t>A</t>
        </is>
      </c>
      <c r="H794" s="11" t="n">
        <v>370</v>
      </c>
      <c r="I794" s="4" t="n">
        <v>615.5</v>
      </c>
      <c r="J794" s="13">
        <f>IF(I794&gt;0,H794/I794,"")</f>
        <v/>
      </c>
      <c r="K794" s="4">
        <f>IF(I794&lt;=0,"NO DEMAND",IF(H794=0,"STOCKOUT",IF(J794&lt;Config!$B$5,"CRITICAL",IF(J794&lt;Config!$B$6,"LOW",IF(J794&gt;Config!$B$7,"EXCESS","HEALTHY")))))</f>
        <v/>
      </c>
      <c r="L794" s="11" t="n">
        <v>121</v>
      </c>
      <c r="M794" s="11" t="n">
        <v>153</v>
      </c>
      <c r="N794" s="11">
        <f>H794*L794</f>
        <v/>
      </c>
      <c r="O794" s="11">
        <f>IF(I794&gt;0,I794*(M794-L794),0)</f>
        <v/>
      </c>
      <c r="P794" s="11" t="n">
        <v>1872</v>
      </c>
    </row>
    <row r="795">
      <c r="A795" s="4" t="inlineStr">
        <is>
          <t>WH07</t>
        </is>
      </c>
      <c r="B795" s="4" t="inlineStr">
        <is>
          <t>Bengaluru DC</t>
        </is>
      </c>
      <c r="C795" s="4" t="inlineStr">
        <is>
          <t>South</t>
        </is>
      </c>
      <c r="D795" s="4" t="inlineStr">
        <is>
          <t>SKU071</t>
        </is>
      </c>
      <c r="E795" s="4" t="inlineStr">
        <is>
          <t>Bleach 500ml</t>
        </is>
      </c>
      <c r="F795" s="4" t="inlineStr">
        <is>
          <t>Home Care</t>
        </is>
      </c>
      <c r="G795" s="4" t="inlineStr">
        <is>
          <t>C</t>
        </is>
      </c>
      <c r="H795" s="11" t="n">
        <v>313</v>
      </c>
      <c r="I795" s="4" t="n">
        <v>83.25</v>
      </c>
      <c r="J795" s="13">
        <f>IF(I795&gt;0,H795/I795,"")</f>
        <v/>
      </c>
      <c r="K795" s="4">
        <f>IF(I795&lt;=0,"NO DEMAND",IF(H795=0,"STOCKOUT",IF(J795&lt;Config!$B$5,"CRITICAL",IF(J795&lt;Config!$B$6,"LOW",IF(J795&gt;Config!$B$7,"EXCESS","HEALTHY")))))</f>
        <v/>
      </c>
      <c r="L795" s="11" t="n">
        <v>41</v>
      </c>
      <c r="M795" s="11" t="n">
        <v>51</v>
      </c>
      <c r="N795" s="11">
        <f>H795*L795</f>
        <v/>
      </c>
      <c r="O795" s="11">
        <f>IF(I795&gt;0,I795*(M795-L795),0)</f>
        <v/>
      </c>
      <c r="P795" s="11" t="n">
        <v>0</v>
      </c>
    </row>
    <row r="796">
      <c r="A796" s="4" t="inlineStr">
        <is>
          <t>WH07</t>
        </is>
      </c>
      <c r="B796" s="4" t="inlineStr">
        <is>
          <t>Bengaluru DC</t>
        </is>
      </c>
      <c r="C796" s="4" t="inlineStr">
        <is>
          <t>South</t>
        </is>
      </c>
      <c r="D796" s="4" t="inlineStr">
        <is>
          <t>SKU072</t>
        </is>
      </c>
      <c r="E796" s="4" t="inlineStr">
        <is>
          <t>Phenyl 1L</t>
        </is>
      </c>
      <c r="F796" s="4" t="inlineStr">
        <is>
          <t>Home Care</t>
        </is>
      </c>
      <c r="G796" s="4" t="inlineStr">
        <is>
          <t>B</t>
        </is>
      </c>
      <c r="H796" s="11" t="n">
        <v>2015</v>
      </c>
      <c r="I796" s="4" t="n">
        <v>564.25</v>
      </c>
      <c r="J796" s="13">
        <f>IF(I796&gt;0,H796/I796,"")</f>
        <v/>
      </c>
      <c r="K796" s="4">
        <f>IF(I796&lt;=0,"NO DEMAND",IF(H796=0,"STOCKOUT",IF(J796&lt;Config!$B$5,"CRITICAL",IF(J796&lt;Config!$B$6,"LOW",IF(J796&gt;Config!$B$7,"EXCESS","HEALTHY")))))</f>
        <v/>
      </c>
      <c r="L796" s="11" t="n">
        <v>137</v>
      </c>
      <c r="M796" s="11" t="n">
        <v>170</v>
      </c>
      <c r="N796" s="11">
        <f>H796*L796</f>
        <v/>
      </c>
      <c r="O796" s="11">
        <f>IF(I796&gt;0,I796*(M796-L796),0)</f>
        <v/>
      </c>
      <c r="P796" s="11" t="n">
        <v>0</v>
      </c>
    </row>
    <row r="797">
      <c r="A797" s="4" t="inlineStr">
        <is>
          <t>WH07</t>
        </is>
      </c>
      <c r="B797" s="4" t="inlineStr">
        <is>
          <t>Bengaluru DC</t>
        </is>
      </c>
      <c r="C797" s="4" t="inlineStr">
        <is>
          <t>South</t>
        </is>
      </c>
      <c r="D797" s="4" t="inlineStr">
        <is>
          <t>SKU073</t>
        </is>
      </c>
      <c r="E797" s="4" t="inlineStr">
        <is>
          <t>Agarbatti 100pk</t>
        </is>
      </c>
      <c r="F797" s="4" t="inlineStr">
        <is>
          <t>Home Care</t>
        </is>
      </c>
      <c r="G797" s="4" t="inlineStr">
        <is>
          <t>C</t>
        </is>
      </c>
      <c r="H797" s="11" t="n">
        <v>384</v>
      </c>
      <c r="I797" s="4" t="n">
        <v>599.5</v>
      </c>
      <c r="J797" s="13">
        <f>IF(I797&gt;0,H797/I797,"")</f>
        <v/>
      </c>
      <c r="K797" s="4">
        <f>IF(I797&lt;=0,"NO DEMAND",IF(H797=0,"STOCKOUT",IF(J797&lt;Config!$B$5,"CRITICAL",IF(J797&lt;Config!$B$6,"LOW",IF(J797&gt;Config!$B$7,"EXCESS","HEALTHY")))))</f>
        <v/>
      </c>
      <c r="L797" s="11" t="n">
        <v>59</v>
      </c>
      <c r="M797" s="11" t="n">
        <v>75</v>
      </c>
      <c r="N797" s="11">
        <f>H797*L797</f>
        <v/>
      </c>
      <c r="O797" s="11">
        <f>IF(I797&gt;0,I797*(M797-L797),0)</f>
        <v/>
      </c>
      <c r="P797" s="11" t="n">
        <v>2172</v>
      </c>
    </row>
    <row r="798">
      <c r="A798" s="4" t="inlineStr">
        <is>
          <t>WH07</t>
        </is>
      </c>
      <c r="B798" s="4" t="inlineStr">
        <is>
          <t>Bengaluru DC</t>
        </is>
      </c>
      <c r="C798" s="4" t="inlineStr">
        <is>
          <t>South</t>
        </is>
      </c>
      <c r="D798" s="4" t="inlineStr">
        <is>
          <t>SKU074</t>
        </is>
      </c>
      <c r="E798" s="4" t="inlineStr">
        <is>
          <t>Matchbox 10pk</t>
        </is>
      </c>
      <c r="F798" s="4" t="inlineStr">
        <is>
          <t>Home Care</t>
        </is>
      </c>
      <c r="G798" s="4" t="inlineStr">
        <is>
          <t>A</t>
        </is>
      </c>
      <c r="H798" s="11" t="n">
        <v>206</v>
      </c>
      <c r="I798" s="4" t="n">
        <v>485</v>
      </c>
      <c r="J798" s="13">
        <f>IF(I798&gt;0,H798/I798,"")</f>
        <v/>
      </c>
      <c r="K798" s="4">
        <f>IF(I798&lt;=0,"NO DEMAND",IF(H798=0,"STOCKOUT",IF(J798&lt;Config!$B$5,"CRITICAL",IF(J798&lt;Config!$B$6,"LOW",IF(J798&gt;Config!$B$7,"EXCESS","HEALTHY")))))</f>
        <v/>
      </c>
      <c r="L798" s="11" t="n">
        <v>257</v>
      </c>
      <c r="M798" s="11" t="n">
        <v>315</v>
      </c>
      <c r="N798" s="11">
        <f>H798*L798</f>
        <v/>
      </c>
      <c r="O798" s="11">
        <f>IF(I798&gt;0,I798*(M798-L798),0)</f>
        <v/>
      </c>
      <c r="P798" s="11" t="n">
        <v>1848</v>
      </c>
    </row>
    <row r="799">
      <c r="A799" s="4" t="inlineStr">
        <is>
          <t>WH07</t>
        </is>
      </c>
      <c r="B799" s="4" t="inlineStr">
        <is>
          <t>Bengaluru DC</t>
        </is>
      </c>
      <c r="C799" s="4" t="inlineStr">
        <is>
          <t>South</t>
        </is>
      </c>
      <c r="D799" s="4" t="inlineStr">
        <is>
          <t>SKU075</t>
        </is>
      </c>
      <c r="E799" s="4" t="inlineStr">
        <is>
          <t>Naphthalene Balls 200g</t>
        </is>
      </c>
      <c r="F799" s="4" t="inlineStr">
        <is>
          <t>Home Care</t>
        </is>
      </c>
      <c r="G799" s="4" t="inlineStr">
        <is>
          <t>C</t>
        </is>
      </c>
      <c r="H799" s="11" t="n">
        <v>0</v>
      </c>
      <c r="I799" s="4" t="n">
        <v>739.25</v>
      </c>
      <c r="J799" s="13">
        <f>IF(I799&gt;0,H799/I799,"")</f>
        <v/>
      </c>
      <c r="K799" s="4">
        <f>IF(I799&lt;=0,"NO DEMAND",IF(H799=0,"STOCKOUT",IF(J799&lt;Config!$B$5,"CRITICAL",IF(J799&lt;Config!$B$6,"LOW",IF(J799&gt;Config!$B$7,"EXCESS","HEALTHY")))))</f>
        <v/>
      </c>
      <c r="L799" s="11" t="n">
        <v>49</v>
      </c>
      <c r="M799" s="11" t="n">
        <v>60</v>
      </c>
      <c r="N799" s="11">
        <f>H799*L799</f>
        <v/>
      </c>
      <c r="O799" s="11">
        <f>IF(I799&gt;0,I799*(M799-L799),0)</f>
        <v/>
      </c>
      <c r="P799" s="11" t="n">
        <v>3324</v>
      </c>
    </row>
    <row r="800">
      <c r="A800" s="4" t="inlineStr">
        <is>
          <t>WH07</t>
        </is>
      </c>
      <c r="B800" s="4" t="inlineStr">
        <is>
          <t>Bengaluru DC</t>
        </is>
      </c>
      <c r="C800" s="4" t="inlineStr">
        <is>
          <t>South</t>
        </is>
      </c>
      <c r="D800" s="4" t="inlineStr">
        <is>
          <t>SKU076</t>
        </is>
      </c>
      <c r="E800" s="4" t="inlineStr">
        <is>
          <t>USB-C Cable 1m</t>
        </is>
      </c>
      <c r="F800" s="4" t="inlineStr">
        <is>
          <t>Electronics Accessories</t>
        </is>
      </c>
      <c r="G800" s="4" t="inlineStr">
        <is>
          <t>A</t>
        </is>
      </c>
      <c r="H800" s="11" t="n">
        <v>0</v>
      </c>
      <c r="I800" s="4" t="n">
        <v>182.75</v>
      </c>
      <c r="J800" s="13">
        <f>IF(I800&gt;0,H800/I800,"")</f>
        <v/>
      </c>
      <c r="K800" s="4">
        <f>IF(I800&lt;=0,"NO DEMAND",IF(H800=0,"STOCKOUT",IF(J800&lt;Config!$B$5,"CRITICAL",IF(J800&lt;Config!$B$6,"LOW",IF(J800&gt;Config!$B$7,"EXCESS","HEALTHY")))))</f>
        <v/>
      </c>
      <c r="L800" s="11" t="n">
        <v>441</v>
      </c>
      <c r="M800" s="11" t="n">
        <v>572</v>
      </c>
      <c r="N800" s="11">
        <f>H800*L800</f>
        <v/>
      </c>
      <c r="O800" s="11">
        <f>IF(I800&gt;0,I800*(M800-L800),0)</f>
        <v/>
      </c>
      <c r="P800" s="11" t="n">
        <v>480</v>
      </c>
    </row>
    <row r="801">
      <c r="A801" s="4" t="inlineStr">
        <is>
          <t>WH07</t>
        </is>
      </c>
      <c r="B801" s="4" t="inlineStr">
        <is>
          <t>Bengaluru DC</t>
        </is>
      </c>
      <c r="C801" s="4" t="inlineStr">
        <is>
          <t>South</t>
        </is>
      </c>
      <c r="D801" s="4" t="inlineStr">
        <is>
          <t>SKU077</t>
        </is>
      </c>
      <c r="E801" s="4" t="inlineStr">
        <is>
          <t>Fast Charger 25W</t>
        </is>
      </c>
      <c r="F801" s="4" t="inlineStr">
        <is>
          <t>Electronics Accessories</t>
        </is>
      </c>
      <c r="G801" s="4" t="inlineStr">
        <is>
          <t>B</t>
        </is>
      </c>
      <c r="H801" s="11" t="n">
        <v>340</v>
      </c>
      <c r="I801" s="4" t="n">
        <v>63.25</v>
      </c>
      <c r="J801" s="13">
        <f>IF(I801&gt;0,H801/I801,"")</f>
        <v/>
      </c>
      <c r="K801" s="4">
        <f>IF(I801&lt;=0,"NO DEMAND",IF(H801=0,"STOCKOUT",IF(J801&lt;Config!$B$5,"CRITICAL",IF(J801&lt;Config!$B$6,"LOW",IF(J801&gt;Config!$B$7,"EXCESS","HEALTHY")))))</f>
        <v/>
      </c>
      <c r="L801" s="11" t="n">
        <v>364</v>
      </c>
      <c r="M801" s="11" t="n">
        <v>465</v>
      </c>
      <c r="N801" s="11">
        <f>H801*L801</f>
        <v/>
      </c>
      <c r="O801" s="11">
        <f>IF(I801&gt;0,I801*(M801-L801),0)</f>
        <v/>
      </c>
      <c r="P801" s="11" t="n">
        <v>0</v>
      </c>
    </row>
    <row r="802">
      <c r="A802" s="4" t="inlineStr">
        <is>
          <t>WH07</t>
        </is>
      </c>
      <c r="B802" s="4" t="inlineStr">
        <is>
          <t>Bengaluru DC</t>
        </is>
      </c>
      <c r="C802" s="4" t="inlineStr">
        <is>
          <t>South</t>
        </is>
      </c>
      <c r="D802" s="4" t="inlineStr">
        <is>
          <t>SKU078</t>
        </is>
      </c>
      <c r="E802" s="4" t="inlineStr">
        <is>
          <t>Power Bank 10000mAh</t>
        </is>
      </c>
      <c r="F802" s="4" t="inlineStr">
        <is>
          <t>Electronics Accessories</t>
        </is>
      </c>
      <c r="G802" s="4" t="inlineStr">
        <is>
          <t>B</t>
        </is>
      </c>
      <c r="H802" s="11" t="n">
        <v>0</v>
      </c>
      <c r="I802" s="4" t="n">
        <v>160.5</v>
      </c>
      <c r="J802" s="13">
        <f>IF(I802&gt;0,H802/I802,"")</f>
        <v/>
      </c>
      <c r="K802" s="4">
        <f>IF(I802&lt;=0,"NO DEMAND",IF(H802=0,"STOCKOUT",IF(J802&lt;Config!$B$5,"CRITICAL",IF(J802&lt;Config!$B$6,"LOW",IF(J802&gt;Config!$B$7,"EXCESS","HEALTHY")))))</f>
        <v/>
      </c>
      <c r="L802" s="11" t="n">
        <v>359</v>
      </c>
      <c r="M802" s="11" t="n">
        <v>471</v>
      </c>
      <c r="N802" s="11">
        <f>H802*L802</f>
        <v/>
      </c>
      <c r="O802" s="11">
        <f>IF(I802&gt;0,I802*(M802-L802),0)</f>
        <v/>
      </c>
      <c r="P802" s="11" t="n">
        <v>1150</v>
      </c>
    </row>
    <row r="803">
      <c r="A803" s="4" t="inlineStr">
        <is>
          <t>WH07</t>
        </is>
      </c>
      <c r="B803" s="4" t="inlineStr">
        <is>
          <t>Bengaluru DC</t>
        </is>
      </c>
      <c r="C803" s="4" t="inlineStr">
        <is>
          <t>South</t>
        </is>
      </c>
      <c r="D803" s="4" t="inlineStr">
        <is>
          <t>SKU079</t>
        </is>
      </c>
      <c r="E803" s="4" t="inlineStr">
        <is>
          <t>Wired Earphones</t>
        </is>
      </c>
      <c r="F803" s="4" t="inlineStr">
        <is>
          <t>Electronics Accessories</t>
        </is>
      </c>
      <c r="G803" s="4" t="inlineStr">
        <is>
          <t>A</t>
        </is>
      </c>
      <c r="H803" s="11" t="n">
        <v>192</v>
      </c>
      <c r="I803" s="4" t="n">
        <v>38.75</v>
      </c>
      <c r="J803" s="13">
        <f>IF(I803&gt;0,H803/I803,"")</f>
        <v/>
      </c>
      <c r="K803" s="4">
        <f>IF(I803&lt;=0,"NO DEMAND",IF(H803=0,"STOCKOUT",IF(J803&lt;Config!$B$5,"CRITICAL",IF(J803&lt;Config!$B$6,"LOW",IF(J803&gt;Config!$B$7,"EXCESS","HEALTHY")))))</f>
        <v/>
      </c>
      <c r="L803" s="11" t="n">
        <v>1110</v>
      </c>
      <c r="M803" s="11" t="n">
        <v>1412</v>
      </c>
      <c r="N803" s="11">
        <f>H803*L803</f>
        <v/>
      </c>
      <c r="O803" s="11">
        <f>IF(I803&gt;0,I803*(M803-L803),0)</f>
        <v/>
      </c>
      <c r="P803" s="11" t="n">
        <v>420</v>
      </c>
    </row>
    <row r="804">
      <c r="A804" s="4" t="inlineStr">
        <is>
          <t>WH07</t>
        </is>
      </c>
      <c r="B804" s="4" t="inlineStr">
        <is>
          <t>Bengaluru DC</t>
        </is>
      </c>
      <c r="C804" s="4" t="inlineStr">
        <is>
          <t>South</t>
        </is>
      </c>
      <c r="D804" s="4" t="inlineStr">
        <is>
          <t>SKU080</t>
        </is>
      </c>
      <c r="E804" s="4" t="inlineStr">
        <is>
          <t>TWS Earbuds</t>
        </is>
      </c>
      <c r="F804" s="4" t="inlineStr">
        <is>
          <t>Electronics Accessories</t>
        </is>
      </c>
      <c r="G804" s="4" t="inlineStr">
        <is>
          <t>A</t>
        </is>
      </c>
      <c r="H804" s="11" t="n">
        <v>149</v>
      </c>
      <c r="I804" s="4" t="n">
        <v>67.5</v>
      </c>
      <c r="J804" s="13">
        <f>IF(I804&gt;0,H804/I804,"")</f>
        <v/>
      </c>
      <c r="K804" s="4">
        <f>IF(I804&lt;=0,"NO DEMAND",IF(H804=0,"STOCKOUT",IF(J804&lt;Config!$B$5,"CRITICAL",IF(J804&lt;Config!$B$6,"LOW",IF(J804&gt;Config!$B$7,"EXCESS","HEALTHY")))))</f>
        <v/>
      </c>
      <c r="L804" s="11" t="n">
        <v>2238</v>
      </c>
      <c r="M804" s="11" t="n">
        <v>2947</v>
      </c>
      <c r="N804" s="11">
        <f>H804*L804</f>
        <v/>
      </c>
      <c r="O804" s="11">
        <f>IF(I804&gt;0,I804*(M804-L804),0)</f>
        <v/>
      </c>
      <c r="P804" s="11" t="n">
        <v>450</v>
      </c>
    </row>
    <row r="805">
      <c r="A805" s="4" t="inlineStr">
        <is>
          <t>WH07</t>
        </is>
      </c>
      <c r="B805" s="4" t="inlineStr">
        <is>
          <t>Bengaluru DC</t>
        </is>
      </c>
      <c r="C805" s="4" t="inlineStr">
        <is>
          <t>South</t>
        </is>
      </c>
      <c r="D805" s="4" t="inlineStr">
        <is>
          <t>SKU081</t>
        </is>
      </c>
      <c r="E805" s="4" t="inlineStr">
        <is>
          <t>Bluetooth Speaker</t>
        </is>
      </c>
      <c r="F805" s="4" t="inlineStr">
        <is>
          <t>Electronics Accessories</t>
        </is>
      </c>
      <c r="G805" s="4" t="inlineStr">
        <is>
          <t>B</t>
        </is>
      </c>
      <c r="H805" s="11" t="n">
        <v>376</v>
      </c>
      <c r="I805" s="4" t="n">
        <v>337.5</v>
      </c>
      <c r="J805" s="13">
        <f>IF(I805&gt;0,H805/I805,"")</f>
        <v/>
      </c>
      <c r="K805" s="4">
        <f>IF(I805&lt;=0,"NO DEMAND",IF(H805=0,"STOCKOUT",IF(J805&lt;Config!$B$5,"CRITICAL",IF(J805&lt;Config!$B$6,"LOW",IF(J805&gt;Config!$B$7,"EXCESS","HEALTHY")))))</f>
        <v/>
      </c>
      <c r="L805" s="11" t="n">
        <v>227</v>
      </c>
      <c r="M805" s="11" t="n">
        <v>293</v>
      </c>
      <c r="N805" s="11">
        <f>H805*L805</f>
        <v/>
      </c>
      <c r="O805" s="11">
        <f>IF(I805&gt;0,I805*(M805-L805),0)</f>
        <v/>
      </c>
      <c r="P805" s="11" t="n">
        <v>1090</v>
      </c>
    </row>
    <row r="806">
      <c r="A806" s="4" t="inlineStr">
        <is>
          <t>WH07</t>
        </is>
      </c>
      <c r="B806" s="4" t="inlineStr">
        <is>
          <t>Bengaluru DC</t>
        </is>
      </c>
      <c r="C806" s="4" t="inlineStr">
        <is>
          <t>South</t>
        </is>
      </c>
      <c r="D806" s="4" t="inlineStr">
        <is>
          <t>SKU082</t>
        </is>
      </c>
      <c r="E806" s="4" t="inlineStr">
        <is>
          <t>Phone Case</t>
        </is>
      </c>
      <c r="F806" s="4" t="inlineStr">
        <is>
          <t>Electronics Accessories</t>
        </is>
      </c>
      <c r="G806" s="4" t="inlineStr">
        <is>
          <t>B</t>
        </is>
      </c>
      <c r="H806" s="11" t="n">
        <v>32</v>
      </c>
      <c r="I806" s="4" t="n">
        <v>162.5</v>
      </c>
      <c r="J806" s="13">
        <f>IF(I806&gt;0,H806/I806,"")</f>
        <v/>
      </c>
      <c r="K806" s="4">
        <f>IF(I806&lt;=0,"NO DEMAND",IF(H806=0,"STOCKOUT",IF(J806&lt;Config!$B$5,"CRITICAL",IF(J806&lt;Config!$B$6,"LOW",IF(J806&gt;Config!$B$7,"EXCESS","HEALTHY")))))</f>
        <v/>
      </c>
      <c r="L806" s="11" t="n">
        <v>665</v>
      </c>
      <c r="M806" s="11" t="n">
        <v>835</v>
      </c>
      <c r="N806" s="11">
        <f>H806*L806</f>
        <v/>
      </c>
      <c r="O806" s="11">
        <f>IF(I806&gt;0,I806*(M806-L806),0)</f>
        <v/>
      </c>
      <c r="P806" s="11" t="n">
        <v>1340</v>
      </c>
    </row>
    <row r="807">
      <c r="A807" s="4" t="inlineStr">
        <is>
          <t>WH07</t>
        </is>
      </c>
      <c r="B807" s="4" t="inlineStr">
        <is>
          <t>Bengaluru DC</t>
        </is>
      </c>
      <c r="C807" s="4" t="inlineStr">
        <is>
          <t>South</t>
        </is>
      </c>
      <c r="D807" s="4" t="inlineStr">
        <is>
          <t>SKU083</t>
        </is>
      </c>
      <c r="E807" s="4" t="inlineStr">
        <is>
          <t>Screen Guard</t>
        </is>
      </c>
      <c r="F807" s="4" t="inlineStr">
        <is>
          <t>Electronics Accessories</t>
        </is>
      </c>
      <c r="G807" s="4" t="inlineStr">
        <is>
          <t>C</t>
        </is>
      </c>
      <c r="H807" s="11" t="n">
        <v>127</v>
      </c>
      <c r="I807" s="4" t="n">
        <v>100.75</v>
      </c>
      <c r="J807" s="13">
        <f>IF(I807&gt;0,H807/I807,"")</f>
        <v/>
      </c>
      <c r="K807" s="4">
        <f>IF(I807&lt;=0,"NO DEMAND",IF(H807=0,"STOCKOUT",IF(J807&lt;Config!$B$5,"CRITICAL",IF(J807&lt;Config!$B$6,"LOW",IF(J807&gt;Config!$B$7,"EXCESS","HEALTHY")))))</f>
        <v/>
      </c>
      <c r="L807" s="11" t="n">
        <v>229</v>
      </c>
      <c r="M807" s="11" t="n">
        <v>298</v>
      </c>
      <c r="N807" s="11">
        <f>H807*L807</f>
        <v/>
      </c>
      <c r="O807" s="11">
        <f>IF(I807&gt;0,I807*(M807-L807),0)</f>
        <v/>
      </c>
      <c r="P807" s="11" t="n">
        <v>300</v>
      </c>
    </row>
    <row r="808">
      <c r="A808" s="4" t="inlineStr">
        <is>
          <t>WH07</t>
        </is>
      </c>
      <c r="B808" s="4" t="inlineStr">
        <is>
          <t>Bengaluru DC</t>
        </is>
      </c>
      <c r="C808" s="4" t="inlineStr">
        <is>
          <t>South</t>
        </is>
      </c>
      <c r="D808" s="4" t="inlineStr">
        <is>
          <t>SKU084</t>
        </is>
      </c>
      <c r="E808" s="4" t="inlineStr">
        <is>
          <t>LED Bulb 9W</t>
        </is>
      </c>
      <c r="F808" s="4" t="inlineStr">
        <is>
          <t>Electronics Accessories</t>
        </is>
      </c>
      <c r="G808" s="4" t="inlineStr">
        <is>
          <t>C</t>
        </is>
      </c>
      <c r="H808" s="11" t="n">
        <v>266</v>
      </c>
      <c r="I808" s="4" t="n">
        <v>124</v>
      </c>
      <c r="J808" s="13">
        <f>IF(I808&gt;0,H808/I808,"")</f>
        <v/>
      </c>
      <c r="K808" s="4">
        <f>IF(I808&lt;=0,"NO DEMAND",IF(H808=0,"STOCKOUT",IF(J808&lt;Config!$B$5,"CRITICAL",IF(J808&lt;Config!$B$6,"LOW",IF(J808&gt;Config!$B$7,"EXCESS","HEALTHY")))))</f>
        <v/>
      </c>
      <c r="L808" s="11" t="n">
        <v>160</v>
      </c>
      <c r="M808" s="11" t="n">
        <v>207</v>
      </c>
      <c r="N808" s="11">
        <f>H808*L808</f>
        <v/>
      </c>
      <c r="O808" s="11">
        <f>IF(I808&gt;0,I808*(M808-L808),0)</f>
        <v/>
      </c>
      <c r="P808" s="11" t="n">
        <v>420</v>
      </c>
    </row>
    <row r="809">
      <c r="A809" s="4" t="inlineStr">
        <is>
          <t>WH07</t>
        </is>
      </c>
      <c r="B809" s="4" t="inlineStr">
        <is>
          <t>Bengaluru DC</t>
        </is>
      </c>
      <c r="C809" s="4" t="inlineStr">
        <is>
          <t>South</t>
        </is>
      </c>
      <c r="D809" s="4" t="inlineStr">
        <is>
          <t>SKU085</t>
        </is>
      </c>
      <c r="E809" s="4" t="inlineStr">
        <is>
          <t>Extension Board 4-socket</t>
        </is>
      </c>
      <c r="F809" s="4" t="inlineStr">
        <is>
          <t>Electronics Accessories</t>
        </is>
      </c>
      <c r="G809" s="4" t="inlineStr">
        <is>
          <t>B</t>
        </is>
      </c>
      <c r="H809" s="11" t="n">
        <v>0</v>
      </c>
      <c r="I809" s="4" t="n">
        <v>190.25</v>
      </c>
      <c r="J809" s="13">
        <f>IF(I809&gt;0,H809/I809,"")</f>
        <v/>
      </c>
      <c r="K809" s="4">
        <f>IF(I809&lt;=0,"NO DEMAND",IF(H809=0,"STOCKOUT",IF(J809&lt;Config!$B$5,"CRITICAL",IF(J809&lt;Config!$B$6,"LOW",IF(J809&gt;Config!$B$7,"EXCESS","HEALTHY")))))</f>
        <v/>
      </c>
      <c r="L809" s="11" t="n">
        <v>336</v>
      </c>
      <c r="M809" s="11" t="n">
        <v>431</v>
      </c>
      <c r="N809" s="11">
        <f>H809*L809</f>
        <v/>
      </c>
      <c r="O809" s="11">
        <f>IF(I809&gt;0,I809*(M809-L809),0)</f>
        <v/>
      </c>
      <c r="P809" s="11" t="n">
        <v>620</v>
      </c>
    </row>
    <row r="810">
      <c r="A810" s="4" t="inlineStr">
        <is>
          <t>WH07</t>
        </is>
      </c>
      <c r="B810" s="4" t="inlineStr">
        <is>
          <t>Bengaluru DC</t>
        </is>
      </c>
      <c r="C810" s="4" t="inlineStr">
        <is>
          <t>South</t>
        </is>
      </c>
      <c r="D810" s="4" t="inlineStr">
        <is>
          <t>SKU086</t>
        </is>
      </c>
      <c r="E810" s="4" t="inlineStr">
        <is>
          <t>AA Batteries 10pk</t>
        </is>
      </c>
      <c r="F810" s="4" t="inlineStr">
        <is>
          <t>Electronics Accessories</t>
        </is>
      </c>
      <c r="G810" s="4" t="inlineStr">
        <is>
          <t>A</t>
        </is>
      </c>
      <c r="H810" s="11" t="n">
        <v>962</v>
      </c>
      <c r="I810" s="4" t="n">
        <v>169.5</v>
      </c>
      <c r="J810" s="13">
        <f>IF(I810&gt;0,H810/I810,"")</f>
        <v/>
      </c>
      <c r="K810" s="4">
        <f>IF(I810&lt;=0,"NO DEMAND",IF(H810=0,"STOCKOUT",IF(J810&lt;Config!$B$5,"CRITICAL",IF(J810&lt;Config!$B$6,"LOW",IF(J810&gt;Config!$B$7,"EXCESS","HEALTHY")))))</f>
        <v/>
      </c>
      <c r="L810" s="11" t="n">
        <v>1335</v>
      </c>
      <c r="M810" s="11" t="n">
        <v>1740</v>
      </c>
      <c r="N810" s="11">
        <f>H810*L810</f>
        <v/>
      </c>
      <c r="O810" s="11">
        <f>IF(I810&gt;0,I810*(M810-L810),0)</f>
        <v/>
      </c>
      <c r="P810" s="11" t="n">
        <v>0</v>
      </c>
    </row>
    <row r="811">
      <c r="A811" s="4" t="inlineStr">
        <is>
          <t>WH07</t>
        </is>
      </c>
      <c r="B811" s="4" t="inlineStr">
        <is>
          <t>Bengaluru DC</t>
        </is>
      </c>
      <c r="C811" s="4" t="inlineStr">
        <is>
          <t>South</t>
        </is>
      </c>
      <c r="D811" s="4" t="inlineStr">
        <is>
          <t>SKU087</t>
        </is>
      </c>
      <c r="E811" s="4" t="inlineStr">
        <is>
          <t>SD Card 64GB</t>
        </is>
      </c>
      <c r="F811" s="4" t="inlineStr">
        <is>
          <t>Electronics Accessories</t>
        </is>
      </c>
      <c r="G811" s="4" t="inlineStr">
        <is>
          <t>A</t>
        </is>
      </c>
      <c r="H811" s="11" t="n">
        <v>210</v>
      </c>
      <c r="I811" s="4" t="n">
        <v>245.25</v>
      </c>
      <c r="J811" s="13">
        <f>IF(I811&gt;0,H811/I811,"")</f>
        <v/>
      </c>
      <c r="K811" s="4">
        <f>IF(I811&lt;=0,"NO DEMAND",IF(H811=0,"STOCKOUT",IF(J811&lt;Config!$B$5,"CRITICAL",IF(J811&lt;Config!$B$6,"LOW",IF(J811&gt;Config!$B$7,"EXCESS","HEALTHY")))))</f>
        <v/>
      </c>
      <c r="L811" s="11" t="n">
        <v>1750</v>
      </c>
      <c r="M811" s="11" t="n">
        <v>2180</v>
      </c>
      <c r="N811" s="11">
        <f>H811*L811</f>
        <v/>
      </c>
      <c r="O811" s="11">
        <f>IF(I811&gt;0,I811*(M811-L811),0)</f>
        <v/>
      </c>
      <c r="P811" s="11" t="n">
        <v>780</v>
      </c>
    </row>
    <row r="812">
      <c r="A812" s="4" t="inlineStr">
        <is>
          <t>WH07</t>
        </is>
      </c>
      <c r="B812" s="4" t="inlineStr">
        <is>
          <t>Bengaluru DC</t>
        </is>
      </c>
      <c r="C812" s="4" t="inlineStr">
        <is>
          <t>South</t>
        </is>
      </c>
      <c r="D812" s="4" t="inlineStr">
        <is>
          <t>SKU088</t>
        </is>
      </c>
      <c r="E812" s="4" t="inlineStr">
        <is>
          <t>Wireless Mouse</t>
        </is>
      </c>
      <c r="F812" s="4" t="inlineStr">
        <is>
          <t>Electronics Accessories</t>
        </is>
      </c>
      <c r="G812" s="4" t="inlineStr">
        <is>
          <t>A</t>
        </is>
      </c>
      <c r="H812" s="11" t="n">
        <v>1781</v>
      </c>
      <c r="I812" s="4" t="n">
        <v>320.75</v>
      </c>
      <c r="J812" s="13">
        <f>IF(I812&gt;0,H812/I812,"")</f>
        <v/>
      </c>
      <c r="K812" s="4">
        <f>IF(I812&lt;=0,"NO DEMAND",IF(H812=0,"STOCKOUT",IF(J812&lt;Config!$B$5,"CRITICAL",IF(J812&lt;Config!$B$6,"LOW",IF(J812&gt;Config!$B$7,"EXCESS","HEALTHY")))))</f>
        <v/>
      </c>
      <c r="L812" s="11" t="n">
        <v>429</v>
      </c>
      <c r="M812" s="11" t="n">
        <v>534</v>
      </c>
      <c r="N812" s="11">
        <f>H812*L812</f>
        <v/>
      </c>
      <c r="O812" s="11">
        <f>IF(I812&gt;0,I812*(M812-L812),0)</f>
        <v/>
      </c>
      <c r="P812" s="11" t="n">
        <v>0</v>
      </c>
    </row>
    <row r="813">
      <c r="A813" s="4" t="inlineStr">
        <is>
          <t>WH07</t>
        </is>
      </c>
      <c r="B813" s="4" t="inlineStr">
        <is>
          <t>Bengaluru DC</t>
        </is>
      </c>
      <c r="C813" s="4" t="inlineStr">
        <is>
          <t>South</t>
        </is>
      </c>
      <c r="D813" s="4" t="inlineStr">
        <is>
          <t>SKU089</t>
        </is>
      </c>
      <c r="E813" s="4" t="inlineStr">
        <is>
          <t>USB Keyboard</t>
        </is>
      </c>
      <c r="F813" s="4" t="inlineStr">
        <is>
          <t>Electronics Accessories</t>
        </is>
      </c>
      <c r="G813" s="4" t="inlineStr">
        <is>
          <t>A</t>
        </is>
      </c>
      <c r="H813" s="11" t="n">
        <v>0</v>
      </c>
      <c r="I813" s="4" t="n">
        <v>292.25</v>
      </c>
      <c r="J813" s="13">
        <f>IF(I813&gt;0,H813/I813,"")</f>
        <v/>
      </c>
      <c r="K813" s="4">
        <f>IF(I813&lt;=0,"NO DEMAND",IF(H813=0,"STOCKOUT",IF(J813&lt;Config!$B$5,"CRITICAL",IF(J813&lt;Config!$B$6,"LOW",IF(J813&gt;Config!$B$7,"EXCESS","HEALTHY")))))</f>
        <v/>
      </c>
      <c r="L813" s="11" t="n">
        <v>2249</v>
      </c>
      <c r="M813" s="11" t="n">
        <v>2812</v>
      </c>
      <c r="N813" s="11">
        <f>H813*L813</f>
        <v/>
      </c>
      <c r="O813" s="11">
        <f>IF(I813&gt;0,I813*(M813-L813),0)</f>
        <v/>
      </c>
      <c r="P813" s="11" t="n">
        <v>1090</v>
      </c>
    </row>
    <row r="814">
      <c r="A814" s="4" t="inlineStr">
        <is>
          <t>WH07</t>
        </is>
      </c>
      <c r="B814" s="4" t="inlineStr">
        <is>
          <t>Bengaluru DC</t>
        </is>
      </c>
      <c r="C814" s="4" t="inlineStr">
        <is>
          <t>South</t>
        </is>
      </c>
      <c r="D814" s="4" t="inlineStr">
        <is>
          <t>SKU090</t>
        </is>
      </c>
      <c r="E814" s="4" t="inlineStr">
        <is>
          <t>HDMI Cable 2m</t>
        </is>
      </c>
      <c r="F814" s="4" t="inlineStr">
        <is>
          <t>Electronics Accessories</t>
        </is>
      </c>
      <c r="G814" s="4" t="inlineStr">
        <is>
          <t>C</t>
        </is>
      </c>
      <c r="H814" s="11" t="n">
        <v>265</v>
      </c>
      <c r="I814" s="4" t="n">
        <v>52.5</v>
      </c>
      <c r="J814" s="13">
        <f>IF(I814&gt;0,H814/I814,"")</f>
        <v/>
      </c>
      <c r="K814" s="4">
        <f>IF(I814&lt;=0,"NO DEMAND",IF(H814=0,"STOCKOUT",IF(J814&lt;Config!$B$5,"CRITICAL",IF(J814&lt;Config!$B$6,"LOW",IF(J814&gt;Config!$B$7,"EXCESS","HEALTHY")))))</f>
        <v/>
      </c>
      <c r="L814" s="11" t="n">
        <v>292</v>
      </c>
      <c r="M814" s="11" t="n">
        <v>378</v>
      </c>
      <c r="N814" s="11">
        <f>H814*L814</f>
        <v/>
      </c>
      <c r="O814" s="11">
        <f>IF(I814&gt;0,I814*(M814-L814),0)</f>
        <v/>
      </c>
      <c r="P814" s="11" t="n">
        <v>0</v>
      </c>
    </row>
    <row r="815">
      <c r="A815" s="4" t="inlineStr">
        <is>
          <t>WH07</t>
        </is>
      </c>
      <c r="B815" s="4" t="inlineStr">
        <is>
          <t>Bengaluru DC</t>
        </is>
      </c>
      <c r="C815" s="4" t="inlineStr">
        <is>
          <t>South</t>
        </is>
      </c>
      <c r="D815" s="4" t="inlineStr">
        <is>
          <t>SKU091</t>
        </is>
      </c>
      <c r="E815" s="4" t="inlineStr">
        <is>
          <t>Paracetamol 500mg 15s</t>
        </is>
      </c>
      <c r="F815" s="4" t="inlineStr">
        <is>
          <t>OTC Pharma &amp; Wellness</t>
        </is>
      </c>
      <c r="G815" s="4" t="inlineStr">
        <is>
          <t>C</t>
        </is>
      </c>
      <c r="H815" s="11" t="n">
        <v>875</v>
      </c>
      <c r="I815" s="4" t="n">
        <v>434</v>
      </c>
      <c r="J815" s="13">
        <f>IF(I815&gt;0,H815/I815,"")</f>
        <v/>
      </c>
      <c r="K815" s="4">
        <f>IF(I815&lt;=0,"NO DEMAND",IF(H815=0,"STOCKOUT",IF(J815&lt;Config!$B$5,"CRITICAL",IF(J815&lt;Config!$B$6,"LOW",IF(J815&gt;Config!$B$7,"EXCESS","HEALTHY")))))</f>
        <v/>
      </c>
      <c r="L815" s="11" t="n">
        <v>113</v>
      </c>
      <c r="M815" s="11" t="n">
        <v>144</v>
      </c>
      <c r="N815" s="11">
        <f>H815*L815</f>
        <v/>
      </c>
      <c r="O815" s="11">
        <f>IF(I815&gt;0,I815*(M815-L815),0)</f>
        <v/>
      </c>
      <c r="P815" s="11" t="n">
        <v>1452</v>
      </c>
    </row>
    <row r="816">
      <c r="A816" s="4" t="inlineStr">
        <is>
          <t>WH07</t>
        </is>
      </c>
      <c r="B816" s="4" t="inlineStr">
        <is>
          <t>Bengaluru DC</t>
        </is>
      </c>
      <c r="C816" s="4" t="inlineStr">
        <is>
          <t>South</t>
        </is>
      </c>
      <c r="D816" s="4" t="inlineStr">
        <is>
          <t>SKU092</t>
        </is>
      </c>
      <c r="E816" s="4" t="inlineStr">
        <is>
          <t>ORS Sachets 10pk</t>
        </is>
      </c>
      <c r="F816" s="4" t="inlineStr">
        <is>
          <t>OTC Pharma &amp; Wellness</t>
        </is>
      </c>
      <c r="G816" s="4" t="inlineStr">
        <is>
          <t>C</t>
        </is>
      </c>
      <c r="H816" s="11" t="n">
        <v>797</v>
      </c>
      <c r="I816" s="4" t="n">
        <v>441.25</v>
      </c>
      <c r="J816" s="13">
        <f>IF(I816&gt;0,H816/I816,"")</f>
        <v/>
      </c>
      <c r="K816" s="4">
        <f>IF(I816&lt;=0,"NO DEMAND",IF(H816=0,"STOCKOUT",IF(J816&lt;Config!$B$5,"CRITICAL",IF(J816&lt;Config!$B$6,"LOW",IF(J816&gt;Config!$B$7,"EXCESS","HEALTHY")))))</f>
        <v/>
      </c>
      <c r="L816" s="11" t="n">
        <v>55</v>
      </c>
      <c r="M816" s="11" t="n">
        <v>75</v>
      </c>
      <c r="N816" s="11">
        <f>H816*L816</f>
        <v/>
      </c>
      <c r="O816" s="11">
        <f>IF(I816&gt;0,I816*(M816-L816),0)</f>
        <v/>
      </c>
      <c r="P816" s="11" t="n">
        <v>1464</v>
      </c>
    </row>
    <row r="817">
      <c r="A817" s="4" t="inlineStr">
        <is>
          <t>WH07</t>
        </is>
      </c>
      <c r="B817" s="4" t="inlineStr">
        <is>
          <t>Bengaluru DC</t>
        </is>
      </c>
      <c r="C817" s="4" t="inlineStr">
        <is>
          <t>South</t>
        </is>
      </c>
      <c r="D817" s="4" t="inlineStr">
        <is>
          <t>SKU093</t>
        </is>
      </c>
      <c r="E817" s="4" t="inlineStr">
        <is>
          <t>Antacid Syrup 200ml</t>
        </is>
      </c>
      <c r="F817" s="4" t="inlineStr">
        <is>
          <t>OTC Pharma &amp; Wellness</t>
        </is>
      </c>
      <c r="G817" s="4" t="inlineStr">
        <is>
          <t>A</t>
        </is>
      </c>
      <c r="H817" s="11" t="n">
        <v>1320</v>
      </c>
      <c r="I817" s="4" t="n">
        <v>253.75</v>
      </c>
      <c r="J817" s="13">
        <f>IF(I817&gt;0,H817/I817,"")</f>
        <v/>
      </c>
      <c r="K817" s="4">
        <f>IF(I817&lt;=0,"NO DEMAND",IF(H817=0,"STOCKOUT",IF(J817&lt;Config!$B$5,"CRITICAL",IF(J817&lt;Config!$B$6,"LOW",IF(J817&gt;Config!$B$7,"EXCESS","HEALTHY")))))</f>
        <v/>
      </c>
      <c r="L817" s="11" t="n">
        <v>277</v>
      </c>
      <c r="M817" s="11" t="n">
        <v>362</v>
      </c>
      <c r="N817" s="11">
        <f>H817*L817</f>
        <v/>
      </c>
      <c r="O817" s="11">
        <f>IF(I817&gt;0,I817*(M817-L817),0)</f>
        <v/>
      </c>
      <c r="P817" s="11" t="n">
        <v>0</v>
      </c>
    </row>
    <row r="818">
      <c r="A818" s="4" t="inlineStr">
        <is>
          <t>WH07</t>
        </is>
      </c>
      <c r="B818" s="4" t="inlineStr">
        <is>
          <t>Bengaluru DC</t>
        </is>
      </c>
      <c r="C818" s="4" t="inlineStr">
        <is>
          <t>South</t>
        </is>
      </c>
      <c r="D818" s="4" t="inlineStr">
        <is>
          <t>SKU094</t>
        </is>
      </c>
      <c r="E818" s="4" t="inlineStr">
        <is>
          <t>Cough Syrup 100ml</t>
        </is>
      </c>
      <c r="F818" s="4" t="inlineStr">
        <is>
          <t>OTC Pharma &amp; Wellness</t>
        </is>
      </c>
      <c r="G818" s="4" t="inlineStr">
        <is>
          <t>B</t>
        </is>
      </c>
      <c r="H818" s="11" t="n">
        <v>1297</v>
      </c>
      <c r="I818" s="4" t="n">
        <v>228</v>
      </c>
      <c r="J818" s="13">
        <f>IF(I818&gt;0,H818/I818,"")</f>
        <v/>
      </c>
      <c r="K818" s="4">
        <f>IF(I818&lt;=0,"NO DEMAND",IF(H818=0,"STOCKOUT",IF(J818&lt;Config!$B$5,"CRITICAL",IF(J818&lt;Config!$B$6,"LOW",IF(J818&gt;Config!$B$7,"EXCESS","HEALTHY")))))</f>
        <v/>
      </c>
      <c r="L818" s="11" t="n">
        <v>190</v>
      </c>
      <c r="M818" s="11" t="n">
        <v>254</v>
      </c>
      <c r="N818" s="11">
        <f>H818*L818</f>
        <v/>
      </c>
      <c r="O818" s="11">
        <f>IF(I818&gt;0,I818*(M818-L818),0)</f>
        <v/>
      </c>
      <c r="P818" s="11" t="n">
        <v>0</v>
      </c>
    </row>
    <row r="819">
      <c r="A819" s="4" t="inlineStr">
        <is>
          <t>WH07</t>
        </is>
      </c>
      <c r="B819" s="4" t="inlineStr">
        <is>
          <t>Bengaluru DC</t>
        </is>
      </c>
      <c r="C819" s="4" t="inlineStr">
        <is>
          <t>South</t>
        </is>
      </c>
      <c r="D819" s="4" t="inlineStr">
        <is>
          <t>SKU095</t>
        </is>
      </c>
      <c r="E819" s="4" t="inlineStr">
        <is>
          <t>Multivitamin 30s</t>
        </is>
      </c>
      <c r="F819" s="4" t="inlineStr">
        <is>
          <t>OTC Pharma &amp; Wellness</t>
        </is>
      </c>
      <c r="G819" s="4" t="inlineStr">
        <is>
          <t>B</t>
        </is>
      </c>
      <c r="H819" s="11" t="n">
        <v>504</v>
      </c>
      <c r="I819" s="4" t="n">
        <v>108.75</v>
      </c>
      <c r="J819" s="13">
        <f>IF(I819&gt;0,H819/I819,"")</f>
        <v/>
      </c>
      <c r="K819" s="4">
        <f>IF(I819&lt;=0,"NO DEMAND",IF(H819=0,"STOCKOUT",IF(J819&lt;Config!$B$5,"CRITICAL",IF(J819&lt;Config!$B$6,"LOW",IF(J819&gt;Config!$B$7,"EXCESS","HEALTHY")))))</f>
        <v/>
      </c>
      <c r="L819" s="11" t="n">
        <v>178</v>
      </c>
      <c r="M819" s="11" t="n">
        <v>237</v>
      </c>
      <c r="N819" s="11">
        <f>H819*L819</f>
        <v/>
      </c>
      <c r="O819" s="11">
        <f>IF(I819&gt;0,I819*(M819-L819),0)</f>
        <v/>
      </c>
      <c r="P819" s="11" t="n">
        <v>0</v>
      </c>
    </row>
    <row r="820">
      <c r="A820" s="4" t="inlineStr">
        <is>
          <t>WH07</t>
        </is>
      </c>
      <c r="B820" s="4" t="inlineStr">
        <is>
          <t>Bengaluru DC</t>
        </is>
      </c>
      <c r="C820" s="4" t="inlineStr">
        <is>
          <t>South</t>
        </is>
      </c>
      <c r="D820" s="4" t="inlineStr">
        <is>
          <t>SKU096</t>
        </is>
      </c>
      <c r="E820" s="4" t="inlineStr">
        <is>
          <t>Antiseptic Liquid 250ml</t>
        </is>
      </c>
      <c r="F820" s="4" t="inlineStr">
        <is>
          <t>OTC Pharma &amp; Wellness</t>
        </is>
      </c>
      <c r="G820" s="4" t="inlineStr">
        <is>
          <t>C</t>
        </is>
      </c>
      <c r="H820" s="11" t="n">
        <v>174</v>
      </c>
      <c r="I820" s="4" t="n">
        <v>103.75</v>
      </c>
      <c r="J820" s="13">
        <f>IF(I820&gt;0,H820/I820,"")</f>
        <v/>
      </c>
      <c r="K820" s="4">
        <f>IF(I820&lt;=0,"NO DEMAND",IF(H820=0,"STOCKOUT",IF(J820&lt;Config!$B$5,"CRITICAL",IF(J820&lt;Config!$B$6,"LOW",IF(J820&gt;Config!$B$7,"EXCESS","HEALTHY")))))</f>
        <v/>
      </c>
      <c r="L820" s="11" t="n">
        <v>88</v>
      </c>
      <c r="M820" s="11" t="n">
        <v>112</v>
      </c>
      <c r="N820" s="11">
        <f>H820*L820</f>
        <v/>
      </c>
      <c r="O820" s="11">
        <f>IF(I820&gt;0,I820*(M820-L820),0)</f>
        <v/>
      </c>
      <c r="P820" s="11" t="n">
        <v>492</v>
      </c>
    </row>
    <row r="821">
      <c r="A821" s="4" t="inlineStr">
        <is>
          <t>WH07</t>
        </is>
      </c>
      <c r="B821" s="4" t="inlineStr">
        <is>
          <t>Bengaluru DC</t>
        </is>
      </c>
      <c r="C821" s="4" t="inlineStr">
        <is>
          <t>South</t>
        </is>
      </c>
      <c r="D821" s="4" t="inlineStr">
        <is>
          <t>SKU097</t>
        </is>
      </c>
      <c r="E821" s="4" t="inlineStr">
        <is>
          <t>Pain Balm 50g</t>
        </is>
      </c>
      <c r="F821" s="4" t="inlineStr">
        <is>
          <t>OTC Pharma &amp; Wellness</t>
        </is>
      </c>
      <c r="G821" s="4" t="inlineStr">
        <is>
          <t>C</t>
        </is>
      </c>
      <c r="H821" s="11" t="n">
        <v>785</v>
      </c>
      <c r="I821" s="4" t="n">
        <v>130.75</v>
      </c>
      <c r="J821" s="13">
        <f>IF(I821&gt;0,H821/I821,"")</f>
        <v/>
      </c>
      <c r="K821" s="4">
        <f>IF(I821&lt;=0,"NO DEMAND",IF(H821=0,"STOCKOUT",IF(J821&lt;Config!$B$5,"CRITICAL",IF(J821&lt;Config!$B$6,"LOW",IF(J821&gt;Config!$B$7,"EXCESS","HEALTHY")))))</f>
        <v/>
      </c>
      <c r="L821" s="11" t="n">
        <v>68</v>
      </c>
      <c r="M821" s="11" t="n">
        <v>91</v>
      </c>
      <c r="N821" s="11">
        <f>H821*L821</f>
        <v/>
      </c>
      <c r="O821" s="11">
        <f>IF(I821&gt;0,I821*(M821-L821),0)</f>
        <v/>
      </c>
      <c r="P821" s="11" t="n">
        <v>0</v>
      </c>
    </row>
    <row r="822">
      <c r="A822" s="4" t="inlineStr">
        <is>
          <t>WH07</t>
        </is>
      </c>
      <c r="B822" s="4" t="inlineStr">
        <is>
          <t>Bengaluru DC</t>
        </is>
      </c>
      <c r="C822" s="4" t="inlineStr">
        <is>
          <t>South</t>
        </is>
      </c>
      <c r="D822" s="4" t="inlineStr">
        <is>
          <t>SKU098</t>
        </is>
      </c>
      <c r="E822" s="4" t="inlineStr">
        <is>
          <t>Bandage Pack</t>
        </is>
      </c>
      <c r="F822" s="4" t="inlineStr">
        <is>
          <t>OTC Pharma &amp; Wellness</t>
        </is>
      </c>
      <c r="G822" s="4" t="inlineStr">
        <is>
          <t>C</t>
        </is>
      </c>
      <c r="H822" s="11" t="n">
        <v>890</v>
      </c>
      <c r="I822" s="4" t="n">
        <v>235</v>
      </c>
      <c r="J822" s="13">
        <f>IF(I822&gt;0,H822/I822,"")</f>
        <v/>
      </c>
      <c r="K822" s="4">
        <f>IF(I822&lt;=0,"NO DEMAND",IF(H822=0,"STOCKOUT",IF(J822&lt;Config!$B$5,"CRITICAL",IF(J822&lt;Config!$B$6,"LOW",IF(J822&gt;Config!$B$7,"EXCESS","HEALTHY")))))</f>
        <v/>
      </c>
      <c r="L822" s="11" t="n">
        <v>49</v>
      </c>
      <c r="M822" s="11" t="n">
        <v>66</v>
      </c>
      <c r="N822" s="11">
        <f>H822*L822</f>
        <v/>
      </c>
      <c r="O822" s="11">
        <f>IF(I822&gt;0,I822*(M822-L822),0)</f>
        <v/>
      </c>
      <c r="P822" s="11" t="n">
        <v>960</v>
      </c>
    </row>
    <row r="823">
      <c r="A823" s="4" t="inlineStr">
        <is>
          <t>WH07</t>
        </is>
      </c>
      <c r="B823" s="4" t="inlineStr">
        <is>
          <t>Bengaluru DC</t>
        </is>
      </c>
      <c r="C823" s="4" t="inlineStr">
        <is>
          <t>South</t>
        </is>
      </c>
      <c r="D823" s="4" t="inlineStr">
        <is>
          <t>SKU099</t>
        </is>
      </c>
      <c r="E823" s="4" t="inlineStr">
        <is>
          <t>Digital Thermometer</t>
        </is>
      </c>
      <c r="F823" s="4" t="inlineStr">
        <is>
          <t>OTC Pharma &amp; Wellness</t>
        </is>
      </c>
      <c r="G823" s="4" t="inlineStr">
        <is>
          <t>B</t>
        </is>
      </c>
      <c r="H823" s="11" t="n">
        <v>2151</v>
      </c>
      <c r="I823" s="4" t="n">
        <v>504.25</v>
      </c>
      <c r="J823" s="13">
        <f>IF(I823&gt;0,H823/I823,"")</f>
        <v/>
      </c>
      <c r="K823" s="4">
        <f>IF(I823&lt;=0,"NO DEMAND",IF(H823=0,"STOCKOUT",IF(J823&lt;Config!$B$5,"CRITICAL",IF(J823&lt;Config!$B$6,"LOW",IF(J823&gt;Config!$B$7,"EXCESS","HEALTHY")))))</f>
        <v/>
      </c>
      <c r="L823" s="11" t="n">
        <v>88</v>
      </c>
      <c r="M823" s="11" t="n">
        <v>112</v>
      </c>
      <c r="N823" s="11">
        <f>H823*L823</f>
        <v/>
      </c>
      <c r="O823" s="11">
        <f>IF(I823&gt;0,I823*(M823-L823),0)</f>
        <v/>
      </c>
      <c r="P823" s="11" t="n">
        <v>1848</v>
      </c>
    </row>
    <row r="824">
      <c r="A824" s="4" t="inlineStr">
        <is>
          <t>WH07</t>
        </is>
      </c>
      <c r="B824" s="4" t="inlineStr">
        <is>
          <t>Bengaluru DC</t>
        </is>
      </c>
      <c r="C824" s="4" t="inlineStr">
        <is>
          <t>South</t>
        </is>
      </c>
      <c r="D824" s="4" t="inlineStr">
        <is>
          <t>SKU100</t>
        </is>
      </c>
      <c r="E824" s="4" t="inlineStr">
        <is>
          <t>Glucose Powder 500g</t>
        </is>
      </c>
      <c r="F824" s="4" t="inlineStr">
        <is>
          <t>OTC Pharma &amp; Wellness</t>
        </is>
      </c>
      <c r="G824" s="4" t="inlineStr">
        <is>
          <t>C</t>
        </is>
      </c>
      <c r="H824" s="11" t="n">
        <v>454</v>
      </c>
      <c r="I824" s="4" t="n">
        <v>127.75</v>
      </c>
      <c r="J824" s="13">
        <f>IF(I824&gt;0,H824/I824,"")</f>
        <v/>
      </c>
      <c r="K824" s="4">
        <f>IF(I824&lt;=0,"NO DEMAND",IF(H824=0,"STOCKOUT",IF(J824&lt;Config!$B$5,"CRITICAL",IF(J824&lt;Config!$B$6,"LOW",IF(J824&gt;Config!$B$7,"EXCESS","HEALTHY")))))</f>
        <v/>
      </c>
      <c r="L824" s="11" t="n">
        <v>32</v>
      </c>
      <c r="M824" s="11" t="n">
        <v>42</v>
      </c>
      <c r="N824" s="11">
        <f>H824*L824</f>
        <v/>
      </c>
      <c r="O824" s="11">
        <f>IF(I824&gt;0,I824*(M824-L824),0)</f>
        <v/>
      </c>
      <c r="P824" s="11" t="n">
        <v>0</v>
      </c>
    </row>
    <row r="825">
      <c r="A825" s="4" t="inlineStr">
        <is>
          <t>WH07</t>
        </is>
      </c>
      <c r="B825" s="4" t="inlineStr">
        <is>
          <t>Bengaluru DC</t>
        </is>
      </c>
      <c r="C825" s="4" t="inlineStr">
        <is>
          <t>South</t>
        </is>
      </c>
      <c r="D825" s="4" t="inlineStr">
        <is>
          <t>SKU101</t>
        </is>
      </c>
      <c r="E825" s="4" t="inlineStr">
        <is>
          <t>Vitamin C 30s</t>
        </is>
      </c>
      <c r="F825" s="4" t="inlineStr">
        <is>
          <t>OTC Pharma &amp; Wellness</t>
        </is>
      </c>
      <c r="G825" s="4" t="inlineStr">
        <is>
          <t>B</t>
        </is>
      </c>
      <c r="H825" s="11" t="n">
        <v>1285</v>
      </c>
      <c r="I825" s="4" t="n">
        <v>291.75</v>
      </c>
      <c r="J825" s="13">
        <f>IF(I825&gt;0,H825/I825,"")</f>
        <v/>
      </c>
      <c r="K825" s="4">
        <f>IF(I825&lt;=0,"NO DEMAND",IF(H825=0,"STOCKOUT",IF(J825&lt;Config!$B$5,"CRITICAL",IF(J825&lt;Config!$B$6,"LOW",IF(J825&gt;Config!$B$7,"EXCESS","HEALTHY")))))</f>
        <v/>
      </c>
      <c r="L825" s="11" t="n">
        <v>176</v>
      </c>
      <c r="M825" s="11" t="n">
        <v>237</v>
      </c>
      <c r="N825" s="11">
        <f>H825*L825</f>
        <v/>
      </c>
      <c r="O825" s="11">
        <f>IF(I825&gt;0,I825*(M825-L825),0)</f>
        <v/>
      </c>
      <c r="P825" s="11" t="n">
        <v>0</v>
      </c>
    </row>
    <row r="826">
      <c r="A826" s="4" t="inlineStr">
        <is>
          <t>WH07</t>
        </is>
      </c>
      <c r="B826" s="4" t="inlineStr">
        <is>
          <t>Bengaluru DC</t>
        </is>
      </c>
      <c r="C826" s="4" t="inlineStr">
        <is>
          <t>South</t>
        </is>
      </c>
      <c r="D826" s="4" t="inlineStr">
        <is>
          <t>SKU102</t>
        </is>
      </c>
      <c r="E826" s="4" t="inlineStr">
        <is>
          <t>Eye Drops 10ml</t>
        </is>
      </c>
      <c r="F826" s="4" t="inlineStr">
        <is>
          <t>OTC Pharma &amp; Wellness</t>
        </is>
      </c>
      <c r="G826" s="4" t="inlineStr">
        <is>
          <t>C</t>
        </is>
      </c>
      <c r="H826" s="11" t="n">
        <v>631</v>
      </c>
      <c r="I826" s="4" t="n">
        <v>357.5</v>
      </c>
      <c r="J826" s="13">
        <f>IF(I826&gt;0,H826/I826,"")</f>
        <v/>
      </c>
      <c r="K826" s="4">
        <f>IF(I826&lt;=0,"NO DEMAND",IF(H826=0,"STOCKOUT",IF(J826&lt;Config!$B$5,"CRITICAL",IF(J826&lt;Config!$B$6,"LOW",IF(J826&gt;Config!$B$7,"EXCESS","HEALTHY")))))</f>
        <v/>
      </c>
      <c r="L826" s="11" t="n">
        <v>72</v>
      </c>
      <c r="M826" s="11" t="n">
        <v>92</v>
      </c>
      <c r="N826" s="11">
        <f>H826*L826</f>
        <v/>
      </c>
      <c r="O826" s="11">
        <f>IF(I826&gt;0,I826*(M826-L826),0)</f>
        <v/>
      </c>
      <c r="P826" s="11" t="n">
        <v>1416</v>
      </c>
    </row>
    <row r="827">
      <c r="A827" s="4" t="inlineStr">
        <is>
          <t>WH07</t>
        </is>
      </c>
      <c r="B827" s="4" t="inlineStr">
        <is>
          <t>Bengaluru DC</t>
        </is>
      </c>
      <c r="C827" s="4" t="inlineStr">
        <is>
          <t>South</t>
        </is>
      </c>
      <c r="D827" s="4" t="inlineStr">
        <is>
          <t>SKU103</t>
        </is>
      </c>
      <c r="E827" s="4" t="inlineStr">
        <is>
          <t>Zinc Tablets 20s</t>
        </is>
      </c>
      <c r="F827" s="4" t="inlineStr">
        <is>
          <t>OTC Pharma &amp; Wellness</t>
        </is>
      </c>
      <c r="G827" s="4" t="inlineStr">
        <is>
          <t>C</t>
        </is>
      </c>
      <c r="H827" s="11" t="n">
        <v>685</v>
      </c>
      <c r="I827" s="4" t="n">
        <v>177.75</v>
      </c>
      <c r="J827" s="13">
        <f>IF(I827&gt;0,H827/I827,"")</f>
        <v/>
      </c>
      <c r="K827" s="4">
        <f>IF(I827&lt;=0,"NO DEMAND",IF(H827=0,"STOCKOUT",IF(J827&lt;Config!$B$5,"CRITICAL",IF(J827&lt;Config!$B$6,"LOW",IF(J827&gt;Config!$B$7,"EXCESS","HEALTHY")))))</f>
        <v/>
      </c>
      <c r="L827" s="11" t="n">
        <v>169</v>
      </c>
      <c r="M827" s="11" t="n">
        <v>216</v>
      </c>
      <c r="N827" s="11">
        <f>H827*L827</f>
        <v/>
      </c>
      <c r="O827" s="11">
        <f>IF(I827&gt;0,I827*(M827-L827),0)</f>
        <v/>
      </c>
      <c r="P827" s="11" t="n">
        <v>0</v>
      </c>
    </row>
    <row r="828">
      <c r="A828" s="4" t="inlineStr">
        <is>
          <t>WH07</t>
        </is>
      </c>
      <c r="B828" s="4" t="inlineStr">
        <is>
          <t>Bengaluru DC</t>
        </is>
      </c>
      <c r="C828" s="4" t="inlineStr">
        <is>
          <t>South</t>
        </is>
      </c>
      <c r="D828" s="4" t="inlineStr">
        <is>
          <t>SKU104</t>
        </is>
      </c>
      <c r="E828" s="4" t="inlineStr">
        <is>
          <t>Hand Sanitizer 500ml</t>
        </is>
      </c>
      <c r="F828" s="4" t="inlineStr">
        <is>
          <t>OTC Pharma &amp; Wellness</t>
        </is>
      </c>
      <c r="G828" s="4" t="inlineStr">
        <is>
          <t>C</t>
        </is>
      </c>
      <c r="H828" s="11" t="n">
        <v>314</v>
      </c>
      <c r="I828" s="4" t="n">
        <v>324.25</v>
      </c>
      <c r="J828" s="13">
        <f>IF(I828&gt;0,H828/I828,"")</f>
        <v/>
      </c>
      <c r="K828" s="4">
        <f>IF(I828&lt;=0,"NO DEMAND",IF(H828=0,"STOCKOUT",IF(J828&lt;Config!$B$5,"CRITICAL",IF(J828&lt;Config!$B$6,"LOW",IF(J828&gt;Config!$B$7,"EXCESS","HEALTHY")))))</f>
        <v/>
      </c>
      <c r="L828" s="11" t="n">
        <v>37</v>
      </c>
      <c r="M828" s="11" t="n">
        <v>48</v>
      </c>
      <c r="N828" s="11">
        <f>H828*L828</f>
        <v/>
      </c>
      <c r="O828" s="11">
        <f>IF(I828&gt;0,I828*(M828-L828),0)</f>
        <v/>
      </c>
      <c r="P828" s="11" t="n">
        <v>1584</v>
      </c>
    </row>
    <row r="829">
      <c r="A829" s="4" t="inlineStr">
        <is>
          <t>WH07</t>
        </is>
      </c>
      <c r="B829" s="4" t="inlineStr">
        <is>
          <t>Bengaluru DC</t>
        </is>
      </c>
      <c r="C829" s="4" t="inlineStr">
        <is>
          <t>South</t>
        </is>
      </c>
      <c r="D829" s="4" t="inlineStr">
        <is>
          <t>SKU105</t>
        </is>
      </c>
      <c r="E829" s="4" t="inlineStr">
        <is>
          <t>Face Masks 50pk</t>
        </is>
      </c>
      <c r="F829" s="4" t="inlineStr">
        <is>
          <t>OTC Pharma &amp; Wellness</t>
        </is>
      </c>
      <c r="G829" s="4" t="inlineStr">
        <is>
          <t>C</t>
        </is>
      </c>
      <c r="H829" s="11" t="n">
        <v>401</v>
      </c>
      <c r="I829" s="4" t="n">
        <v>467.25</v>
      </c>
      <c r="J829" s="13">
        <f>IF(I829&gt;0,H829/I829,"")</f>
        <v/>
      </c>
      <c r="K829" s="4">
        <f>IF(I829&lt;=0,"NO DEMAND",IF(H829=0,"STOCKOUT",IF(J829&lt;Config!$B$5,"CRITICAL",IF(J829&lt;Config!$B$6,"LOW",IF(J829&gt;Config!$B$7,"EXCESS","HEALTHY")))))</f>
        <v/>
      </c>
      <c r="L829" s="11" t="n">
        <v>92</v>
      </c>
      <c r="M829" s="11" t="n">
        <v>121</v>
      </c>
      <c r="N829" s="11">
        <f>H829*L829</f>
        <v/>
      </c>
      <c r="O829" s="11">
        <f>IF(I829&gt;0,I829*(M829-L829),0)</f>
        <v/>
      </c>
      <c r="P829" s="11" t="n">
        <v>1488</v>
      </c>
    </row>
    <row r="830">
      <c r="A830" s="4" t="inlineStr">
        <is>
          <t>WH07</t>
        </is>
      </c>
      <c r="B830" s="4" t="inlineStr">
        <is>
          <t>Bengaluru DC</t>
        </is>
      </c>
      <c r="C830" s="4" t="inlineStr">
        <is>
          <t>South</t>
        </is>
      </c>
      <c r="D830" s="4" t="inlineStr">
        <is>
          <t>SKU106</t>
        </is>
      </c>
      <c r="E830" s="4" t="inlineStr">
        <is>
          <t>Corrugated Box 12x12</t>
        </is>
      </c>
      <c r="F830" s="4" t="inlineStr">
        <is>
          <t>Packaging &amp; Supplies</t>
        </is>
      </c>
      <c r="G830" s="4" t="inlineStr">
        <is>
          <t>B</t>
        </is>
      </c>
      <c r="H830" s="11" t="n">
        <v>481</v>
      </c>
      <c r="I830" s="4" t="n">
        <v>163.5</v>
      </c>
      <c r="J830" s="13">
        <f>IF(I830&gt;0,H830/I830,"")</f>
        <v/>
      </c>
      <c r="K830" s="4">
        <f>IF(I830&lt;=0,"NO DEMAND",IF(H830=0,"STOCKOUT",IF(J830&lt;Config!$B$5,"CRITICAL",IF(J830&lt;Config!$B$6,"LOW",IF(J830&gt;Config!$B$7,"EXCESS","HEALTHY")))))</f>
        <v/>
      </c>
      <c r="L830" s="11" t="n">
        <v>400</v>
      </c>
      <c r="M830" s="11" t="n">
        <v>480</v>
      </c>
      <c r="N830" s="11">
        <f>H830*L830</f>
        <v/>
      </c>
      <c r="O830" s="11">
        <f>IF(I830&gt;0,I830*(M830-L830),0)</f>
        <v/>
      </c>
      <c r="P830" s="11" t="n">
        <v>660</v>
      </c>
    </row>
    <row r="831">
      <c r="A831" s="4" t="inlineStr">
        <is>
          <t>WH07</t>
        </is>
      </c>
      <c r="B831" s="4" t="inlineStr">
        <is>
          <t>Bengaluru DC</t>
        </is>
      </c>
      <c r="C831" s="4" t="inlineStr">
        <is>
          <t>South</t>
        </is>
      </c>
      <c r="D831" s="4" t="inlineStr">
        <is>
          <t>SKU107</t>
        </is>
      </c>
      <c r="E831" s="4" t="inlineStr">
        <is>
          <t>Stretch Film 500mm</t>
        </is>
      </c>
      <c r="F831" s="4" t="inlineStr">
        <is>
          <t>Packaging &amp; Supplies</t>
        </is>
      </c>
      <c r="G831" s="4" t="inlineStr">
        <is>
          <t>A</t>
        </is>
      </c>
      <c r="H831" s="11" t="n">
        <v>741</v>
      </c>
      <c r="I831" s="4" t="n">
        <v>269.5</v>
      </c>
      <c r="J831" s="13">
        <f>IF(I831&gt;0,H831/I831,"")</f>
        <v/>
      </c>
      <c r="K831" s="4">
        <f>IF(I831&lt;=0,"NO DEMAND",IF(H831=0,"STOCKOUT",IF(J831&lt;Config!$B$5,"CRITICAL",IF(J831&lt;Config!$B$6,"LOW",IF(J831&gt;Config!$B$7,"EXCESS","HEALTHY")))))</f>
        <v/>
      </c>
      <c r="L831" s="11" t="n">
        <v>324</v>
      </c>
      <c r="M831" s="11" t="n">
        <v>383</v>
      </c>
      <c r="N831" s="11">
        <f>H831*L831</f>
        <v/>
      </c>
      <c r="O831" s="11">
        <f>IF(I831&gt;0,I831*(M831-L831),0)</f>
        <v/>
      </c>
      <c r="P831" s="11" t="n">
        <v>0</v>
      </c>
    </row>
    <row r="832">
      <c r="A832" s="4" t="inlineStr">
        <is>
          <t>WH07</t>
        </is>
      </c>
      <c r="B832" s="4" t="inlineStr">
        <is>
          <t>Bengaluru DC</t>
        </is>
      </c>
      <c r="C832" s="4" t="inlineStr">
        <is>
          <t>South</t>
        </is>
      </c>
      <c r="D832" s="4" t="inlineStr">
        <is>
          <t>SKU108</t>
        </is>
      </c>
      <c r="E832" s="4" t="inlineStr">
        <is>
          <t>BOPP Tape 48mm</t>
        </is>
      </c>
      <c r="F832" s="4" t="inlineStr">
        <is>
          <t>Packaging &amp; Supplies</t>
        </is>
      </c>
      <c r="G832" s="4" t="inlineStr">
        <is>
          <t>A</t>
        </is>
      </c>
      <c r="H832" s="11" t="n">
        <v>533</v>
      </c>
      <c r="I832" s="4" t="n">
        <v>158.25</v>
      </c>
      <c r="J832" s="13">
        <f>IF(I832&gt;0,H832/I832,"")</f>
        <v/>
      </c>
      <c r="K832" s="4">
        <f>IF(I832&lt;=0,"NO DEMAND",IF(H832=0,"STOCKOUT",IF(J832&lt;Config!$B$5,"CRITICAL",IF(J832&lt;Config!$B$6,"LOW",IF(J832&gt;Config!$B$7,"EXCESS","HEALTHY")))))</f>
        <v/>
      </c>
      <c r="L832" s="11" t="n">
        <v>699</v>
      </c>
      <c r="M832" s="11" t="n">
        <v>822</v>
      </c>
      <c r="N832" s="11">
        <f>H832*L832</f>
        <v/>
      </c>
      <c r="O832" s="11">
        <f>IF(I832&gt;0,I832*(M832-L832),0)</f>
        <v/>
      </c>
      <c r="P832" s="11" t="n">
        <v>0</v>
      </c>
    </row>
    <row r="833">
      <c r="A833" s="4" t="inlineStr">
        <is>
          <t>WH07</t>
        </is>
      </c>
      <c r="B833" s="4" t="inlineStr">
        <is>
          <t>Bengaluru DC</t>
        </is>
      </c>
      <c r="C833" s="4" t="inlineStr">
        <is>
          <t>South</t>
        </is>
      </c>
      <c r="D833" s="4" t="inlineStr">
        <is>
          <t>SKU109</t>
        </is>
      </c>
      <c r="E833" s="4" t="inlineStr">
        <is>
          <t>Bubble Wrap Roll</t>
        </is>
      </c>
      <c r="F833" s="4" t="inlineStr">
        <is>
          <t>Packaging &amp; Supplies</t>
        </is>
      </c>
      <c r="G833" s="4" t="inlineStr">
        <is>
          <t>C</t>
        </is>
      </c>
      <c r="H833" s="11" t="n">
        <v>223</v>
      </c>
      <c r="I833" s="4" t="n">
        <v>541.25</v>
      </c>
      <c r="J833" s="13">
        <f>IF(I833&gt;0,H833/I833,"")</f>
        <v/>
      </c>
      <c r="K833" s="4">
        <f>IF(I833&lt;=0,"NO DEMAND",IF(H833=0,"STOCKOUT",IF(J833&lt;Config!$B$5,"CRITICAL",IF(J833&lt;Config!$B$6,"LOW",IF(J833&gt;Config!$B$7,"EXCESS","HEALTHY")))))</f>
        <v/>
      </c>
      <c r="L833" s="11" t="n">
        <v>68</v>
      </c>
      <c r="M833" s="11" t="n">
        <v>80</v>
      </c>
      <c r="N833" s="11">
        <f>H833*L833</f>
        <v/>
      </c>
      <c r="O833" s="11">
        <f>IF(I833&gt;0,I833*(M833-L833),0)</f>
        <v/>
      </c>
      <c r="P833" s="11" t="n">
        <v>2180</v>
      </c>
    </row>
    <row r="834">
      <c r="A834" s="4" t="inlineStr">
        <is>
          <t>WH07</t>
        </is>
      </c>
      <c r="B834" s="4" t="inlineStr">
        <is>
          <t>Bengaluru DC</t>
        </is>
      </c>
      <c r="C834" s="4" t="inlineStr">
        <is>
          <t>South</t>
        </is>
      </c>
      <c r="D834" s="4" t="inlineStr">
        <is>
          <t>SKU110</t>
        </is>
      </c>
      <c r="E834" s="4" t="inlineStr">
        <is>
          <t>Pallet Strapping Roll</t>
        </is>
      </c>
      <c r="F834" s="4" t="inlineStr">
        <is>
          <t>Packaging &amp; Supplies</t>
        </is>
      </c>
      <c r="G834" s="4" t="inlineStr">
        <is>
          <t>C</t>
        </is>
      </c>
      <c r="H834" s="11" t="n">
        <v>1159</v>
      </c>
      <c r="I834" s="4" t="n">
        <v>329.25</v>
      </c>
      <c r="J834" s="13">
        <f>IF(I834&gt;0,H834/I834,"")</f>
        <v/>
      </c>
      <c r="K834" s="4">
        <f>IF(I834&lt;=0,"NO DEMAND",IF(H834=0,"STOCKOUT",IF(J834&lt;Config!$B$5,"CRITICAL",IF(J834&lt;Config!$B$6,"LOW",IF(J834&gt;Config!$B$7,"EXCESS","HEALTHY")))))</f>
        <v/>
      </c>
      <c r="L834" s="11" t="n">
        <v>45</v>
      </c>
      <c r="M834" s="11" t="n">
        <v>53</v>
      </c>
      <c r="N834" s="11">
        <f>H834*L834</f>
        <v/>
      </c>
      <c r="O834" s="11">
        <f>IF(I834&gt;0,I834*(M834-L834),0)</f>
        <v/>
      </c>
      <c r="P834" s="11" t="n">
        <v>0</v>
      </c>
    </row>
    <row r="835">
      <c r="A835" s="4" t="inlineStr">
        <is>
          <t>WH07</t>
        </is>
      </c>
      <c r="B835" s="4" t="inlineStr">
        <is>
          <t>Bengaluru DC</t>
        </is>
      </c>
      <c r="C835" s="4" t="inlineStr">
        <is>
          <t>South</t>
        </is>
      </c>
      <c r="D835" s="4" t="inlineStr">
        <is>
          <t>SKU111</t>
        </is>
      </c>
      <c r="E835" s="4" t="inlineStr">
        <is>
          <t>Shipping Labels 1000</t>
        </is>
      </c>
      <c r="F835" s="4" t="inlineStr">
        <is>
          <t>Packaging &amp; Supplies</t>
        </is>
      </c>
      <c r="G835" s="4" t="inlineStr">
        <is>
          <t>A</t>
        </is>
      </c>
      <c r="H835" s="11" t="n">
        <v>345</v>
      </c>
      <c r="I835" s="4" t="n">
        <v>218.75</v>
      </c>
      <c r="J835" s="13">
        <f>IF(I835&gt;0,H835/I835,"")</f>
        <v/>
      </c>
      <c r="K835" s="4">
        <f>IF(I835&lt;=0,"NO DEMAND",IF(H835=0,"STOCKOUT",IF(J835&lt;Config!$B$5,"CRITICAL",IF(J835&lt;Config!$B$6,"LOW",IF(J835&gt;Config!$B$7,"EXCESS","HEALTHY")))))</f>
        <v/>
      </c>
      <c r="L835" s="11" t="n">
        <v>617</v>
      </c>
      <c r="M835" s="11" t="n">
        <v>741</v>
      </c>
      <c r="N835" s="11">
        <f>H835*L835</f>
        <v/>
      </c>
      <c r="O835" s="11">
        <f>IF(I835&gt;0,I835*(M835-L835),0)</f>
        <v/>
      </c>
      <c r="P835" s="11" t="n">
        <v>720</v>
      </c>
    </row>
    <row r="836">
      <c r="A836" s="4" t="inlineStr">
        <is>
          <t>WH07</t>
        </is>
      </c>
      <c r="B836" s="4" t="inlineStr">
        <is>
          <t>Bengaluru DC</t>
        </is>
      </c>
      <c r="C836" s="4" t="inlineStr">
        <is>
          <t>South</t>
        </is>
      </c>
      <c r="D836" s="4" t="inlineStr">
        <is>
          <t>SKU112</t>
        </is>
      </c>
      <c r="E836" s="4" t="inlineStr">
        <is>
          <t>Poly Mailer 100pk</t>
        </is>
      </c>
      <c r="F836" s="4" t="inlineStr">
        <is>
          <t>Packaging &amp; Supplies</t>
        </is>
      </c>
      <c r="G836" s="4" t="inlineStr">
        <is>
          <t>C</t>
        </is>
      </c>
      <c r="H836" s="11" t="n">
        <v>178</v>
      </c>
      <c r="I836" s="4" t="n">
        <v>129</v>
      </c>
      <c r="J836" s="13">
        <f>IF(I836&gt;0,H836/I836,"")</f>
        <v/>
      </c>
      <c r="K836" s="4">
        <f>IF(I836&lt;=0,"NO DEMAND",IF(H836=0,"STOCKOUT",IF(J836&lt;Config!$B$5,"CRITICAL",IF(J836&lt;Config!$B$6,"LOW",IF(J836&gt;Config!$B$7,"EXCESS","HEALTHY")))))</f>
        <v/>
      </c>
      <c r="L836" s="11" t="n">
        <v>93</v>
      </c>
      <c r="M836" s="11" t="n">
        <v>113</v>
      </c>
      <c r="N836" s="11">
        <f>H836*L836</f>
        <v/>
      </c>
      <c r="O836" s="11">
        <f>IF(I836&gt;0,I836*(M836-L836),0)</f>
        <v/>
      </c>
      <c r="P836" s="11" t="n">
        <v>460</v>
      </c>
    </row>
    <row r="837">
      <c r="A837" s="4" t="inlineStr">
        <is>
          <t>WH07</t>
        </is>
      </c>
      <c r="B837" s="4" t="inlineStr">
        <is>
          <t>Bengaluru DC</t>
        </is>
      </c>
      <c r="C837" s="4" t="inlineStr">
        <is>
          <t>South</t>
        </is>
      </c>
      <c r="D837" s="4" t="inlineStr">
        <is>
          <t>SKU113</t>
        </is>
      </c>
      <c r="E837" s="4" t="inlineStr">
        <is>
          <t>Void Fill Paper</t>
        </is>
      </c>
      <c r="F837" s="4" t="inlineStr">
        <is>
          <t>Packaging &amp; Supplies</t>
        </is>
      </c>
      <c r="G837" s="4" t="inlineStr">
        <is>
          <t>C</t>
        </is>
      </c>
      <c r="H837" s="11" t="n">
        <v>0</v>
      </c>
      <c r="I837" s="4" t="n">
        <v>257.5</v>
      </c>
      <c r="J837" s="13">
        <f>IF(I837&gt;0,H837/I837,"")</f>
        <v/>
      </c>
      <c r="K837" s="4">
        <f>IF(I837&lt;=0,"NO DEMAND",IF(H837=0,"STOCKOUT",IF(J837&lt;Config!$B$5,"CRITICAL",IF(J837&lt;Config!$B$6,"LOW",IF(J837&gt;Config!$B$7,"EXCESS","HEALTHY")))))</f>
        <v/>
      </c>
      <c r="L837" s="11" t="n">
        <v>89</v>
      </c>
      <c r="M837" s="11" t="n">
        <v>108</v>
      </c>
      <c r="N837" s="11">
        <f>H837*L837</f>
        <v/>
      </c>
      <c r="O837" s="11">
        <f>IF(I837&gt;0,I837*(M837-L837),0)</f>
        <v/>
      </c>
      <c r="P837" s="11" t="n">
        <v>1340</v>
      </c>
    </row>
    <row r="838">
      <c r="A838" s="4" t="inlineStr">
        <is>
          <t>WH07</t>
        </is>
      </c>
      <c r="B838" s="4" t="inlineStr">
        <is>
          <t>Bengaluru DC</t>
        </is>
      </c>
      <c r="C838" s="4" t="inlineStr">
        <is>
          <t>South</t>
        </is>
      </c>
      <c r="D838" s="4" t="inlineStr">
        <is>
          <t>SKU114</t>
        </is>
      </c>
      <c r="E838" s="4" t="inlineStr">
        <is>
          <t>Cable Ties 100pk</t>
        </is>
      </c>
      <c r="F838" s="4" t="inlineStr">
        <is>
          <t>Packaging &amp; Supplies</t>
        </is>
      </c>
      <c r="G838" s="4" t="inlineStr">
        <is>
          <t>C</t>
        </is>
      </c>
      <c r="H838" s="11" t="n">
        <v>27</v>
      </c>
      <c r="I838" s="4" t="n">
        <v>391.25</v>
      </c>
      <c r="J838" s="13">
        <f>IF(I838&gt;0,H838/I838,"")</f>
        <v/>
      </c>
      <c r="K838" s="4">
        <f>IF(I838&lt;=0,"NO DEMAND",IF(H838=0,"STOCKOUT",IF(J838&lt;Config!$B$5,"CRITICAL",IF(J838&lt;Config!$B$6,"LOW",IF(J838&gt;Config!$B$7,"EXCESS","HEALTHY")))))</f>
        <v/>
      </c>
      <c r="L838" s="11" t="n">
        <v>66</v>
      </c>
      <c r="M838" s="11" t="n">
        <v>80</v>
      </c>
      <c r="N838" s="11">
        <f>H838*L838</f>
        <v/>
      </c>
      <c r="O838" s="11">
        <f>IF(I838&gt;0,I838*(M838-L838),0)</f>
        <v/>
      </c>
      <c r="P838" s="11" t="n">
        <v>1120</v>
      </c>
    </row>
    <row r="839">
      <c r="A839" s="4" t="inlineStr">
        <is>
          <t>WH07</t>
        </is>
      </c>
      <c r="B839" s="4" t="inlineStr">
        <is>
          <t>Bengaluru DC</t>
        </is>
      </c>
      <c r="C839" s="4" t="inlineStr">
        <is>
          <t>South</t>
        </is>
      </c>
      <c r="D839" s="4" t="inlineStr">
        <is>
          <t>SKU115</t>
        </is>
      </c>
      <c r="E839" s="4" t="inlineStr">
        <is>
          <t>Edge Protectors 50pk</t>
        </is>
      </c>
      <c r="F839" s="4" t="inlineStr">
        <is>
          <t>Packaging &amp; Supplies</t>
        </is>
      </c>
      <c r="G839" s="4" t="inlineStr">
        <is>
          <t>C</t>
        </is>
      </c>
      <c r="H839" s="11" t="n">
        <v>647</v>
      </c>
      <c r="I839" s="4" t="n">
        <v>142</v>
      </c>
      <c r="J839" s="13">
        <f>IF(I839&gt;0,H839/I839,"")</f>
        <v/>
      </c>
      <c r="K839" s="4">
        <f>IF(I839&lt;=0,"NO DEMAND",IF(H839=0,"STOCKOUT",IF(J839&lt;Config!$B$5,"CRITICAL",IF(J839&lt;Config!$B$6,"LOW",IF(J839&gt;Config!$B$7,"EXCESS","HEALTHY")))))</f>
        <v/>
      </c>
      <c r="L839" s="11" t="n">
        <v>52</v>
      </c>
      <c r="M839" s="11" t="n">
        <v>63</v>
      </c>
      <c r="N839" s="11">
        <f>H839*L839</f>
        <v/>
      </c>
      <c r="O839" s="11">
        <f>IF(I839&gt;0,I839*(M839-L839),0)</f>
        <v/>
      </c>
      <c r="P839" s="11" t="n">
        <v>0</v>
      </c>
    </row>
    <row r="840">
      <c r="A840" s="4" t="inlineStr">
        <is>
          <t>WH07</t>
        </is>
      </c>
      <c r="B840" s="4" t="inlineStr">
        <is>
          <t>Bengaluru DC</t>
        </is>
      </c>
      <c r="C840" s="4" t="inlineStr">
        <is>
          <t>South</t>
        </is>
      </c>
      <c r="D840" s="4" t="inlineStr">
        <is>
          <t>SKU116</t>
        </is>
      </c>
      <c r="E840" s="4" t="inlineStr">
        <is>
          <t>Pallet Wrap Hand</t>
        </is>
      </c>
      <c r="F840" s="4" t="inlineStr">
        <is>
          <t>Packaging &amp; Supplies</t>
        </is>
      </c>
      <c r="G840" s="4" t="inlineStr">
        <is>
          <t>C</t>
        </is>
      </c>
      <c r="H840" s="11" t="n">
        <v>376</v>
      </c>
      <c r="I840" s="4" t="n">
        <v>122.25</v>
      </c>
      <c r="J840" s="13">
        <f>IF(I840&gt;0,H840/I840,"")</f>
        <v/>
      </c>
      <c r="K840" s="4">
        <f>IF(I840&lt;=0,"NO DEMAND",IF(H840=0,"STOCKOUT",IF(J840&lt;Config!$B$5,"CRITICAL",IF(J840&lt;Config!$B$6,"LOW",IF(J840&gt;Config!$B$7,"EXCESS","HEALTHY")))))</f>
        <v/>
      </c>
      <c r="L840" s="11" t="n">
        <v>39</v>
      </c>
      <c r="M840" s="11" t="n">
        <v>47</v>
      </c>
      <c r="N840" s="11">
        <f>H840*L840</f>
        <v/>
      </c>
      <c r="O840" s="11">
        <f>IF(I840&gt;0,I840*(M840-L840),0)</f>
        <v/>
      </c>
      <c r="P840" s="11" t="n">
        <v>0</v>
      </c>
    </row>
    <row r="841">
      <c r="A841" s="4" t="inlineStr">
        <is>
          <t>WH07</t>
        </is>
      </c>
      <c r="B841" s="4" t="inlineStr">
        <is>
          <t>Bengaluru DC</t>
        </is>
      </c>
      <c r="C841" s="4" t="inlineStr">
        <is>
          <t>South</t>
        </is>
      </c>
      <c r="D841" s="4" t="inlineStr">
        <is>
          <t>SKU117</t>
        </is>
      </c>
      <c r="E841" s="4" t="inlineStr">
        <is>
          <t>Courier Bags 100pk</t>
        </is>
      </c>
      <c r="F841" s="4" t="inlineStr">
        <is>
          <t>Packaging &amp; Supplies</t>
        </is>
      </c>
      <c r="G841" s="4" t="inlineStr">
        <is>
          <t>C</t>
        </is>
      </c>
      <c r="H841" s="11" t="n">
        <v>675</v>
      </c>
      <c r="I841" s="4" t="n">
        <v>658.75</v>
      </c>
      <c r="J841" s="13">
        <f>IF(I841&gt;0,H841/I841,"")</f>
        <v/>
      </c>
      <c r="K841" s="4">
        <f>IF(I841&lt;=0,"NO DEMAND",IF(H841=0,"STOCKOUT",IF(J841&lt;Config!$B$5,"CRITICAL",IF(J841&lt;Config!$B$6,"LOW",IF(J841&gt;Config!$B$7,"EXCESS","HEALTHY")))))</f>
        <v/>
      </c>
      <c r="L841" s="11" t="n">
        <v>21</v>
      </c>
      <c r="M841" s="11" t="n">
        <v>25</v>
      </c>
      <c r="N841" s="11">
        <f>H841*L841</f>
        <v/>
      </c>
      <c r="O841" s="11">
        <f>IF(I841&gt;0,I841*(M841-L841),0)</f>
        <v/>
      </c>
      <c r="P841" s="11" t="n">
        <v>2140</v>
      </c>
    </row>
    <row r="842">
      <c r="A842" s="4" t="inlineStr">
        <is>
          <t>WH07</t>
        </is>
      </c>
      <c r="B842" s="4" t="inlineStr">
        <is>
          <t>Bengaluru DC</t>
        </is>
      </c>
      <c r="C842" s="4" t="inlineStr">
        <is>
          <t>South</t>
        </is>
      </c>
      <c r="D842" s="4" t="inlineStr">
        <is>
          <t>SKU118</t>
        </is>
      </c>
      <c r="E842" s="4" t="inlineStr">
        <is>
          <t>Thermal Paper Roll 20pk</t>
        </is>
      </c>
      <c r="F842" s="4" t="inlineStr">
        <is>
          <t>Packaging &amp; Supplies</t>
        </is>
      </c>
      <c r="G842" s="4" t="inlineStr">
        <is>
          <t>B</t>
        </is>
      </c>
      <c r="H842" s="11" t="n">
        <v>170</v>
      </c>
      <c r="I842" s="4" t="n">
        <v>376</v>
      </c>
      <c r="J842" s="13">
        <f>IF(I842&gt;0,H842/I842,"")</f>
        <v/>
      </c>
      <c r="K842" s="4">
        <f>IF(I842&lt;=0,"NO DEMAND",IF(H842=0,"STOCKOUT",IF(J842&lt;Config!$B$5,"CRITICAL",IF(J842&lt;Config!$B$6,"LOW",IF(J842&gt;Config!$B$7,"EXCESS","HEALTHY")))))</f>
        <v/>
      </c>
      <c r="L842" s="11" t="n">
        <v>181</v>
      </c>
      <c r="M842" s="11" t="n">
        <v>218</v>
      </c>
      <c r="N842" s="11">
        <f>H842*L842</f>
        <v/>
      </c>
      <c r="O842" s="11">
        <f>IF(I842&gt;0,I842*(M842-L842),0)</f>
        <v/>
      </c>
      <c r="P842" s="11" t="n">
        <v>1600</v>
      </c>
    </row>
    <row r="843">
      <c r="A843" s="4" t="inlineStr">
        <is>
          <t>WH07</t>
        </is>
      </c>
      <c r="B843" s="4" t="inlineStr">
        <is>
          <t>Bengaluru DC</t>
        </is>
      </c>
      <c r="C843" s="4" t="inlineStr">
        <is>
          <t>South</t>
        </is>
      </c>
      <c r="D843" s="4" t="inlineStr">
        <is>
          <t>SKU119</t>
        </is>
      </c>
      <c r="E843" s="4" t="inlineStr">
        <is>
          <t>Safety Gloves 12pk</t>
        </is>
      </c>
      <c r="F843" s="4" t="inlineStr">
        <is>
          <t>Packaging &amp; Supplies</t>
        </is>
      </c>
      <c r="G843" s="4" t="inlineStr">
        <is>
          <t>A</t>
        </is>
      </c>
      <c r="H843" s="11" t="n">
        <v>876</v>
      </c>
      <c r="I843" s="4" t="n">
        <v>373</v>
      </c>
      <c r="J843" s="13">
        <f>IF(I843&gt;0,H843/I843,"")</f>
        <v/>
      </c>
      <c r="K843" s="4">
        <f>IF(I843&lt;=0,"NO DEMAND",IF(H843=0,"STOCKOUT",IF(J843&lt;Config!$B$5,"CRITICAL",IF(J843&lt;Config!$B$6,"LOW",IF(J843&gt;Config!$B$7,"EXCESS","HEALTHY")))))</f>
        <v/>
      </c>
      <c r="L843" s="11" t="n">
        <v>420</v>
      </c>
      <c r="M843" s="11" t="n">
        <v>511</v>
      </c>
      <c r="N843" s="11">
        <f>H843*L843</f>
        <v/>
      </c>
      <c r="O843" s="11">
        <f>IF(I843&gt;0,I843*(M843-L843),0)</f>
        <v/>
      </c>
      <c r="P843" s="11" t="n">
        <v>1400</v>
      </c>
    </row>
    <row r="844">
      <c r="A844" s="4" t="inlineStr">
        <is>
          <t>WH07</t>
        </is>
      </c>
      <c r="B844" s="4" t="inlineStr">
        <is>
          <t>Bengaluru DC</t>
        </is>
      </c>
      <c r="C844" s="4" t="inlineStr">
        <is>
          <t>South</t>
        </is>
      </c>
      <c r="D844" s="4" t="inlineStr">
        <is>
          <t>SKU120</t>
        </is>
      </c>
      <c r="E844" s="4" t="inlineStr">
        <is>
          <t>Cutter Blades 10pk</t>
        </is>
      </c>
      <c r="F844" s="4" t="inlineStr">
        <is>
          <t>Packaging &amp; Supplies</t>
        </is>
      </c>
      <c r="G844" s="4" t="inlineStr">
        <is>
          <t>C</t>
        </is>
      </c>
      <c r="H844" s="11" t="n">
        <v>381</v>
      </c>
      <c r="I844" s="4" t="n">
        <v>428.25</v>
      </c>
      <c r="J844" s="13">
        <f>IF(I844&gt;0,H844/I844,"")</f>
        <v/>
      </c>
      <c r="K844" s="4">
        <f>IF(I844&lt;=0,"NO DEMAND",IF(H844=0,"STOCKOUT",IF(J844&lt;Config!$B$5,"CRITICAL",IF(J844&lt;Config!$B$6,"LOW",IF(J844&gt;Config!$B$7,"EXCESS","HEALTHY")))))</f>
        <v/>
      </c>
      <c r="L844" s="11" t="n">
        <v>30</v>
      </c>
      <c r="M844" s="11" t="n">
        <v>35</v>
      </c>
      <c r="N844" s="11">
        <f>H844*L844</f>
        <v/>
      </c>
      <c r="O844" s="11">
        <f>IF(I844&gt;0,I844*(M844-L844),0)</f>
        <v/>
      </c>
      <c r="P844" s="11" t="n">
        <v>1220</v>
      </c>
    </row>
    <row r="845">
      <c r="A845" s="4" t="inlineStr">
        <is>
          <t>WH08</t>
        </is>
      </c>
      <c r="B845" s="4" t="inlineStr">
        <is>
          <t>Chennai DC</t>
        </is>
      </c>
      <c r="C845" s="4" t="inlineStr">
        <is>
          <t>South</t>
        </is>
      </c>
      <c r="D845" s="4" t="inlineStr">
        <is>
          <t>SKU001</t>
        </is>
      </c>
      <c r="E845" s="4" t="inlineStr">
        <is>
          <t>Atta 5kg</t>
        </is>
      </c>
      <c r="F845" s="4" t="inlineStr">
        <is>
          <t>Packaged Staples</t>
        </is>
      </c>
      <c r="G845" s="4" t="inlineStr">
        <is>
          <t>A</t>
        </is>
      </c>
      <c r="H845" s="11" t="n">
        <v>0</v>
      </c>
      <c r="I845" s="4" t="n">
        <v>442.25</v>
      </c>
      <c r="J845" s="13">
        <f>IF(I845&gt;0,H845/I845,"")</f>
        <v/>
      </c>
      <c r="K845" s="4">
        <f>IF(I845&lt;=0,"NO DEMAND",IF(H845=0,"STOCKOUT",IF(J845&lt;Config!$B$5,"CRITICAL",IF(J845&lt;Config!$B$6,"LOW",IF(J845&gt;Config!$B$7,"EXCESS","HEALTHY")))))</f>
        <v/>
      </c>
      <c r="L845" s="11" t="n">
        <v>152</v>
      </c>
      <c r="M845" s="11" t="n">
        <v>168</v>
      </c>
      <c r="N845" s="11">
        <f>H845*L845</f>
        <v/>
      </c>
      <c r="O845" s="11">
        <f>IF(I845&gt;0,I845*(M845-L845),0)</f>
        <v/>
      </c>
      <c r="P845" s="11" t="n">
        <v>1716</v>
      </c>
    </row>
    <row r="846">
      <c r="A846" s="4" t="inlineStr">
        <is>
          <t>WH08</t>
        </is>
      </c>
      <c r="B846" s="4" t="inlineStr">
        <is>
          <t>Chennai DC</t>
        </is>
      </c>
      <c r="C846" s="4" t="inlineStr">
        <is>
          <t>South</t>
        </is>
      </c>
      <c r="D846" s="4" t="inlineStr">
        <is>
          <t>SKU002</t>
        </is>
      </c>
      <c r="E846" s="4" t="inlineStr">
        <is>
          <t>Basmati Rice 5kg</t>
        </is>
      </c>
      <c r="F846" s="4" t="inlineStr">
        <is>
          <t>Packaged Staples</t>
        </is>
      </c>
      <c r="G846" s="4" t="inlineStr">
        <is>
          <t>B</t>
        </is>
      </c>
      <c r="H846" s="11" t="n">
        <v>1230</v>
      </c>
      <c r="I846" s="4" t="n">
        <v>632.75</v>
      </c>
      <c r="J846" s="13">
        <f>IF(I846&gt;0,H846/I846,"")</f>
        <v/>
      </c>
      <c r="K846" s="4">
        <f>IF(I846&lt;=0,"NO DEMAND",IF(H846=0,"STOCKOUT",IF(J846&lt;Config!$B$5,"CRITICAL",IF(J846&lt;Config!$B$6,"LOW",IF(J846&gt;Config!$B$7,"EXCESS","HEALTHY")))))</f>
        <v/>
      </c>
      <c r="L846" s="11" t="n">
        <v>59</v>
      </c>
      <c r="M846" s="11" t="n">
        <v>66</v>
      </c>
      <c r="N846" s="11">
        <f>H846*L846</f>
        <v/>
      </c>
      <c r="O846" s="11">
        <f>IF(I846&gt;0,I846*(M846-L846),0)</f>
        <v/>
      </c>
      <c r="P846" s="11" t="n">
        <v>0</v>
      </c>
    </row>
    <row r="847">
      <c r="A847" s="4" t="inlineStr">
        <is>
          <t>WH08</t>
        </is>
      </c>
      <c r="B847" s="4" t="inlineStr">
        <is>
          <t>Chennai DC</t>
        </is>
      </c>
      <c r="C847" s="4" t="inlineStr">
        <is>
          <t>South</t>
        </is>
      </c>
      <c r="D847" s="4" t="inlineStr">
        <is>
          <t>SKU003</t>
        </is>
      </c>
      <c r="E847" s="4" t="inlineStr">
        <is>
          <t>Toor Dal 1kg</t>
        </is>
      </c>
      <c r="F847" s="4" t="inlineStr">
        <is>
          <t>Packaged Staples</t>
        </is>
      </c>
      <c r="G847" s="4" t="inlineStr">
        <is>
          <t>A</t>
        </is>
      </c>
      <c r="H847" s="11" t="n">
        <v>0</v>
      </c>
      <c r="I847" s="4" t="n">
        <v>921</v>
      </c>
      <c r="J847" s="13">
        <f>IF(I847&gt;0,H847/I847,"")</f>
        <v/>
      </c>
      <c r="K847" s="4">
        <f>IF(I847&lt;=0,"NO DEMAND",IF(H847=0,"STOCKOUT",IF(J847&lt;Config!$B$5,"CRITICAL",IF(J847&lt;Config!$B$6,"LOW",IF(J847&gt;Config!$B$7,"EXCESS","HEALTHY")))))</f>
        <v/>
      </c>
      <c r="L847" s="11" t="n">
        <v>61</v>
      </c>
      <c r="M847" s="11" t="n">
        <v>69</v>
      </c>
      <c r="N847" s="11">
        <f>H847*L847</f>
        <v/>
      </c>
      <c r="O847" s="11">
        <f>IF(I847&gt;0,I847*(M847-L847),0)</f>
        <v/>
      </c>
      <c r="P847" s="11" t="n">
        <v>2340</v>
      </c>
    </row>
    <row r="848">
      <c r="A848" s="4" t="inlineStr">
        <is>
          <t>WH08</t>
        </is>
      </c>
      <c r="B848" s="4" t="inlineStr">
        <is>
          <t>Chennai DC</t>
        </is>
      </c>
      <c r="C848" s="4" t="inlineStr">
        <is>
          <t>South</t>
        </is>
      </c>
      <c r="D848" s="4" t="inlineStr">
        <is>
          <t>SKU004</t>
        </is>
      </c>
      <c r="E848" s="4" t="inlineStr">
        <is>
          <t>Moong Dal 1kg</t>
        </is>
      </c>
      <c r="F848" s="4" t="inlineStr">
        <is>
          <t>Packaged Staples</t>
        </is>
      </c>
      <c r="G848" s="4" t="inlineStr">
        <is>
          <t>B</t>
        </is>
      </c>
      <c r="H848" s="11" t="n">
        <v>0</v>
      </c>
      <c r="I848" s="4" t="n">
        <v>895</v>
      </c>
      <c r="J848" s="13">
        <f>IF(I848&gt;0,H848/I848,"")</f>
        <v/>
      </c>
      <c r="K848" s="4">
        <f>IF(I848&lt;=0,"NO DEMAND",IF(H848=0,"STOCKOUT",IF(J848&lt;Config!$B$5,"CRITICAL",IF(J848&lt;Config!$B$6,"LOW",IF(J848&gt;Config!$B$7,"EXCESS","HEALTHY")))))</f>
        <v/>
      </c>
      <c r="L848" s="11" t="n">
        <v>80</v>
      </c>
      <c r="M848" s="11" t="n">
        <v>91</v>
      </c>
      <c r="N848" s="11">
        <f>H848*L848</f>
        <v/>
      </c>
      <c r="O848" s="11">
        <f>IF(I848&gt;0,I848*(M848-L848),0)</f>
        <v/>
      </c>
      <c r="P848" s="11" t="n">
        <v>1920</v>
      </c>
    </row>
    <row r="849">
      <c r="A849" s="4" t="inlineStr">
        <is>
          <t>WH08</t>
        </is>
      </c>
      <c r="B849" s="4" t="inlineStr">
        <is>
          <t>Chennai DC</t>
        </is>
      </c>
      <c r="C849" s="4" t="inlineStr">
        <is>
          <t>South</t>
        </is>
      </c>
      <c r="D849" s="4" t="inlineStr">
        <is>
          <t>SKU005</t>
        </is>
      </c>
      <c r="E849" s="4" t="inlineStr">
        <is>
          <t>Sunflower Oil 1L</t>
        </is>
      </c>
      <c r="F849" s="4" t="inlineStr">
        <is>
          <t>Packaged Staples</t>
        </is>
      </c>
      <c r="G849" s="4" t="inlineStr">
        <is>
          <t>A</t>
        </is>
      </c>
      <c r="H849" s="11" t="n">
        <v>948</v>
      </c>
      <c r="I849" s="4" t="n">
        <v>202.75</v>
      </c>
      <c r="J849" s="13">
        <f>IF(I849&gt;0,H849/I849,"")</f>
        <v/>
      </c>
      <c r="K849" s="4">
        <f>IF(I849&lt;=0,"NO DEMAND",IF(H849=0,"STOCKOUT",IF(J849&lt;Config!$B$5,"CRITICAL",IF(J849&lt;Config!$B$6,"LOW",IF(J849&gt;Config!$B$7,"EXCESS","HEALTHY")))))</f>
        <v/>
      </c>
      <c r="L849" s="11" t="n">
        <v>245</v>
      </c>
      <c r="M849" s="11" t="n">
        <v>273</v>
      </c>
      <c r="N849" s="11">
        <f>H849*L849</f>
        <v/>
      </c>
      <c r="O849" s="11">
        <f>IF(I849&gt;0,I849*(M849-L849),0)</f>
        <v/>
      </c>
      <c r="P849" s="11" t="n">
        <v>0</v>
      </c>
    </row>
    <row r="850">
      <c r="A850" s="4" t="inlineStr">
        <is>
          <t>WH08</t>
        </is>
      </c>
      <c r="B850" s="4" t="inlineStr">
        <is>
          <t>Chennai DC</t>
        </is>
      </c>
      <c r="C850" s="4" t="inlineStr">
        <is>
          <t>South</t>
        </is>
      </c>
      <c r="D850" s="4" t="inlineStr">
        <is>
          <t>SKU006</t>
        </is>
      </c>
      <c r="E850" s="4" t="inlineStr">
        <is>
          <t>Mustard Oil 1L</t>
        </is>
      </c>
      <c r="F850" s="4" t="inlineStr">
        <is>
          <t>Packaged Staples</t>
        </is>
      </c>
      <c r="G850" s="4" t="inlineStr">
        <is>
          <t>B</t>
        </is>
      </c>
      <c r="H850" s="11" t="n">
        <v>178</v>
      </c>
      <c r="I850" s="4" t="n">
        <v>522</v>
      </c>
      <c r="J850" s="13">
        <f>IF(I850&gt;0,H850/I850,"")</f>
        <v/>
      </c>
      <c r="K850" s="4">
        <f>IF(I850&lt;=0,"NO DEMAND",IF(H850=0,"STOCKOUT",IF(J850&lt;Config!$B$5,"CRITICAL",IF(J850&lt;Config!$B$6,"LOW",IF(J850&gt;Config!$B$7,"EXCESS","HEALTHY")))))</f>
        <v/>
      </c>
      <c r="L850" s="11" t="n">
        <v>68</v>
      </c>
      <c r="M850" s="11" t="n">
        <v>77</v>
      </c>
      <c r="N850" s="11">
        <f>H850*L850</f>
        <v/>
      </c>
      <c r="O850" s="11">
        <f>IF(I850&gt;0,I850*(M850-L850),0)</f>
        <v/>
      </c>
      <c r="P850" s="11" t="n">
        <v>1392</v>
      </c>
    </row>
    <row r="851">
      <c r="A851" s="4" t="inlineStr">
        <is>
          <t>WH08</t>
        </is>
      </c>
      <c r="B851" s="4" t="inlineStr">
        <is>
          <t>Chennai DC</t>
        </is>
      </c>
      <c r="C851" s="4" t="inlineStr">
        <is>
          <t>South</t>
        </is>
      </c>
      <c r="D851" s="4" t="inlineStr">
        <is>
          <t>SKU007</t>
        </is>
      </c>
      <c r="E851" s="4" t="inlineStr">
        <is>
          <t>Sugar 1kg</t>
        </is>
      </c>
      <c r="F851" s="4" t="inlineStr">
        <is>
          <t>Packaged Staples</t>
        </is>
      </c>
      <c r="G851" s="4" t="inlineStr">
        <is>
          <t>A</t>
        </is>
      </c>
      <c r="H851" s="11" t="n">
        <v>288</v>
      </c>
      <c r="I851" s="4" t="n">
        <v>204.25</v>
      </c>
      <c r="J851" s="13">
        <f>IF(I851&gt;0,H851/I851,"")</f>
        <v/>
      </c>
      <c r="K851" s="4">
        <f>IF(I851&lt;=0,"NO DEMAND",IF(H851=0,"STOCKOUT",IF(J851&lt;Config!$B$5,"CRITICAL",IF(J851&lt;Config!$B$6,"LOW",IF(J851&gt;Config!$B$7,"EXCESS","HEALTHY")))))</f>
        <v/>
      </c>
      <c r="L851" s="11" t="n">
        <v>129</v>
      </c>
      <c r="M851" s="11" t="n">
        <v>143</v>
      </c>
      <c r="N851" s="11">
        <f>H851*L851</f>
        <v/>
      </c>
      <c r="O851" s="11">
        <f>IF(I851&gt;0,I851*(M851-L851),0)</f>
        <v/>
      </c>
      <c r="P851" s="11" t="n">
        <v>0</v>
      </c>
    </row>
    <row r="852">
      <c r="A852" s="4" t="inlineStr">
        <is>
          <t>WH08</t>
        </is>
      </c>
      <c r="B852" s="4" t="inlineStr">
        <is>
          <t>Chennai DC</t>
        </is>
      </c>
      <c r="C852" s="4" t="inlineStr">
        <is>
          <t>South</t>
        </is>
      </c>
      <c r="D852" s="4" t="inlineStr">
        <is>
          <t>SKU008</t>
        </is>
      </c>
      <c r="E852" s="4" t="inlineStr">
        <is>
          <t>Iodized Salt 1kg</t>
        </is>
      </c>
      <c r="F852" s="4" t="inlineStr">
        <is>
          <t>Packaged Staples</t>
        </is>
      </c>
      <c r="G852" s="4" t="inlineStr">
        <is>
          <t>A</t>
        </is>
      </c>
      <c r="H852" s="11" t="n">
        <v>1501</v>
      </c>
      <c r="I852" s="4" t="n">
        <v>680.75</v>
      </c>
      <c r="J852" s="13">
        <f>IF(I852&gt;0,H852/I852,"")</f>
        <v/>
      </c>
      <c r="K852" s="4">
        <f>IF(I852&lt;=0,"NO DEMAND",IF(H852=0,"STOCKOUT",IF(J852&lt;Config!$B$5,"CRITICAL",IF(J852&lt;Config!$B$6,"LOW",IF(J852&gt;Config!$B$7,"EXCESS","HEALTHY")))))</f>
        <v/>
      </c>
      <c r="L852" s="11" t="n">
        <v>140</v>
      </c>
      <c r="M852" s="11" t="n">
        <v>156</v>
      </c>
      <c r="N852" s="11">
        <f>H852*L852</f>
        <v/>
      </c>
      <c r="O852" s="11">
        <f>IF(I852&gt;0,I852*(M852-L852),0)</f>
        <v/>
      </c>
      <c r="P852" s="11" t="n">
        <v>0</v>
      </c>
    </row>
    <row r="853">
      <c r="A853" s="4" t="inlineStr">
        <is>
          <t>WH08</t>
        </is>
      </c>
      <c r="B853" s="4" t="inlineStr">
        <is>
          <t>Chennai DC</t>
        </is>
      </c>
      <c r="C853" s="4" t="inlineStr">
        <is>
          <t>South</t>
        </is>
      </c>
      <c r="D853" s="4" t="inlineStr">
        <is>
          <t>SKU009</t>
        </is>
      </c>
      <c r="E853" s="4" t="inlineStr">
        <is>
          <t>Tea Leaves 500g</t>
        </is>
      </c>
      <c r="F853" s="4" t="inlineStr">
        <is>
          <t>Packaged Staples</t>
        </is>
      </c>
      <c r="G853" s="4" t="inlineStr">
        <is>
          <t>A</t>
        </is>
      </c>
      <c r="H853" s="11" t="n">
        <v>1342</v>
      </c>
      <c r="I853" s="4" t="n">
        <v>651</v>
      </c>
      <c r="J853" s="13">
        <f>IF(I853&gt;0,H853/I853,"")</f>
        <v/>
      </c>
      <c r="K853" s="4">
        <f>IF(I853&lt;=0,"NO DEMAND",IF(H853=0,"STOCKOUT",IF(J853&lt;Config!$B$5,"CRITICAL",IF(J853&lt;Config!$B$6,"LOW",IF(J853&gt;Config!$B$7,"EXCESS","HEALTHY")))))</f>
        <v/>
      </c>
      <c r="L853" s="11" t="n">
        <v>103</v>
      </c>
      <c r="M853" s="11" t="n">
        <v>116</v>
      </c>
      <c r="N853" s="11">
        <f>H853*L853</f>
        <v/>
      </c>
      <c r="O853" s="11">
        <f>IF(I853&gt;0,I853*(M853-L853),0)</f>
        <v/>
      </c>
      <c r="P853" s="11" t="n">
        <v>0</v>
      </c>
    </row>
    <row r="854">
      <c r="A854" s="4" t="inlineStr">
        <is>
          <t>WH08</t>
        </is>
      </c>
      <c r="B854" s="4" t="inlineStr">
        <is>
          <t>Chennai DC</t>
        </is>
      </c>
      <c r="C854" s="4" t="inlineStr">
        <is>
          <t>South</t>
        </is>
      </c>
      <c r="D854" s="4" t="inlineStr">
        <is>
          <t>SKU010</t>
        </is>
      </c>
      <c r="E854" s="4" t="inlineStr">
        <is>
          <t>Poha 500g</t>
        </is>
      </c>
      <c r="F854" s="4" t="inlineStr">
        <is>
          <t>Packaged Staples</t>
        </is>
      </c>
      <c r="G854" s="4" t="inlineStr">
        <is>
          <t>B</t>
        </is>
      </c>
      <c r="H854" s="11" t="n">
        <v>2152</v>
      </c>
      <c r="I854" s="4" t="n">
        <v>1236.25</v>
      </c>
      <c r="J854" s="13">
        <f>IF(I854&gt;0,H854/I854,"")</f>
        <v/>
      </c>
      <c r="K854" s="4">
        <f>IF(I854&lt;=0,"NO DEMAND",IF(H854=0,"STOCKOUT",IF(J854&lt;Config!$B$5,"CRITICAL",IF(J854&lt;Config!$B$6,"LOW",IF(J854&gt;Config!$B$7,"EXCESS","HEALTHY")))))</f>
        <v/>
      </c>
      <c r="L854" s="11" t="n">
        <v>40</v>
      </c>
      <c r="M854" s="11" t="n">
        <v>45</v>
      </c>
      <c r="N854" s="11">
        <f>H854*L854</f>
        <v/>
      </c>
      <c r="O854" s="11">
        <f>IF(I854&gt;0,I854*(M854-L854),0)</f>
        <v/>
      </c>
      <c r="P854" s="11" t="n">
        <v>0</v>
      </c>
    </row>
    <row r="855">
      <c r="A855" s="4" t="inlineStr">
        <is>
          <t>WH08</t>
        </is>
      </c>
      <c r="B855" s="4" t="inlineStr">
        <is>
          <t>Chennai DC</t>
        </is>
      </c>
      <c r="C855" s="4" t="inlineStr">
        <is>
          <t>South</t>
        </is>
      </c>
      <c r="D855" s="4" t="inlineStr">
        <is>
          <t>SKU011</t>
        </is>
      </c>
      <c r="E855" s="4" t="inlineStr">
        <is>
          <t>Besan 1kg</t>
        </is>
      </c>
      <c r="F855" s="4" t="inlineStr">
        <is>
          <t>Packaged Staples</t>
        </is>
      </c>
      <c r="G855" s="4" t="inlineStr">
        <is>
          <t>A</t>
        </is>
      </c>
      <c r="H855" s="11" t="n">
        <v>0</v>
      </c>
      <c r="I855" s="4" t="n">
        <v>1793</v>
      </c>
      <c r="J855" s="13">
        <f>IF(I855&gt;0,H855/I855,"")</f>
        <v/>
      </c>
      <c r="K855" s="4">
        <f>IF(I855&lt;=0,"NO DEMAND",IF(H855=0,"STOCKOUT",IF(J855&lt;Config!$B$5,"CRITICAL",IF(J855&lt;Config!$B$6,"LOW",IF(J855&gt;Config!$B$7,"EXCESS","HEALTHY")))))</f>
        <v/>
      </c>
      <c r="L855" s="11" t="n">
        <v>110</v>
      </c>
      <c r="M855" s="11" t="n">
        <v>122</v>
      </c>
      <c r="N855" s="11">
        <f>H855*L855</f>
        <v/>
      </c>
      <c r="O855" s="11">
        <f>IF(I855&gt;0,I855*(M855-L855),0)</f>
        <v/>
      </c>
      <c r="P855" s="11" t="n">
        <v>3708</v>
      </c>
    </row>
    <row r="856">
      <c r="A856" s="4" t="inlineStr">
        <is>
          <t>WH08</t>
        </is>
      </c>
      <c r="B856" s="4" t="inlineStr">
        <is>
          <t>Chennai DC</t>
        </is>
      </c>
      <c r="C856" s="4" t="inlineStr">
        <is>
          <t>South</t>
        </is>
      </c>
      <c r="D856" s="4" t="inlineStr">
        <is>
          <t>SKU012</t>
        </is>
      </c>
      <c r="E856" s="4" t="inlineStr">
        <is>
          <t>Rajma 1kg</t>
        </is>
      </c>
      <c r="F856" s="4" t="inlineStr">
        <is>
          <t>Packaged Staples</t>
        </is>
      </c>
      <c r="G856" s="4" t="inlineStr">
        <is>
          <t>B</t>
        </is>
      </c>
      <c r="H856" s="11" t="n">
        <v>817</v>
      </c>
      <c r="I856" s="4" t="n">
        <v>1295.5</v>
      </c>
      <c r="J856" s="13">
        <f>IF(I856&gt;0,H856/I856,"")</f>
        <v/>
      </c>
      <c r="K856" s="4">
        <f>IF(I856&lt;=0,"NO DEMAND",IF(H856=0,"STOCKOUT",IF(J856&lt;Config!$B$5,"CRITICAL",IF(J856&lt;Config!$B$6,"LOW",IF(J856&gt;Config!$B$7,"EXCESS","HEALTHY")))))</f>
        <v/>
      </c>
      <c r="L856" s="11" t="n">
        <v>45</v>
      </c>
      <c r="M856" s="11" t="n">
        <v>50</v>
      </c>
      <c r="N856" s="11">
        <f>H856*L856</f>
        <v/>
      </c>
      <c r="O856" s="11">
        <f>IF(I856&gt;0,I856*(M856-L856),0)</f>
        <v/>
      </c>
      <c r="P856" s="11" t="n">
        <v>2688</v>
      </c>
    </row>
    <row r="857">
      <c r="A857" s="4" t="inlineStr">
        <is>
          <t>WH08</t>
        </is>
      </c>
      <c r="B857" s="4" t="inlineStr">
        <is>
          <t>Chennai DC</t>
        </is>
      </c>
      <c r="C857" s="4" t="inlineStr">
        <is>
          <t>South</t>
        </is>
      </c>
      <c r="D857" s="4" t="inlineStr">
        <is>
          <t>SKU013</t>
        </is>
      </c>
      <c r="E857" s="4" t="inlineStr">
        <is>
          <t>Jaggery 1kg</t>
        </is>
      </c>
      <c r="F857" s="4" t="inlineStr">
        <is>
          <t>Packaged Staples</t>
        </is>
      </c>
      <c r="G857" s="4" t="inlineStr">
        <is>
          <t>A</t>
        </is>
      </c>
      <c r="H857" s="11" t="n">
        <v>70</v>
      </c>
      <c r="I857" s="4" t="n">
        <v>1000</v>
      </c>
      <c r="J857" s="13">
        <f>IF(I857&gt;0,H857/I857,"")</f>
        <v/>
      </c>
      <c r="K857" s="4">
        <f>IF(I857&lt;=0,"NO DEMAND",IF(H857=0,"STOCKOUT",IF(J857&lt;Config!$B$5,"CRITICAL",IF(J857&lt;Config!$B$6,"LOW",IF(J857&gt;Config!$B$7,"EXCESS","HEALTHY")))))</f>
        <v/>
      </c>
      <c r="L857" s="11" t="n">
        <v>125</v>
      </c>
      <c r="M857" s="11" t="n">
        <v>140</v>
      </c>
      <c r="N857" s="11">
        <f>H857*L857</f>
        <v/>
      </c>
      <c r="O857" s="11">
        <f>IF(I857&gt;0,I857*(M857-L857),0)</f>
        <v/>
      </c>
      <c r="P857" s="11" t="n">
        <v>2304</v>
      </c>
    </row>
    <row r="858">
      <c r="A858" s="4" t="inlineStr">
        <is>
          <t>WH08</t>
        </is>
      </c>
      <c r="B858" s="4" t="inlineStr">
        <is>
          <t>Chennai DC</t>
        </is>
      </c>
      <c r="C858" s="4" t="inlineStr">
        <is>
          <t>South</t>
        </is>
      </c>
      <c r="D858" s="4" t="inlineStr">
        <is>
          <t>SKU014</t>
        </is>
      </c>
      <c r="E858" s="4" t="inlineStr">
        <is>
          <t>Ghee 500ml</t>
        </is>
      </c>
      <c r="F858" s="4" t="inlineStr">
        <is>
          <t>Packaged Staples</t>
        </is>
      </c>
      <c r="G858" s="4" t="inlineStr">
        <is>
          <t>A</t>
        </is>
      </c>
      <c r="H858" s="11" t="n">
        <v>154</v>
      </c>
      <c r="I858" s="4" t="n">
        <v>100</v>
      </c>
      <c r="J858" s="13">
        <f>IF(I858&gt;0,H858/I858,"")</f>
        <v/>
      </c>
      <c r="K858" s="4">
        <f>IF(I858&lt;=0,"NO DEMAND",IF(H858=0,"STOCKOUT",IF(J858&lt;Config!$B$5,"CRITICAL",IF(J858&lt;Config!$B$6,"LOW",IF(J858&gt;Config!$B$7,"EXCESS","HEALTHY")))))</f>
        <v/>
      </c>
      <c r="L858" s="11" t="n">
        <v>240</v>
      </c>
      <c r="M858" s="11" t="n">
        <v>270</v>
      </c>
      <c r="N858" s="11">
        <f>H858*L858</f>
        <v/>
      </c>
      <c r="O858" s="11">
        <f>IF(I858&gt;0,I858*(M858-L858),0)</f>
        <v/>
      </c>
      <c r="P858" s="11" t="n">
        <v>0</v>
      </c>
    </row>
    <row r="859">
      <c r="A859" s="4" t="inlineStr">
        <is>
          <t>WH08</t>
        </is>
      </c>
      <c r="B859" s="4" t="inlineStr">
        <is>
          <t>Chennai DC</t>
        </is>
      </c>
      <c r="C859" s="4" t="inlineStr">
        <is>
          <t>South</t>
        </is>
      </c>
      <c r="D859" s="4" t="inlineStr">
        <is>
          <t>SKU015</t>
        </is>
      </c>
      <c r="E859" s="4" t="inlineStr">
        <is>
          <t>Suji 1kg</t>
        </is>
      </c>
      <c r="F859" s="4" t="inlineStr">
        <is>
          <t>Packaged Staples</t>
        </is>
      </c>
      <c r="G859" s="4" t="inlineStr">
        <is>
          <t>C</t>
        </is>
      </c>
      <c r="H859" s="11" t="n">
        <v>760</v>
      </c>
      <c r="I859" s="4" t="n">
        <v>255.25</v>
      </c>
      <c r="J859" s="13">
        <f>IF(I859&gt;0,H859/I859,"")</f>
        <v/>
      </c>
      <c r="K859" s="4">
        <f>IF(I859&lt;=0,"NO DEMAND",IF(H859=0,"STOCKOUT",IF(J859&lt;Config!$B$5,"CRITICAL",IF(J859&lt;Config!$B$6,"LOW",IF(J859&gt;Config!$B$7,"EXCESS","HEALTHY")))))</f>
        <v/>
      </c>
      <c r="L859" s="11" t="n">
        <v>42</v>
      </c>
      <c r="M859" s="11" t="n">
        <v>47</v>
      </c>
      <c r="N859" s="11">
        <f>H859*L859</f>
        <v/>
      </c>
      <c r="O859" s="11">
        <f>IF(I859&gt;0,I859*(M859-L859),0)</f>
        <v/>
      </c>
      <c r="P859" s="11" t="n">
        <v>0</v>
      </c>
    </row>
    <row r="860">
      <c r="A860" s="4" t="inlineStr">
        <is>
          <t>WH08</t>
        </is>
      </c>
      <c r="B860" s="4" t="inlineStr">
        <is>
          <t>Chennai DC</t>
        </is>
      </c>
      <c r="C860" s="4" t="inlineStr">
        <is>
          <t>South</t>
        </is>
      </c>
      <c r="D860" s="4" t="inlineStr">
        <is>
          <t>SKU016</t>
        </is>
      </c>
      <c r="E860" s="4" t="inlineStr">
        <is>
          <t>Cola 750ml</t>
        </is>
      </c>
      <c r="F860" s="4" t="inlineStr">
        <is>
          <t>Beverages</t>
        </is>
      </c>
      <c r="G860" s="4" t="inlineStr">
        <is>
          <t>C</t>
        </is>
      </c>
      <c r="H860" s="11" t="n">
        <v>508</v>
      </c>
      <c r="I860" s="4" t="n">
        <v>550.75</v>
      </c>
      <c r="J860" s="13">
        <f>IF(I860&gt;0,H860/I860,"")</f>
        <v/>
      </c>
      <c r="K860" s="4">
        <f>IF(I860&lt;=0,"NO DEMAND",IF(H860=0,"STOCKOUT",IF(J860&lt;Config!$B$5,"CRITICAL",IF(J860&lt;Config!$B$6,"LOW",IF(J860&gt;Config!$B$7,"EXCESS","HEALTHY")))))</f>
        <v/>
      </c>
      <c r="L860" s="11" t="n">
        <v>41</v>
      </c>
      <c r="M860" s="11" t="n">
        <v>47</v>
      </c>
      <c r="N860" s="11">
        <f>H860*L860</f>
        <v/>
      </c>
      <c r="O860" s="11">
        <f>IF(I860&gt;0,I860*(M860-L860),0)</f>
        <v/>
      </c>
      <c r="P860" s="11" t="n">
        <v>0</v>
      </c>
    </row>
    <row r="861">
      <c r="A861" s="4" t="inlineStr">
        <is>
          <t>WH08</t>
        </is>
      </c>
      <c r="B861" s="4" t="inlineStr">
        <is>
          <t>Chennai DC</t>
        </is>
      </c>
      <c r="C861" s="4" t="inlineStr">
        <is>
          <t>South</t>
        </is>
      </c>
      <c r="D861" s="4" t="inlineStr">
        <is>
          <t>SKU017</t>
        </is>
      </c>
      <c r="E861" s="4" t="inlineStr">
        <is>
          <t>Lemon Soda 600ml</t>
        </is>
      </c>
      <c r="F861" s="4" t="inlineStr">
        <is>
          <t>Beverages</t>
        </is>
      </c>
      <c r="G861" s="4" t="inlineStr">
        <is>
          <t>B</t>
        </is>
      </c>
      <c r="H861" s="11" t="n">
        <v>4574</v>
      </c>
      <c r="I861" s="4" t="n">
        <v>1809.5</v>
      </c>
      <c r="J861" s="13">
        <f>IF(I861&gt;0,H861/I861,"")</f>
        <v/>
      </c>
      <c r="K861" s="4">
        <f>IF(I861&lt;=0,"NO DEMAND",IF(H861=0,"STOCKOUT",IF(J861&lt;Config!$B$5,"CRITICAL",IF(J861&lt;Config!$B$6,"LOW",IF(J861&gt;Config!$B$7,"EXCESS","HEALTHY")))))</f>
        <v/>
      </c>
      <c r="L861" s="11" t="n">
        <v>42</v>
      </c>
      <c r="M861" s="11" t="n">
        <v>50</v>
      </c>
      <c r="N861" s="11">
        <f>H861*L861</f>
        <v/>
      </c>
      <c r="O861" s="11">
        <f>IF(I861&gt;0,I861*(M861-L861),0)</f>
        <v/>
      </c>
      <c r="P861" s="11" t="n">
        <v>0</v>
      </c>
    </row>
    <row r="862">
      <c r="A862" s="4" t="inlineStr">
        <is>
          <t>WH08</t>
        </is>
      </c>
      <c r="B862" s="4" t="inlineStr">
        <is>
          <t>Chennai DC</t>
        </is>
      </c>
      <c r="C862" s="4" t="inlineStr">
        <is>
          <t>South</t>
        </is>
      </c>
      <c r="D862" s="4" t="inlineStr">
        <is>
          <t>SKU018</t>
        </is>
      </c>
      <c r="E862" s="4" t="inlineStr">
        <is>
          <t>Mango Drink 1L</t>
        </is>
      </c>
      <c r="F862" s="4" t="inlineStr">
        <is>
          <t>Beverages</t>
        </is>
      </c>
      <c r="G862" s="4" t="inlineStr">
        <is>
          <t>A</t>
        </is>
      </c>
      <c r="H862" s="11" t="n">
        <v>2172</v>
      </c>
      <c r="I862" s="4" t="n">
        <v>1514.5</v>
      </c>
      <c r="J862" s="13">
        <f>IF(I862&gt;0,H862/I862,"")</f>
        <v/>
      </c>
      <c r="K862" s="4">
        <f>IF(I862&lt;=0,"NO DEMAND",IF(H862=0,"STOCKOUT",IF(J862&lt;Config!$B$5,"CRITICAL",IF(J862&lt;Config!$B$6,"LOW",IF(J862&gt;Config!$B$7,"EXCESS","HEALTHY")))))</f>
        <v/>
      </c>
      <c r="L862" s="11" t="n">
        <v>101</v>
      </c>
      <c r="M862" s="11" t="n">
        <v>117</v>
      </c>
      <c r="N862" s="11">
        <f>H862*L862</f>
        <v/>
      </c>
      <c r="O862" s="11">
        <f>IF(I862&gt;0,I862*(M862-L862),0)</f>
        <v/>
      </c>
      <c r="P862" s="11" t="n">
        <v>0</v>
      </c>
    </row>
    <row r="863">
      <c r="A863" s="4" t="inlineStr">
        <is>
          <t>WH08</t>
        </is>
      </c>
      <c r="B863" s="4" t="inlineStr">
        <is>
          <t>Chennai DC</t>
        </is>
      </c>
      <c r="C863" s="4" t="inlineStr">
        <is>
          <t>South</t>
        </is>
      </c>
      <c r="D863" s="4" t="inlineStr">
        <is>
          <t>SKU019</t>
        </is>
      </c>
      <c r="E863" s="4" t="inlineStr">
        <is>
          <t>Packaged Water 1L</t>
        </is>
      </c>
      <c r="F863" s="4" t="inlineStr">
        <is>
          <t>Beverages</t>
        </is>
      </c>
      <c r="G863" s="4" t="inlineStr">
        <is>
          <t>A</t>
        </is>
      </c>
      <c r="H863" s="11" t="n">
        <v>806</v>
      </c>
      <c r="I863" s="4" t="n">
        <v>1130.5</v>
      </c>
      <c r="J863" s="13">
        <f>IF(I863&gt;0,H863/I863,"")</f>
        <v/>
      </c>
      <c r="K863" s="4">
        <f>IF(I863&lt;=0,"NO DEMAND",IF(H863=0,"STOCKOUT",IF(J863&lt;Config!$B$5,"CRITICAL",IF(J863&lt;Config!$B$6,"LOW",IF(J863&gt;Config!$B$7,"EXCESS","HEALTHY")))))</f>
        <v/>
      </c>
      <c r="L863" s="11" t="n">
        <v>57</v>
      </c>
      <c r="M863" s="11" t="n">
        <v>68</v>
      </c>
      <c r="N863" s="11">
        <f>H863*L863</f>
        <v/>
      </c>
      <c r="O863" s="11">
        <f>IF(I863&gt;0,I863*(M863-L863),0)</f>
        <v/>
      </c>
      <c r="P863" s="11" t="n">
        <v>2520</v>
      </c>
    </row>
    <row r="864">
      <c r="A864" s="4" t="inlineStr">
        <is>
          <t>WH08</t>
        </is>
      </c>
      <c r="B864" s="4" t="inlineStr">
        <is>
          <t>Chennai DC</t>
        </is>
      </c>
      <c r="C864" s="4" t="inlineStr">
        <is>
          <t>South</t>
        </is>
      </c>
      <c r="D864" s="4" t="inlineStr">
        <is>
          <t>SKU020</t>
        </is>
      </c>
      <c r="E864" s="4" t="inlineStr">
        <is>
          <t>Energy Drink 250ml</t>
        </is>
      </c>
      <c r="F864" s="4" t="inlineStr">
        <is>
          <t>Beverages</t>
        </is>
      </c>
      <c r="G864" s="4" t="inlineStr">
        <is>
          <t>B</t>
        </is>
      </c>
      <c r="H864" s="11" t="n">
        <v>0</v>
      </c>
      <c r="I864" s="4" t="n">
        <v>2120.25</v>
      </c>
      <c r="J864" s="13">
        <f>IF(I864&gt;0,H864/I864,"")</f>
        <v/>
      </c>
      <c r="K864" s="4">
        <f>IF(I864&lt;=0,"NO DEMAND",IF(H864=0,"STOCKOUT",IF(J864&lt;Config!$B$5,"CRITICAL",IF(J864&lt;Config!$B$6,"LOW",IF(J864&gt;Config!$B$7,"EXCESS","HEALTHY")))))</f>
        <v/>
      </c>
      <c r="L864" s="11" t="n">
        <v>24</v>
      </c>
      <c r="M864" s="11" t="n">
        <v>28</v>
      </c>
      <c r="N864" s="11">
        <f>H864*L864</f>
        <v/>
      </c>
      <c r="O864" s="11">
        <f>IF(I864&gt;0,I864*(M864-L864),0)</f>
        <v/>
      </c>
      <c r="P864" s="11" t="n">
        <v>0</v>
      </c>
    </row>
    <row r="865">
      <c r="A865" s="4" t="inlineStr">
        <is>
          <t>WH08</t>
        </is>
      </c>
      <c r="B865" s="4" t="inlineStr">
        <is>
          <t>Chennai DC</t>
        </is>
      </c>
      <c r="C865" s="4" t="inlineStr">
        <is>
          <t>South</t>
        </is>
      </c>
      <c r="D865" s="4" t="inlineStr">
        <is>
          <t>SKU021</t>
        </is>
      </c>
      <c r="E865" s="4" t="inlineStr">
        <is>
          <t>Fruit Juice 1L</t>
        </is>
      </c>
      <c r="F865" s="4" t="inlineStr">
        <is>
          <t>Beverages</t>
        </is>
      </c>
      <c r="G865" s="4" t="inlineStr">
        <is>
          <t>A</t>
        </is>
      </c>
      <c r="H865" s="11" t="n">
        <v>3733</v>
      </c>
      <c r="I865" s="4" t="n">
        <v>1568.75</v>
      </c>
      <c r="J865" s="13">
        <f>IF(I865&gt;0,H865/I865,"")</f>
        <v/>
      </c>
      <c r="K865" s="4">
        <f>IF(I865&lt;=0,"NO DEMAND",IF(H865=0,"STOCKOUT",IF(J865&lt;Config!$B$5,"CRITICAL",IF(J865&lt;Config!$B$6,"LOW",IF(J865&gt;Config!$B$7,"EXCESS","HEALTHY")))))</f>
        <v/>
      </c>
      <c r="L865" s="11" t="n">
        <v>54</v>
      </c>
      <c r="M865" s="11" t="n">
        <v>63</v>
      </c>
      <c r="N865" s="11">
        <f>H865*L865</f>
        <v/>
      </c>
      <c r="O865" s="11">
        <f>IF(I865&gt;0,I865*(M865-L865),0)</f>
        <v/>
      </c>
      <c r="P865" s="11" t="n">
        <v>0</v>
      </c>
    </row>
    <row r="866">
      <c r="A866" s="4" t="inlineStr">
        <is>
          <t>WH08</t>
        </is>
      </c>
      <c r="B866" s="4" t="inlineStr">
        <is>
          <t>Chennai DC</t>
        </is>
      </c>
      <c r="C866" s="4" t="inlineStr">
        <is>
          <t>South</t>
        </is>
      </c>
      <c r="D866" s="4" t="inlineStr">
        <is>
          <t>SKU022</t>
        </is>
      </c>
      <c r="E866" s="4" t="inlineStr">
        <is>
          <t>Iced Tea 500ml</t>
        </is>
      </c>
      <c r="F866" s="4" t="inlineStr">
        <is>
          <t>Beverages</t>
        </is>
      </c>
      <c r="G866" s="4" t="inlineStr">
        <is>
          <t>A</t>
        </is>
      </c>
      <c r="H866" s="11" t="n">
        <v>823</v>
      </c>
      <c r="I866" s="4" t="n">
        <v>1639.25</v>
      </c>
      <c r="J866" s="13">
        <f>IF(I866&gt;0,H866/I866,"")</f>
        <v/>
      </c>
      <c r="K866" s="4">
        <f>IF(I866&lt;=0,"NO DEMAND",IF(H866=0,"STOCKOUT",IF(J866&lt;Config!$B$5,"CRITICAL",IF(J866&lt;Config!$B$6,"LOW",IF(J866&gt;Config!$B$7,"EXCESS","HEALTHY")))))</f>
        <v/>
      </c>
      <c r="L866" s="11" t="n">
        <v>53</v>
      </c>
      <c r="M866" s="11" t="n">
        <v>64</v>
      </c>
      <c r="N866" s="11">
        <f>H866*L866</f>
        <v/>
      </c>
      <c r="O866" s="11">
        <f>IF(I866&gt;0,I866*(M866-L866),0)</f>
        <v/>
      </c>
      <c r="P866" s="11" t="n">
        <v>3672</v>
      </c>
    </row>
    <row r="867">
      <c r="A867" s="4" t="inlineStr">
        <is>
          <t>WH08</t>
        </is>
      </c>
      <c r="B867" s="4" t="inlineStr">
        <is>
          <t>Chennai DC</t>
        </is>
      </c>
      <c r="C867" s="4" t="inlineStr">
        <is>
          <t>South</t>
        </is>
      </c>
      <c r="D867" s="4" t="inlineStr">
        <is>
          <t>SKU023</t>
        </is>
      </c>
      <c r="E867" s="4" t="inlineStr">
        <is>
          <t>Coconut Water 200ml</t>
        </is>
      </c>
      <c r="F867" s="4" t="inlineStr">
        <is>
          <t>Beverages</t>
        </is>
      </c>
      <c r="G867" s="4" t="inlineStr">
        <is>
          <t>A</t>
        </is>
      </c>
      <c r="H867" s="11" t="n">
        <v>173</v>
      </c>
      <c r="I867" s="4" t="n">
        <v>1373.75</v>
      </c>
      <c r="J867" s="13">
        <f>IF(I867&gt;0,H867/I867,"")</f>
        <v/>
      </c>
      <c r="K867" s="4">
        <f>IF(I867&lt;=0,"NO DEMAND",IF(H867=0,"STOCKOUT",IF(J867&lt;Config!$B$5,"CRITICAL",IF(J867&lt;Config!$B$6,"LOW",IF(J867&gt;Config!$B$7,"EXCESS","HEALTHY")))))</f>
        <v/>
      </c>
      <c r="L867" s="11" t="n">
        <v>59</v>
      </c>
      <c r="M867" s="11" t="n">
        <v>69</v>
      </c>
      <c r="N867" s="11">
        <f>H867*L867</f>
        <v/>
      </c>
      <c r="O867" s="11">
        <f>IF(I867&gt;0,I867*(M867-L867),0)</f>
        <v/>
      </c>
      <c r="P867" s="11" t="n">
        <v>2808</v>
      </c>
    </row>
    <row r="868">
      <c r="A868" s="4" t="inlineStr">
        <is>
          <t>WH08</t>
        </is>
      </c>
      <c r="B868" s="4" t="inlineStr">
        <is>
          <t>Chennai DC</t>
        </is>
      </c>
      <c r="C868" s="4" t="inlineStr">
        <is>
          <t>South</t>
        </is>
      </c>
      <c r="D868" s="4" t="inlineStr">
        <is>
          <t>SKU024</t>
        </is>
      </c>
      <c r="E868" s="4" t="inlineStr">
        <is>
          <t>Instant Coffee 100g</t>
        </is>
      </c>
      <c r="F868" s="4" t="inlineStr">
        <is>
          <t>Beverages</t>
        </is>
      </c>
      <c r="G868" s="4" t="inlineStr">
        <is>
          <t>C</t>
        </is>
      </c>
      <c r="H868" s="11" t="n">
        <v>548</v>
      </c>
      <c r="I868" s="4" t="n">
        <v>952.5</v>
      </c>
      <c r="J868" s="13">
        <f>IF(I868&gt;0,H868/I868,"")</f>
        <v/>
      </c>
      <c r="K868" s="4">
        <f>IF(I868&lt;=0,"NO DEMAND",IF(H868=0,"STOCKOUT",IF(J868&lt;Config!$B$5,"CRITICAL",IF(J868&lt;Config!$B$6,"LOW",IF(J868&gt;Config!$B$7,"EXCESS","HEALTHY")))))</f>
        <v/>
      </c>
      <c r="L868" s="11" t="n">
        <v>27</v>
      </c>
      <c r="M868" s="11" t="n">
        <v>31</v>
      </c>
      <c r="N868" s="11">
        <f>H868*L868</f>
        <v/>
      </c>
      <c r="O868" s="11">
        <f>IF(I868&gt;0,I868*(M868-L868),0)</f>
        <v/>
      </c>
      <c r="P868" s="11" t="n">
        <v>1776</v>
      </c>
    </row>
    <row r="869">
      <c r="A869" s="4" t="inlineStr">
        <is>
          <t>WH08</t>
        </is>
      </c>
      <c r="B869" s="4" t="inlineStr">
        <is>
          <t>Chennai DC</t>
        </is>
      </c>
      <c r="C869" s="4" t="inlineStr">
        <is>
          <t>South</t>
        </is>
      </c>
      <c r="D869" s="4" t="inlineStr">
        <is>
          <t>SKU025</t>
        </is>
      </c>
      <c r="E869" s="4" t="inlineStr">
        <is>
          <t>Tea Bags 100pk</t>
        </is>
      </c>
      <c r="F869" s="4" t="inlineStr">
        <is>
          <t>Beverages</t>
        </is>
      </c>
      <c r="G869" s="4" t="inlineStr">
        <is>
          <t>C</t>
        </is>
      </c>
      <c r="H869" s="11" t="n">
        <v>1863</v>
      </c>
      <c r="I869" s="4" t="n">
        <v>1463.75</v>
      </c>
      <c r="J869" s="13">
        <f>IF(I869&gt;0,H869/I869,"")</f>
        <v/>
      </c>
      <c r="K869" s="4">
        <f>IF(I869&lt;=0,"NO DEMAND",IF(H869=0,"STOCKOUT",IF(J869&lt;Config!$B$5,"CRITICAL",IF(J869&lt;Config!$B$6,"LOW",IF(J869&gt;Config!$B$7,"EXCESS","HEALTHY")))))</f>
        <v/>
      </c>
      <c r="L869" s="11" t="n">
        <v>24</v>
      </c>
      <c r="M869" s="11" t="n">
        <v>28</v>
      </c>
      <c r="N869" s="11">
        <f>H869*L869</f>
        <v/>
      </c>
      <c r="O869" s="11">
        <f>IF(I869&gt;0,I869*(M869-L869),0)</f>
        <v/>
      </c>
      <c r="P869" s="11" t="n">
        <v>0</v>
      </c>
    </row>
    <row r="870">
      <c r="A870" s="4" t="inlineStr">
        <is>
          <t>WH08</t>
        </is>
      </c>
      <c r="B870" s="4" t="inlineStr">
        <is>
          <t>Chennai DC</t>
        </is>
      </c>
      <c r="C870" s="4" t="inlineStr">
        <is>
          <t>South</t>
        </is>
      </c>
      <c r="D870" s="4" t="inlineStr">
        <is>
          <t>SKU026</t>
        </is>
      </c>
      <c r="E870" s="4" t="inlineStr">
        <is>
          <t>Buttermilk 200ml</t>
        </is>
      </c>
      <c r="F870" s="4" t="inlineStr">
        <is>
          <t>Beverages</t>
        </is>
      </c>
      <c r="G870" s="4" t="inlineStr">
        <is>
          <t>B</t>
        </is>
      </c>
      <c r="H870" s="11" t="n">
        <v>1260</v>
      </c>
      <c r="I870" s="4" t="n">
        <v>257.25</v>
      </c>
      <c r="J870" s="13">
        <f>IF(I870&gt;0,H870/I870,"")</f>
        <v/>
      </c>
      <c r="K870" s="4">
        <f>IF(I870&lt;=0,"NO DEMAND",IF(H870=0,"STOCKOUT",IF(J870&lt;Config!$B$5,"CRITICAL",IF(J870&lt;Config!$B$6,"LOW",IF(J870&gt;Config!$B$7,"EXCESS","HEALTHY")))))</f>
        <v/>
      </c>
      <c r="L870" s="11" t="n">
        <v>31</v>
      </c>
      <c r="M870" s="11" t="n">
        <v>36</v>
      </c>
      <c r="N870" s="11">
        <f>H870*L870</f>
        <v/>
      </c>
      <c r="O870" s="11">
        <f>IF(I870&gt;0,I870*(M870-L870),0)</f>
        <v/>
      </c>
      <c r="P870" s="11" t="n">
        <v>0</v>
      </c>
    </row>
    <row r="871">
      <c r="A871" s="4" t="inlineStr">
        <is>
          <t>WH08</t>
        </is>
      </c>
      <c r="B871" s="4" t="inlineStr">
        <is>
          <t>Chennai DC</t>
        </is>
      </c>
      <c r="C871" s="4" t="inlineStr">
        <is>
          <t>South</t>
        </is>
      </c>
      <c r="D871" s="4" t="inlineStr">
        <is>
          <t>SKU027</t>
        </is>
      </c>
      <c r="E871" s="4" t="inlineStr">
        <is>
          <t>Lassi 200ml</t>
        </is>
      </c>
      <c r="F871" s="4" t="inlineStr">
        <is>
          <t>Beverages</t>
        </is>
      </c>
      <c r="G871" s="4" t="inlineStr">
        <is>
          <t>A</t>
        </is>
      </c>
      <c r="H871" s="11" t="n">
        <v>0</v>
      </c>
      <c r="I871" s="4" t="n">
        <v>982.75</v>
      </c>
      <c r="J871" s="13">
        <f>IF(I871&gt;0,H871/I871,"")</f>
        <v/>
      </c>
      <c r="K871" s="4">
        <f>IF(I871&lt;=0,"NO DEMAND",IF(H871=0,"STOCKOUT",IF(J871&lt;Config!$B$5,"CRITICAL",IF(J871&lt;Config!$B$6,"LOW",IF(J871&gt;Config!$B$7,"EXCESS","HEALTHY")))))</f>
        <v/>
      </c>
      <c r="L871" s="11" t="n">
        <v>60</v>
      </c>
      <c r="M871" s="11" t="n">
        <v>72</v>
      </c>
      <c r="N871" s="11">
        <f>H871*L871</f>
        <v/>
      </c>
      <c r="O871" s="11">
        <f>IF(I871&gt;0,I871*(M871-L871),0)</f>
        <v/>
      </c>
      <c r="P871" s="11" t="n">
        <v>3360</v>
      </c>
    </row>
    <row r="872">
      <c r="A872" s="4" t="inlineStr">
        <is>
          <t>WH08</t>
        </is>
      </c>
      <c r="B872" s="4" t="inlineStr">
        <is>
          <t>Chennai DC</t>
        </is>
      </c>
      <c r="C872" s="4" t="inlineStr">
        <is>
          <t>South</t>
        </is>
      </c>
      <c r="D872" s="4" t="inlineStr">
        <is>
          <t>SKU028</t>
        </is>
      </c>
      <c r="E872" s="4" t="inlineStr">
        <is>
          <t>Sports Drink 500ml</t>
        </is>
      </c>
      <c r="F872" s="4" t="inlineStr">
        <is>
          <t>Beverages</t>
        </is>
      </c>
      <c r="G872" s="4" t="inlineStr">
        <is>
          <t>A</t>
        </is>
      </c>
      <c r="H872" s="11" t="n">
        <v>1938</v>
      </c>
      <c r="I872" s="4" t="n">
        <v>1425.5</v>
      </c>
      <c r="J872" s="13">
        <f>IF(I872&gt;0,H872/I872,"")</f>
        <v/>
      </c>
      <c r="K872" s="4">
        <f>IF(I872&lt;=0,"NO DEMAND",IF(H872=0,"STOCKOUT",IF(J872&lt;Config!$B$5,"CRITICAL",IF(J872&lt;Config!$B$6,"LOW",IF(J872&gt;Config!$B$7,"EXCESS","HEALTHY")))))</f>
        <v/>
      </c>
      <c r="L872" s="11" t="n">
        <v>110</v>
      </c>
      <c r="M872" s="11" t="n">
        <v>131</v>
      </c>
      <c r="N872" s="11">
        <f>H872*L872</f>
        <v/>
      </c>
      <c r="O872" s="11">
        <f>IF(I872&gt;0,I872*(M872-L872),0)</f>
        <v/>
      </c>
      <c r="P872" s="11" t="n">
        <v>3336</v>
      </c>
    </row>
    <row r="873">
      <c r="A873" s="4" t="inlineStr">
        <is>
          <t>WH08</t>
        </is>
      </c>
      <c r="B873" s="4" t="inlineStr">
        <is>
          <t>Chennai DC</t>
        </is>
      </c>
      <c r="C873" s="4" t="inlineStr">
        <is>
          <t>South</t>
        </is>
      </c>
      <c r="D873" s="4" t="inlineStr">
        <is>
          <t>SKU029</t>
        </is>
      </c>
      <c r="E873" s="4" t="inlineStr">
        <is>
          <t>Tonic Water 300ml</t>
        </is>
      </c>
      <c r="F873" s="4" t="inlineStr">
        <is>
          <t>Beverages</t>
        </is>
      </c>
      <c r="G873" s="4" t="inlineStr">
        <is>
          <t>B</t>
        </is>
      </c>
      <c r="H873" s="11" t="n">
        <v>741</v>
      </c>
      <c r="I873" s="4" t="n">
        <v>1538.5</v>
      </c>
      <c r="J873" s="13">
        <f>IF(I873&gt;0,H873/I873,"")</f>
        <v/>
      </c>
      <c r="K873" s="4">
        <f>IF(I873&lt;=0,"NO DEMAND",IF(H873=0,"STOCKOUT",IF(J873&lt;Config!$B$5,"CRITICAL",IF(J873&lt;Config!$B$6,"LOW",IF(J873&gt;Config!$B$7,"EXCESS","HEALTHY")))))</f>
        <v/>
      </c>
      <c r="L873" s="11" t="n">
        <v>23</v>
      </c>
      <c r="M873" s="11" t="n">
        <v>27</v>
      </c>
      <c r="N873" s="11">
        <f>H873*L873</f>
        <v/>
      </c>
      <c r="O873" s="11">
        <f>IF(I873&gt;0,I873*(M873-L873),0)</f>
        <v/>
      </c>
      <c r="P873" s="11" t="n">
        <v>2928</v>
      </c>
    </row>
    <row r="874">
      <c r="A874" s="4" t="inlineStr">
        <is>
          <t>WH08</t>
        </is>
      </c>
      <c r="B874" s="4" t="inlineStr">
        <is>
          <t>Chennai DC</t>
        </is>
      </c>
      <c r="C874" s="4" t="inlineStr">
        <is>
          <t>South</t>
        </is>
      </c>
      <c r="D874" s="4" t="inlineStr">
        <is>
          <t>SKU030</t>
        </is>
      </c>
      <c r="E874" s="4" t="inlineStr">
        <is>
          <t>Malt Drink 500g</t>
        </is>
      </c>
      <c r="F874" s="4" t="inlineStr">
        <is>
          <t>Beverages</t>
        </is>
      </c>
      <c r="G874" s="4" t="inlineStr">
        <is>
          <t>C</t>
        </is>
      </c>
      <c r="H874" s="11" t="n">
        <v>488</v>
      </c>
      <c r="I874" s="4" t="n">
        <v>1574.25</v>
      </c>
      <c r="J874" s="13">
        <f>IF(I874&gt;0,H874/I874,"")</f>
        <v/>
      </c>
      <c r="K874" s="4">
        <f>IF(I874&lt;=0,"NO DEMAND",IF(H874=0,"STOCKOUT",IF(J874&lt;Config!$B$5,"CRITICAL",IF(J874&lt;Config!$B$6,"LOW",IF(J874&gt;Config!$B$7,"EXCESS","HEALTHY")))))</f>
        <v/>
      </c>
      <c r="L874" s="11" t="n">
        <v>31</v>
      </c>
      <c r="M874" s="11" t="n">
        <v>37</v>
      </c>
      <c r="N874" s="11">
        <f>H874*L874</f>
        <v/>
      </c>
      <c r="O874" s="11">
        <f>IF(I874&gt;0,I874*(M874-L874),0)</f>
        <v/>
      </c>
      <c r="P874" s="11" t="n">
        <v>3648</v>
      </c>
    </row>
    <row r="875">
      <c r="A875" s="4" t="inlineStr">
        <is>
          <t>WH08</t>
        </is>
      </c>
      <c r="B875" s="4" t="inlineStr">
        <is>
          <t>Chennai DC</t>
        </is>
      </c>
      <c r="C875" s="4" t="inlineStr">
        <is>
          <t>South</t>
        </is>
      </c>
      <c r="D875" s="4" t="inlineStr">
        <is>
          <t>SKU031</t>
        </is>
      </c>
      <c r="E875" s="4" t="inlineStr">
        <is>
          <t>Potato Chips 90g</t>
        </is>
      </c>
      <c r="F875" s="4" t="inlineStr">
        <is>
          <t>Snacks &amp; Confectionery</t>
        </is>
      </c>
      <c r="G875" s="4" t="inlineStr">
        <is>
          <t>C</t>
        </is>
      </c>
      <c r="H875" s="11" t="n">
        <v>4096</v>
      </c>
      <c r="I875" s="4" t="n">
        <v>1630.5</v>
      </c>
      <c r="J875" s="13">
        <f>IF(I875&gt;0,H875/I875,"")</f>
        <v/>
      </c>
      <c r="K875" s="4">
        <f>IF(I875&lt;=0,"NO DEMAND",IF(H875=0,"STOCKOUT",IF(J875&lt;Config!$B$5,"CRITICAL",IF(J875&lt;Config!$B$6,"LOW",IF(J875&gt;Config!$B$7,"EXCESS","HEALTHY")))))</f>
        <v/>
      </c>
      <c r="L875" s="11" t="n">
        <v>13</v>
      </c>
      <c r="M875" s="11" t="n">
        <v>16</v>
      </c>
      <c r="N875" s="11">
        <f>H875*L875</f>
        <v/>
      </c>
      <c r="O875" s="11">
        <f>IF(I875&gt;0,I875*(M875-L875),0)</f>
        <v/>
      </c>
      <c r="P875" s="11" t="n">
        <v>0</v>
      </c>
    </row>
    <row r="876">
      <c r="A876" s="4" t="inlineStr">
        <is>
          <t>WH08</t>
        </is>
      </c>
      <c r="B876" s="4" t="inlineStr">
        <is>
          <t>Chennai DC</t>
        </is>
      </c>
      <c r="C876" s="4" t="inlineStr">
        <is>
          <t>South</t>
        </is>
      </c>
      <c r="D876" s="4" t="inlineStr">
        <is>
          <t>SKU032</t>
        </is>
      </c>
      <c r="E876" s="4" t="inlineStr">
        <is>
          <t>Namkeen Mix 400g</t>
        </is>
      </c>
      <c r="F876" s="4" t="inlineStr">
        <is>
          <t>Snacks &amp; Confectionery</t>
        </is>
      </c>
      <c r="G876" s="4" t="inlineStr">
        <is>
          <t>C</t>
        </is>
      </c>
      <c r="H876" s="11" t="n">
        <v>924</v>
      </c>
      <c r="I876" s="4" t="n">
        <v>599.5</v>
      </c>
      <c r="J876" s="13">
        <f>IF(I876&gt;0,H876/I876,"")</f>
        <v/>
      </c>
      <c r="K876" s="4">
        <f>IF(I876&lt;=0,"NO DEMAND",IF(H876=0,"STOCKOUT",IF(J876&lt;Config!$B$5,"CRITICAL",IF(J876&lt;Config!$B$6,"LOW",IF(J876&gt;Config!$B$7,"EXCESS","HEALTHY")))))</f>
        <v/>
      </c>
      <c r="L876" s="11" t="n">
        <v>14</v>
      </c>
      <c r="M876" s="11" t="n">
        <v>17</v>
      </c>
      <c r="N876" s="11">
        <f>H876*L876</f>
        <v/>
      </c>
      <c r="O876" s="11">
        <f>IF(I876&gt;0,I876*(M876-L876),0)</f>
        <v/>
      </c>
      <c r="P876" s="11" t="n">
        <v>0</v>
      </c>
    </row>
    <row r="877">
      <c r="A877" s="4" t="inlineStr">
        <is>
          <t>WH08</t>
        </is>
      </c>
      <c r="B877" s="4" t="inlineStr">
        <is>
          <t>Chennai DC</t>
        </is>
      </c>
      <c r="C877" s="4" t="inlineStr">
        <is>
          <t>South</t>
        </is>
      </c>
      <c r="D877" s="4" t="inlineStr">
        <is>
          <t>SKU033</t>
        </is>
      </c>
      <c r="E877" s="4" t="inlineStr">
        <is>
          <t>Glucose Biscuits 300g</t>
        </is>
      </c>
      <c r="F877" s="4" t="inlineStr">
        <is>
          <t>Snacks &amp; Confectionery</t>
        </is>
      </c>
      <c r="G877" s="4" t="inlineStr">
        <is>
          <t>A</t>
        </is>
      </c>
      <c r="H877" s="11" t="n">
        <v>616</v>
      </c>
      <c r="I877" s="4" t="n">
        <v>1727.25</v>
      </c>
      <c r="J877" s="13">
        <f>IF(I877&gt;0,H877/I877,"")</f>
        <v/>
      </c>
      <c r="K877" s="4">
        <f>IF(I877&lt;=0,"NO DEMAND",IF(H877=0,"STOCKOUT",IF(J877&lt;Config!$B$5,"CRITICAL",IF(J877&lt;Config!$B$6,"LOW",IF(J877&gt;Config!$B$7,"EXCESS","HEALTHY")))))</f>
        <v/>
      </c>
      <c r="L877" s="11" t="n">
        <v>119</v>
      </c>
      <c r="M877" s="11" t="n">
        <v>144</v>
      </c>
      <c r="N877" s="11">
        <f>H877*L877</f>
        <v/>
      </c>
      <c r="O877" s="11">
        <f>IF(I877&gt;0,I877*(M877-L877),0)</f>
        <v/>
      </c>
      <c r="P877" s="11" t="n">
        <v>5832</v>
      </c>
    </row>
    <row r="878">
      <c r="A878" s="4" t="inlineStr">
        <is>
          <t>WH08</t>
        </is>
      </c>
      <c r="B878" s="4" t="inlineStr">
        <is>
          <t>Chennai DC</t>
        </is>
      </c>
      <c r="C878" s="4" t="inlineStr">
        <is>
          <t>South</t>
        </is>
      </c>
      <c r="D878" s="4" t="inlineStr">
        <is>
          <t>SKU034</t>
        </is>
      </c>
      <c r="E878" s="4" t="inlineStr">
        <is>
          <t>Cream Biscuits 120g</t>
        </is>
      </c>
      <c r="F878" s="4" t="inlineStr">
        <is>
          <t>Snacks &amp; Confectionery</t>
        </is>
      </c>
      <c r="G878" s="4" t="inlineStr">
        <is>
          <t>B</t>
        </is>
      </c>
      <c r="H878" s="11" t="n">
        <v>1929</v>
      </c>
      <c r="I878" s="4" t="n">
        <v>911.25</v>
      </c>
      <c r="J878" s="13">
        <f>IF(I878&gt;0,H878/I878,"")</f>
        <v/>
      </c>
      <c r="K878" s="4">
        <f>IF(I878&lt;=0,"NO DEMAND",IF(H878=0,"STOCKOUT",IF(J878&lt;Config!$B$5,"CRITICAL",IF(J878&lt;Config!$B$6,"LOW",IF(J878&gt;Config!$B$7,"EXCESS","HEALTHY")))))</f>
        <v/>
      </c>
      <c r="L878" s="11" t="n">
        <v>61</v>
      </c>
      <c r="M878" s="11" t="n">
        <v>73</v>
      </c>
      <c r="N878" s="11">
        <f>H878*L878</f>
        <v/>
      </c>
      <c r="O878" s="11">
        <f>IF(I878&gt;0,I878*(M878-L878),0)</f>
        <v/>
      </c>
      <c r="P878" s="11" t="n">
        <v>0</v>
      </c>
    </row>
    <row r="879">
      <c r="A879" s="4" t="inlineStr">
        <is>
          <t>WH08</t>
        </is>
      </c>
      <c r="B879" s="4" t="inlineStr">
        <is>
          <t>Chennai DC</t>
        </is>
      </c>
      <c r="C879" s="4" t="inlineStr">
        <is>
          <t>South</t>
        </is>
      </c>
      <c r="D879" s="4" t="inlineStr">
        <is>
          <t>SKU035</t>
        </is>
      </c>
      <c r="E879" s="4" t="inlineStr">
        <is>
          <t>Chocolate Bar 40g</t>
        </is>
      </c>
      <c r="F879" s="4" t="inlineStr">
        <is>
          <t>Snacks &amp; Confectionery</t>
        </is>
      </c>
      <c r="G879" s="4" t="inlineStr">
        <is>
          <t>C</t>
        </is>
      </c>
      <c r="H879" s="11" t="n">
        <v>1256</v>
      </c>
      <c r="I879" s="4" t="n">
        <v>1174.75</v>
      </c>
      <c r="J879" s="13">
        <f>IF(I879&gt;0,H879/I879,"")</f>
        <v/>
      </c>
      <c r="K879" s="4">
        <f>IF(I879&lt;=0,"NO DEMAND",IF(H879=0,"STOCKOUT",IF(J879&lt;Config!$B$5,"CRITICAL",IF(J879&lt;Config!$B$6,"LOW",IF(J879&gt;Config!$B$7,"EXCESS","HEALTHY")))))</f>
        <v/>
      </c>
      <c r="L879" s="11" t="n">
        <v>16</v>
      </c>
      <c r="M879" s="11" t="n">
        <v>20</v>
      </c>
      <c r="N879" s="11">
        <f>H879*L879</f>
        <v/>
      </c>
      <c r="O879" s="11">
        <f>IF(I879&gt;0,I879*(M879-L879),0)</f>
        <v/>
      </c>
      <c r="P879" s="11" t="n">
        <v>0</v>
      </c>
    </row>
    <row r="880">
      <c r="A880" s="4" t="inlineStr">
        <is>
          <t>WH08</t>
        </is>
      </c>
      <c r="B880" s="4" t="inlineStr">
        <is>
          <t>Chennai DC</t>
        </is>
      </c>
      <c r="C880" s="4" t="inlineStr">
        <is>
          <t>South</t>
        </is>
      </c>
      <c r="D880" s="4" t="inlineStr">
        <is>
          <t>SKU036</t>
        </is>
      </c>
      <c r="E880" s="4" t="inlineStr">
        <is>
          <t>Instant Noodles 70g</t>
        </is>
      </c>
      <c r="F880" s="4" t="inlineStr">
        <is>
          <t>Snacks &amp; Confectionery</t>
        </is>
      </c>
      <c r="G880" s="4" t="inlineStr">
        <is>
          <t>C</t>
        </is>
      </c>
      <c r="H880" s="11" t="n">
        <v>0</v>
      </c>
      <c r="I880" s="4" t="n">
        <v>783.75</v>
      </c>
      <c r="J880" s="13">
        <f>IF(I880&gt;0,H880/I880,"")</f>
        <v/>
      </c>
      <c r="K880" s="4">
        <f>IF(I880&lt;=0,"NO DEMAND",IF(H880=0,"STOCKOUT",IF(J880&lt;Config!$B$5,"CRITICAL",IF(J880&lt;Config!$B$6,"LOW",IF(J880&gt;Config!$B$7,"EXCESS","HEALTHY")))))</f>
        <v/>
      </c>
      <c r="L880" s="11" t="n">
        <v>19</v>
      </c>
      <c r="M880" s="11" t="n">
        <v>24</v>
      </c>
      <c r="N880" s="11">
        <f>H880*L880</f>
        <v/>
      </c>
      <c r="O880" s="11">
        <f>IF(I880&gt;0,I880*(M880-L880),0)</f>
        <v/>
      </c>
      <c r="P880" s="11" t="n">
        <v>2472</v>
      </c>
    </row>
    <row r="881">
      <c r="A881" s="4" t="inlineStr">
        <is>
          <t>WH08</t>
        </is>
      </c>
      <c r="B881" s="4" t="inlineStr">
        <is>
          <t>Chennai DC</t>
        </is>
      </c>
      <c r="C881" s="4" t="inlineStr">
        <is>
          <t>South</t>
        </is>
      </c>
      <c r="D881" s="4" t="inlineStr">
        <is>
          <t>SKU037</t>
        </is>
      </c>
      <c r="E881" s="4" t="inlineStr">
        <is>
          <t>Popcorn 60g</t>
        </is>
      </c>
      <c r="F881" s="4" t="inlineStr">
        <is>
          <t>Snacks &amp; Confectionery</t>
        </is>
      </c>
      <c r="G881" s="4" t="inlineStr">
        <is>
          <t>A</t>
        </is>
      </c>
      <c r="H881" s="11" t="n">
        <v>851</v>
      </c>
      <c r="I881" s="4" t="n">
        <v>483.25</v>
      </c>
      <c r="J881" s="13">
        <f>IF(I881&gt;0,H881/I881,"")</f>
        <v/>
      </c>
      <c r="K881" s="4">
        <f>IF(I881&lt;=0,"NO DEMAND",IF(H881=0,"STOCKOUT",IF(J881&lt;Config!$B$5,"CRITICAL",IF(J881&lt;Config!$B$6,"LOW",IF(J881&gt;Config!$B$7,"EXCESS","HEALTHY")))))</f>
        <v/>
      </c>
      <c r="L881" s="11" t="n">
        <v>137</v>
      </c>
      <c r="M881" s="11" t="n">
        <v>163</v>
      </c>
      <c r="N881" s="11">
        <f>H881*L881</f>
        <v/>
      </c>
      <c r="O881" s="11">
        <f>IF(I881&gt;0,I881*(M881-L881),0)</f>
        <v/>
      </c>
      <c r="P881" s="11" t="n">
        <v>0</v>
      </c>
    </row>
    <row r="882">
      <c r="A882" s="4" t="inlineStr">
        <is>
          <t>WH08</t>
        </is>
      </c>
      <c r="B882" s="4" t="inlineStr">
        <is>
          <t>Chennai DC</t>
        </is>
      </c>
      <c r="C882" s="4" t="inlineStr">
        <is>
          <t>South</t>
        </is>
      </c>
      <c r="D882" s="4" t="inlineStr">
        <is>
          <t>SKU038</t>
        </is>
      </c>
      <c r="E882" s="4" t="inlineStr">
        <is>
          <t>Peanut Chikki 200g</t>
        </is>
      </c>
      <c r="F882" s="4" t="inlineStr">
        <is>
          <t>Snacks &amp; Confectionery</t>
        </is>
      </c>
      <c r="G882" s="4" t="inlineStr">
        <is>
          <t>C</t>
        </is>
      </c>
      <c r="H882" s="11" t="n">
        <v>1478</v>
      </c>
      <c r="I882" s="4" t="n">
        <v>795.25</v>
      </c>
      <c r="J882" s="13">
        <f>IF(I882&gt;0,H882/I882,"")</f>
        <v/>
      </c>
      <c r="K882" s="4">
        <f>IF(I882&lt;=0,"NO DEMAND",IF(H882=0,"STOCKOUT",IF(J882&lt;Config!$B$5,"CRITICAL",IF(J882&lt;Config!$B$6,"LOW",IF(J882&gt;Config!$B$7,"EXCESS","HEALTHY")))))</f>
        <v/>
      </c>
      <c r="L882" s="11" t="n">
        <v>18</v>
      </c>
      <c r="M882" s="11" t="n">
        <v>22</v>
      </c>
      <c r="N882" s="11">
        <f>H882*L882</f>
        <v/>
      </c>
      <c r="O882" s="11">
        <f>IF(I882&gt;0,I882*(M882-L882),0)</f>
        <v/>
      </c>
      <c r="P882" s="11" t="n">
        <v>0</v>
      </c>
    </row>
    <row r="883">
      <c r="A883" s="4" t="inlineStr">
        <is>
          <t>WH08</t>
        </is>
      </c>
      <c r="B883" s="4" t="inlineStr">
        <is>
          <t>Chennai DC</t>
        </is>
      </c>
      <c r="C883" s="4" t="inlineStr">
        <is>
          <t>South</t>
        </is>
      </c>
      <c r="D883" s="4" t="inlineStr">
        <is>
          <t>SKU039</t>
        </is>
      </c>
      <c r="E883" s="4" t="inlineStr">
        <is>
          <t>Cookies 200g</t>
        </is>
      </c>
      <c r="F883" s="4" t="inlineStr">
        <is>
          <t>Snacks &amp; Confectionery</t>
        </is>
      </c>
      <c r="G883" s="4" t="inlineStr">
        <is>
          <t>A</t>
        </is>
      </c>
      <c r="H883" s="11" t="n">
        <v>1929</v>
      </c>
      <c r="I883" s="4" t="n">
        <v>932</v>
      </c>
      <c r="J883" s="13">
        <f>IF(I883&gt;0,H883/I883,"")</f>
        <v/>
      </c>
      <c r="K883" s="4">
        <f>IF(I883&lt;=0,"NO DEMAND",IF(H883=0,"STOCKOUT",IF(J883&lt;Config!$B$5,"CRITICAL",IF(J883&lt;Config!$B$6,"LOW",IF(J883&gt;Config!$B$7,"EXCESS","HEALTHY")))))</f>
        <v/>
      </c>
      <c r="L883" s="11" t="n">
        <v>126</v>
      </c>
      <c r="M883" s="11" t="n">
        <v>150</v>
      </c>
      <c r="N883" s="11">
        <f>H883*L883</f>
        <v/>
      </c>
      <c r="O883" s="11">
        <f>IF(I883&gt;0,I883*(M883-L883),0)</f>
        <v/>
      </c>
      <c r="P883" s="11" t="n">
        <v>0</v>
      </c>
    </row>
    <row r="884">
      <c r="A884" s="4" t="inlineStr">
        <is>
          <t>WH08</t>
        </is>
      </c>
      <c r="B884" s="4" t="inlineStr">
        <is>
          <t>Chennai DC</t>
        </is>
      </c>
      <c r="C884" s="4" t="inlineStr">
        <is>
          <t>South</t>
        </is>
      </c>
      <c r="D884" s="4" t="inlineStr">
        <is>
          <t>SKU040</t>
        </is>
      </c>
      <c r="E884" s="4" t="inlineStr">
        <is>
          <t>Wafers 75g</t>
        </is>
      </c>
      <c r="F884" s="4" t="inlineStr">
        <is>
          <t>Snacks &amp; Confectionery</t>
        </is>
      </c>
      <c r="G884" s="4" t="inlineStr">
        <is>
          <t>A</t>
        </is>
      </c>
      <c r="H884" s="11" t="n">
        <v>815</v>
      </c>
      <c r="I884" s="4" t="n">
        <v>1138.5</v>
      </c>
      <c r="J884" s="13">
        <f>IF(I884&gt;0,H884/I884,"")</f>
        <v/>
      </c>
      <c r="K884" s="4">
        <f>IF(I884&lt;=0,"NO DEMAND",IF(H884=0,"STOCKOUT",IF(J884&lt;Config!$B$5,"CRITICAL",IF(J884&lt;Config!$B$6,"LOW",IF(J884&gt;Config!$B$7,"EXCESS","HEALTHY")))))</f>
        <v/>
      </c>
      <c r="L884" s="11" t="n">
        <v>90</v>
      </c>
      <c r="M884" s="11" t="n">
        <v>109</v>
      </c>
      <c r="N884" s="11">
        <f>H884*L884</f>
        <v/>
      </c>
      <c r="O884" s="11">
        <f>IF(I884&gt;0,I884*(M884-L884),0)</f>
        <v/>
      </c>
      <c r="P884" s="11" t="n">
        <v>2808</v>
      </c>
    </row>
    <row r="885">
      <c r="A885" s="4" t="inlineStr">
        <is>
          <t>WH08</t>
        </is>
      </c>
      <c r="B885" s="4" t="inlineStr">
        <is>
          <t>Chennai DC</t>
        </is>
      </c>
      <c r="C885" s="4" t="inlineStr">
        <is>
          <t>South</t>
        </is>
      </c>
      <c r="D885" s="4" t="inlineStr">
        <is>
          <t>SKU041</t>
        </is>
      </c>
      <c r="E885" s="4" t="inlineStr">
        <is>
          <t>Mathri 250g</t>
        </is>
      </c>
      <c r="F885" s="4" t="inlineStr">
        <is>
          <t>Snacks &amp; Confectionery</t>
        </is>
      </c>
      <c r="G885" s="4" t="inlineStr">
        <is>
          <t>A</t>
        </is>
      </c>
      <c r="H885" s="11" t="n">
        <v>185</v>
      </c>
      <c r="I885" s="4" t="n">
        <v>854.75</v>
      </c>
      <c r="J885" s="13">
        <f>IF(I885&gt;0,H885/I885,"")</f>
        <v/>
      </c>
      <c r="K885" s="4">
        <f>IF(I885&lt;=0,"NO DEMAND",IF(H885=0,"STOCKOUT",IF(J885&lt;Config!$B$5,"CRITICAL",IF(J885&lt;Config!$B$6,"LOW",IF(J885&gt;Config!$B$7,"EXCESS","HEALTHY")))))</f>
        <v/>
      </c>
      <c r="L885" s="11" t="n">
        <v>100</v>
      </c>
      <c r="M885" s="11" t="n">
        <v>125</v>
      </c>
      <c r="N885" s="11">
        <f>H885*L885</f>
        <v/>
      </c>
      <c r="O885" s="11">
        <f>IF(I885&gt;0,I885*(M885-L885),0)</f>
        <v/>
      </c>
      <c r="P885" s="11" t="n">
        <v>1728</v>
      </c>
    </row>
    <row r="886">
      <c r="A886" s="4" t="inlineStr">
        <is>
          <t>WH08</t>
        </is>
      </c>
      <c r="B886" s="4" t="inlineStr">
        <is>
          <t>Chennai DC</t>
        </is>
      </c>
      <c r="C886" s="4" t="inlineStr">
        <is>
          <t>South</t>
        </is>
      </c>
      <c r="D886" s="4" t="inlineStr">
        <is>
          <t>SKU042</t>
        </is>
      </c>
      <c r="E886" s="4" t="inlineStr">
        <is>
          <t>Dry Fruit Mix 250g</t>
        </is>
      </c>
      <c r="F886" s="4" t="inlineStr">
        <is>
          <t>Snacks &amp; Confectionery</t>
        </is>
      </c>
      <c r="G886" s="4" t="inlineStr">
        <is>
          <t>A</t>
        </is>
      </c>
      <c r="H886" s="11" t="n">
        <v>818</v>
      </c>
      <c r="I886" s="4" t="n">
        <v>1323</v>
      </c>
      <c r="J886" s="13">
        <f>IF(I886&gt;0,H886/I886,"")</f>
        <v/>
      </c>
      <c r="K886" s="4">
        <f>IF(I886&lt;=0,"NO DEMAND",IF(H886=0,"STOCKOUT",IF(J886&lt;Config!$B$5,"CRITICAL",IF(J886&lt;Config!$B$6,"LOW",IF(J886&gt;Config!$B$7,"EXCESS","HEALTHY")))))</f>
        <v/>
      </c>
      <c r="L886" s="11" t="n">
        <v>74</v>
      </c>
      <c r="M886" s="11" t="n">
        <v>88</v>
      </c>
      <c r="N886" s="11">
        <f>H886*L886</f>
        <v/>
      </c>
      <c r="O886" s="11">
        <f>IF(I886&gt;0,I886*(M886-L886),0)</f>
        <v/>
      </c>
      <c r="P886" s="11" t="n">
        <v>3252</v>
      </c>
    </row>
    <row r="887">
      <c r="A887" s="4" t="inlineStr">
        <is>
          <t>WH08</t>
        </is>
      </c>
      <c r="B887" s="4" t="inlineStr">
        <is>
          <t>Chennai DC</t>
        </is>
      </c>
      <c r="C887" s="4" t="inlineStr">
        <is>
          <t>South</t>
        </is>
      </c>
      <c r="D887" s="4" t="inlineStr">
        <is>
          <t>SKU043</t>
        </is>
      </c>
      <c r="E887" s="4" t="inlineStr">
        <is>
          <t>Soan Papdi 500g</t>
        </is>
      </c>
      <c r="F887" s="4" t="inlineStr">
        <is>
          <t>Snacks &amp; Confectionery</t>
        </is>
      </c>
      <c r="G887" s="4" t="inlineStr">
        <is>
          <t>C</t>
        </is>
      </c>
      <c r="H887" s="11" t="n">
        <v>0</v>
      </c>
      <c r="I887" s="4" t="n">
        <v>167.25</v>
      </c>
      <c r="J887" s="13">
        <f>IF(I887&gt;0,H887/I887,"")</f>
        <v/>
      </c>
      <c r="K887" s="4">
        <f>IF(I887&lt;=0,"NO DEMAND",IF(H887=0,"STOCKOUT",IF(J887&lt;Config!$B$5,"CRITICAL",IF(J887&lt;Config!$B$6,"LOW",IF(J887&gt;Config!$B$7,"EXCESS","HEALTHY")))))</f>
        <v/>
      </c>
      <c r="L887" s="11" t="n">
        <v>15</v>
      </c>
      <c r="M887" s="11" t="n">
        <v>18</v>
      </c>
      <c r="N887" s="11">
        <f>H887*L887</f>
        <v/>
      </c>
      <c r="O887" s="11">
        <f>IF(I887&gt;0,I887*(M887-L887),0)</f>
        <v/>
      </c>
      <c r="P887" s="11" t="n">
        <v>1872</v>
      </c>
    </row>
    <row r="888">
      <c r="A888" s="4" t="inlineStr">
        <is>
          <t>WH08</t>
        </is>
      </c>
      <c r="B888" s="4" t="inlineStr">
        <is>
          <t>Chennai DC</t>
        </is>
      </c>
      <c r="C888" s="4" t="inlineStr">
        <is>
          <t>South</t>
        </is>
      </c>
      <c r="D888" s="4" t="inlineStr">
        <is>
          <t>SKU044</t>
        </is>
      </c>
      <c r="E888" s="4" t="inlineStr">
        <is>
          <t>Rusk 300g</t>
        </is>
      </c>
      <c r="F888" s="4" t="inlineStr">
        <is>
          <t>Snacks &amp; Confectionery</t>
        </is>
      </c>
      <c r="G888" s="4" t="inlineStr">
        <is>
          <t>A</t>
        </is>
      </c>
      <c r="H888" s="11" t="n">
        <v>622</v>
      </c>
      <c r="I888" s="4" t="n">
        <v>1206.5</v>
      </c>
      <c r="J888" s="13">
        <f>IF(I888&gt;0,H888/I888,"")</f>
        <v/>
      </c>
      <c r="K888" s="4">
        <f>IF(I888&lt;=0,"NO DEMAND",IF(H888=0,"STOCKOUT",IF(J888&lt;Config!$B$5,"CRITICAL",IF(J888&lt;Config!$B$6,"LOW",IF(J888&gt;Config!$B$7,"EXCESS","HEALTHY")))))</f>
        <v/>
      </c>
      <c r="L888" s="11" t="n">
        <v>57</v>
      </c>
      <c r="M888" s="11" t="n">
        <v>70</v>
      </c>
      <c r="N888" s="11">
        <f>H888*L888</f>
        <v/>
      </c>
      <c r="O888" s="11">
        <f>IF(I888&gt;0,I888*(M888-L888),0)</f>
        <v/>
      </c>
      <c r="P888" s="11" t="n">
        <v>2832</v>
      </c>
    </row>
    <row r="889">
      <c r="A889" s="4" t="inlineStr">
        <is>
          <t>WH08</t>
        </is>
      </c>
      <c r="B889" s="4" t="inlineStr">
        <is>
          <t>Chennai DC</t>
        </is>
      </c>
      <c r="C889" s="4" t="inlineStr">
        <is>
          <t>South</t>
        </is>
      </c>
      <c r="D889" s="4" t="inlineStr">
        <is>
          <t>SKU045</t>
        </is>
      </c>
      <c r="E889" s="4" t="inlineStr">
        <is>
          <t>Candy Pack 150g</t>
        </is>
      </c>
      <c r="F889" s="4" t="inlineStr">
        <is>
          <t>Snacks &amp; Confectionery</t>
        </is>
      </c>
      <c r="G889" s="4" t="inlineStr">
        <is>
          <t>C</t>
        </is>
      </c>
      <c r="H889" s="11" t="n">
        <v>3398</v>
      </c>
      <c r="I889" s="4" t="n">
        <v>1378.25</v>
      </c>
      <c r="J889" s="13">
        <f>IF(I889&gt;0,H889/I889,"")</f>
        <v/>
      </c>
      <c r="K889" s="4">
        <f>IF(I889&lt;=0,"NO DEMAND",IF(H889=0,"STOCKOUT",IF(J889&lt;Config!$B$5,"CRITICAL",IF(J889&lt;Config!$B$6,"LOW",IF(J889&gt;Config!$B$7,"EXCESS","HEALTHY")))))</f>
        <v/>
      </c>
      <c r="L889" s="11" t="n">
        <v>22</v>
      </c>
      <c r="M889" s="11" t="n">
        <v>27</v>
      </c>
      <c r="N889" s="11">
        <f>H889*L889</f>
        <v/>
      </c>
      <c r="O889" s="11">
        <f>IF(I889&gt;0,I889*(M889-L889),0)</f>
        <v/>
      </c>
      <c r="P889" s="11" t="n">
        <v>0</v>
      </c>
    </row>
    <row r="890">
      <c r="A890" s="4" t="inlineStr">
        <is>
          <t>WH08</t>
        </is>
      </c>
      <c r="B890" s="4" t="inlineStr">
        <is>
          <t>Chennai DC</t>
        </is>
      </c>
      <c r="C890" s="4" t="inlineStr">
        <is>
          <t>South</t>
        </is>
      </c>
      <c r="D890" s="4" t="inlineStr">
        <is>
          <t>SKU046</t>
        </is>
      </c>
      <c r="E890" s="4" t="inlineStr">
        <is>
          <t>Shampoo 340ml</t>
        </is>
      </c>
      <c r="F890" s="4" t="inlineStr">
        <is>
          <t>Personal Care</t>
        </is>
      </c>
      <c r="G890" s="4" t="inlineStr">
        <is>
          <t>C</t>
        </is>
      </c>
      <c r="H890" s="11" t="n">
        <v>653</v>
      </c>
      <c r="I890" s="4" t="n">
        <v>943.25</v>
      </c>
      <c r="J890" s="13">
        <f>IF(I890&gt;0,H890/I890,"")</f>
        <v/>
      </c>
      <c r="K890" s="4">
        <f>IF(I890&lt;=0,"NO DEMAND",IF(H890=0,"STOCKOUT",IF(J890&lt;Config!$B$5,"CRITICAL",IF(J890&lt;Config!$B$6,"LOW",IF(J890&gt;Config!$B$7,"EXCESS","HEALTHY")))))</f>
        <v/>
      </c>
      <c r="L890" s="11" t="n">
        <v>51</v>
      </c>
      <c r="M890" s="11" t="n">
        <v>67</v>
      </c>
      <c r="N890" s="11">
        <f>H890*L890</f>
        <v/>
      </c>
      <c r="O890" s="11">
        <f>IF(I890&gt;0,I890*(M890-L890),0)</f>
        <v/>
      </c>
      <c r="P890" s="11" t="n">
        <v>1728</v>
      </c>
    </row>
    <row r="891">
      <c r="A891" s="4" t="inlineStr">
        <is>
          <t>WH08</t>
        </is>
      </c>
      <c r="B891" s="4" t="inlineStr">
        <is>
          <t>Chennai DC</t>
        </is>
      </c>
      <c r="C891" s="4" t="inlineStr">
        <is>
          <t>South</t>
        </is>
      </c>
      <c r="D891" s="4" t="inlineStr">
        <is>
          <t>SKU047</t>
        </is>
      </c>
      <c r="E891" s="4" t="inlineStr">
        <is>
          <t>Soap 4-pack</t>
        </is>
      </c>
      <c r="F891" s="4" t="inlineStr">
        <is>
          <t>Personal Care</t>
        </is>
      </c>
      <c r="G891" s="4" t="inlineStr">
        <is>
          <t>C</t>
        </is>
      </c>
      <c r="H891" s="11" t="n">
        <v>0</v>
      </c>
      <c r="I891" s="4" t="n">
        <v>834.25</v>
      </c>
      <c r="J891" s="13">
        <f>IF(I891&gt;0,H891/I891,"")</f>
        <v/>
      </c>
      <c r="K891" s="4">
        <f>IF(I891&lt;=0,"NO DEMAND",IF(H891=0,"STOCKOUT",IF(J891&lt;Config!$B$5,"CRITICAL",IF(J891&lt;Config!$B$6,"LOW",IF(J891&gt;Config!$B$7,"EXCESS","HEALTHY")))))</f>
        <v/>
      </c>
      <c r="L891" s="11" t="n">
        <v>37</v>
      </c>
      <c r="M891" s="11" t="n">
        <v>47</v>
      </c>
      <c r="N891" s="11">
        <f>H891*L891</f>
        <v/>
      </c>
      <c r="O891" s="11">
        <f>IF(I891&gt;0,I891*(M891-L891),0)</f>
        <v/>
      </c>
      <c r="P891" s="11" t="n">
        <v>1476</v>
      </c>
    </row>
    <row r="892">
      <c r="A892" s="4" t="inlineStr">
        <is>
          <t>WH08</t>
        </is>
      </c>
      <c r="B892" s="4" t="inlineStr">
        <is>
          <t>Chennai DC</t>
        </is>
      </c>
      <c r="C892" s="4" t="inlineStr">
        <is>
          <t>South</t>
        </is>
      </c>
      <c r="D892" s="4" t="inlineStr">
        <is>
          <t>SKU048</t>
        </is>
      </c>
      <c r="E892" s="4" t="inlineStr">
        <is>
          <t>Toothpaste 150g</t>
        </is>
      </c>
      <c r="F892" s="4" t="inlineStr">
        <is>
          <t>Personal Care</t>
        </is>
      </c>
      <c r="G892" s="4" t="inlineStr">
        <is>
          <t>C</t>
        </is>
      </c>
      <c r="H892" s="11" t="n">
        <v>570</v>
      </c>
      <c r="I892" s="4" t="n">
        <v>449.5</v>
      </c>
      <c r="J892" s="13">
        <f>IF(I892&gt;0,H892/I892,"")</f>
        <v/>
      </c>
      <c r="K892" s="4">
        <f>IF(I892&lt;=0,"NO DEMAND",IF(H892=0,"STOCKOUT",IF(J892&lt;Config!$B$5,"CRITICAL",IF(J892&lt;Config!$B$6,"LOW",IF(J892&gt;Config!$B$7,"EXCESS","HEALTHY")))))</f>
        <v/>
      </c>
      <c r="L892" s="11" t="n">
        <v>51</v>
      </c>
      <c r="M892" s="11" t="n">
        <v>67</v>
      </c>
      <c r="N892" s="11">
        <f>H892*L892</f>
        <v/>
      </c>
      <c r="O892" s="11">
        <f>IF(I892&gt;0,I892*(M892-L892),0)</f>
        <v/>
      </c>
      <c r="P892" s="11" t="n">
        <v>0</v>
      </c>
    </row>
    <row r="893">
      <c r="A893" s="4" t="inlineStr">
        <is>
          <t>WH08</t>
        </is>
      </c>
      <c r="B893" s="4" t="inlineStr">
        <is>
          <t>Chennai DC</t>
        </is>
      </c>
      <c r="C893" s="4" t="inlineStr">
        <is>
          <t>South</t>
        </is>
      </c>
      <c r="D893" s="4" t="inlineStr">
        <is>
          <t>SKU049</t>
        </is>
      </c>
      <c r="E893" s="4" t="inlineStr">
        <is>
          <t>Face Wash 100ml</t>
        </is>
      </c>
      <c r="F893" s="4" t="inlineStr">
        <is>
          <t>Personal Care</t>
        </is>
      </c>
      <c r="G893" s="4" t="inlineStr">
        <is>
          <t>C</t>
        </is>
      </c>
      <c r="H893" s="11" t="n">
        <v>0</v>
      </c>
      <c r="I893" s="4" t="n">
        <v>523.5</v>
      </c>
      <c r="J893" s="13">
        <f>IF(I893&gt;0,H893/I893,"")</f>
        <v/>
      </c>
      <c r="K893" s="4">
        <f>IF(I893&lt;=0,"NO DEMAND",IF(H893=0,"STOCKOUT",IF(J893&lt;Config!$B$5,"CRITICAL",IF(J893&lt;Config!$B$6,"LOW",IF(J893&gt;Config!$B$7,"EXCESS","HEALTHY")))))</f>
        <v/>
      </c>
      <c r="L893" s="11" t="n">
        <v>32</v>
      </c>
      <c r="M893" s="11" t="n">
        <v>41</v>
      </c>
      <c r="N893" s="11">
        <f>H893*L893</f>
        <v/>
      </c>
      <c r="O893" s="11">
        <f>IF(I893&gt;0,I893*(M893-L893),0)</f>
        <v/>
      </c>
      <c r="P893" s="11" t="n">
        <v>1332</v>
      </c>
    </row>
    <row r="894">
      <c r="A894" s="4" t="inlineStr">
        <is>
          <t>WH08</t>
        </is>
      </c>
      <c r="B894" s="4" t="inlineStr">
        <is>
          <t>Chennai DC</t>
        </is>
      </c>
      <c r="C894" s="4" t="inlineStr">
        <is>
          <t>South</t>
        </is>
      </c>
      <c r="D894" s="4" t="inlineStr">
        <is>
          <t>SKU050</t>
        </is>
      </c>
      <c r="E894" s="4" t="inlineStr">
        <is>
          <t>Body Lotion 400ml</t>
        </is>
      </c>
      <c r="F894" s="4" t="inlineStr">
        <is>
          <t>Personal Care</t>
        </is>
      </c>
      <c r="G894" s="4" t="inlineStr">
        <is>
          <t>B</t>
        </is>
      </c>
      <c r="H894" s="11" t="n">
        <v>645</v>
      </c>
      <c r="I894" s="4" t="n">
        <v>63.75</v>
      </c>
      <c r="J894" s="13">
        <f>IF(I894&gt;0,H894/I894,"")</f>
        <v/>
      </c>
      <c r="K894" s="4">
        <f>IF(I894&lt;=0,"NO DEMAND",IF(H894=0,"STOCKOUT",IF(J894&lt;Config!$B$5,"CRITICAL",IF(J894&lt;Config!$B$6,"LOW",IF(J894&gt;Config!$B$7,"EXCESS","HEALTHY")))))</f>
        <v/>
      </c>
      <c r="L894" s="11" t="n">
        <v>138</v>
      </c>
      <c r="M894" s="11" t="n">
        <v>175</v>
      </c>
      <c r="N894" s="11">
        <f>H894*L894</f>
        <v/>
      </c>
      <c r="O894" s="11">
        <f>IF(I894&gt;0,I894*(M894-L894),0)</f>
        <v/>
      </c>
      <c r="P894" s="11" t="n">
        <v>0</v>
      </c>
    </row>
    <row r="895">
      <c r="A895" s="4" t="inlineStr">
        <is>
          <t>WH08</t>
        </is>
      </c>
      <c r="B895" s="4" t="inlineStr">
        <is>
          <t>Chennai DC</t>
        </is>
      </c>
      <c r="C895" s="4" t="inlineStr">
        <is>
          <t>South</t>
        </is>
      </c>
      <c r="D895" s="4" t="inlineStr">
        <is>
          <t>SKU051</t>
        </is>
      </c>
      <c r="E895" s="4" t="inlineStr">
        <is>
          <t>Hair Oil 200ml</t>
        </is>
      </c>
      <c r="F895" s="4" t="inlineStr">
        <is>
          <t>Personal Care</t>
        </is>
      </c>
      <c r="G895" s="4" t="inlineStr">
        <is>
          <t>B</t>
        </is>
      </c>
      <c r="H895" s="11" t="n">
        <v>495</v>
      </c>
      <c r="I895" s="4" t="n">
        <v>652.75</v>
      </c>
      <c r="J895" s="13">
        <f>IF(I895&gt;0,H895/I895,"")</f>
        <v/>
      </c>
      <c r="K895" s="4">
        <f>IF(I895&lt;=0,"NO DEMAND",IF(H895=0,"STOCKOUT",IF(J895&lt;Config!$B$5,"CRITICAL",IF(J895&lt;Config!$B$6,"LOW",IF(J895&gt;Config!$B$7,"EXCESS","HEALTHY")))))</f>
        <v/>
      </c>
      <c r="L895" s="11" t="n">
        <v>156</v>
      </c>
      <c r="M895" s="11" t="n">
        <v>203</v>
      </c>
      <c r="N895" s="11">
        <f>H895*L895</f>
        <v/>
      </c>
      <c r="O895" s="11">
        <f>IF(I895&gt;0,I895*(M895-L895),0)</f>
        <v/>
      </c>
      <c r="P895" s="11" t="n">
        <v>1596</v>
      </c>
    </row>
    <row r="896">
      <c r="A896" s="4" t="inlineStr">
        <is>
          <t>WH08</t>
        </is>
      </c>
      <c r="B896" s="4" t="inlineStr">
        <is>
          <t>Chennai DC</t>
        </is>
      </c>
      <c r="C896" s="4" t="inlineStr">
        <is>
          <t>South</t>
        </is>
      </c>
      <c r="D896" s="4" t="inlineStr">
        <is>
          <t>SKU052</t>
        </is>
      </c>
      <c r="E896" s="4" t="inlineStr">
        <is>
          <t>Deodorant 150ml</t>
        </is>
      </c>
      <c r="F896" s="4" t="inlineStr">
        <is>
          <t>Personal Care</t>
        </is>
      </c>
      <c r="G896" s="4" t="inlineStr">
        <is>
          <t>B</t>
        </is>
      </c>
      <c r="H896" s="11" t="n">
        <v>0</v>
      </c>
      <c r="I896" s="4" t="n">
        <v>139</v>
      </c>
      <c r="J896" s="13">
        <f>IF(I896&gt;0,H896/I896,"")</f>
        <v/>
      </c>
      <c r="K896" s="4">
        <f>IF(I896&lt;=0,"NO DEMAND",IF(H896=0,"STOCKOUT",IF(J896&lt;Config!$B$5,"CRITICAL",IF(J896&lt;Config!$B$6,"LOW",IF(J896&gt;Config!$B$7,"EXCESS","HEALTHY")))))</f>
        <v/>
      </c>
      <c r="L896" s="11" t="n">
        <v>133</v>
      </c>
      <c r="M896" s="11" t="n">
        <v>179</v>
      </c>
      <c r="N896" s="11">
        <f>H896*L896</f>
        <v/>
      </c>
      <c r="O896" s="11">
        <f>IF(I896&gt;0,I896*(M896-L896),0)</f>
        <v/>
      </c>
      <c r="P896" s="11" t="n">
        <v>1032</v>
      </c>
    </row>
    <row r="897">
      <c r="A897" s="4" t="inlineStr">
        <is>
          <t>WH08</t>
        </is>
      </c>
      <c r="B897" s="4" t="inlineStr">
        <is>
          <t>Chennai DC</t>
        </is>
      </c>
      <c r="C897" s="4" t="inlineStr">
        <is>
          <t>South</t>
        </is>
      </c>
      <c r="D897" s="4" t="inlineStr">
        <is>
          <t>SKU053</t>
        </is>
      </c>
      <c r="E897" s="4" t="inlineStr">
        <is>
          <t>Sanitary Pads 20pk</t>
        </is>
      </c>
      <c r="F897" s="4" t="inlineStr">
        <is>
          <t>Personal Care</t>
        </is>
      </c>
      <c r="G897" s="4" t="inlineStr">
        <is>
          <t>C</t>
        </is>
      </c>
      <c r="H897" s="11" t="n">
        <v>960</v>
      </c>
      <c r="I897" s="4" t="n">
        <v>99.25</v>
      </c>
      <c r="J897" s="13">
        <f>IF(I897&gt;0,H897/I897,"")</f>
        <v/>
      </c>
      <c r="K897" s="4">
        <f>IF(I897&lt;=0,"NO DEMAND",IF(H897=0,"STOCKOUT",IF(J897&lt;Config!$B$5,"CRITICAL",IF(J897&lt;Config!$B$6,"LOW",IF(J897&gt;Config!$B$7,"EXCESS","HEALTHY")))))</f>
        <v/>
      </c>
      <c r="L897" s="11" t="n">
        <v>31</v>
      </c>
      <c r="M897" s="11" t="n">
        <v>39</v>
      </c>
      <c r="N897" s="11">
        <f>H897*L897</f>
        <v/>
      </c>
      <c r="O897" s="11">
        <f>IF(I897&gt;0,I897*(M897-L897),0)</f>
        <v/>
      </c>
      <c r="P897" s="11" t="n">
        <v>0</v>
      </c>
    </row>
    <row r="898">
      <c r="A898" s="4" t="inlineStr">
        <is>
          <t>WH08</t>
        </is>
      </c>
      <c r="B898" s="4" t="inlineStr">
        <is>
          <t>Chennai DC</t>
        </is>
      </c>
      <c r="C898" s="4" t="inlineStr">
        <is>
          <t>South</t>
        </is>
      </c>
      <c r="D898" s="4" t="inlineStr">
        <is>
          <t>SKU054</t>
        </is>
      </c>
      <c r="E898" s="4" t="inlineStr">
        <is>
          <t>Razor 5pk</t>
        </is>
      </c>
      <c r="F898" s="4" t="inlineStr">
        <is>
          <t>Personal Care</t>
        </is>
      </c>
      <c r="G898" s="4" t="inlineStr">
        <is>
          <t>B</t>
        </is>
      </c>
      <c r="H898" s="11" t="n">
        <v>318</v>
      </c>
      <c r="I898" s="4" t="n">
        <v>92</v>
      </c>
      <c r="J898" s="13">
        <f>IF(I898&gt;0,H898/I898,"")</f>
        <v/>
      </c>
      <c r="K898" s="4">
        <f>IF(I898&lt;=0,"NO DEMAND",IF(H898=0,"STOCKOUT",IF(J898&lt;Config!$B$5,"CRITICAL",IF(J898&lt;Config!$B$6,"LOW",IF(J898&gt;Config!$B$7,"EXCESS","HEALTHY")))))</f>
        <v/>
      </c>
      <c r="L898" s="11" t="n">
        <v>106</v>
      </c>
      <c r="M898" s="11" t="n">
        <v>137</v>
      </c>
      <c r="N898" s="11">
        <f>H898*L898</f>
        <v/>
      </c>
      <c r="O898" s="11">
        <f>IF(I898&gt;0,I898*(M898-L898),0)</f>
        <v/>
      </c>
      <c r="P898" s="11" t="n">
        <v>0</v>
      </c>
    </row>
    <row r="899">
      <c r="A899" s="4" t="inlineStr">
        <is>
          <t>WH08</t>
        </is>
      </c>
      <c r="B899" s="4" t="inlineStr">
        <is>
          <t>Chennai DC</t>
        </is>
      </c>
      <c r="C899" s="4" t="inlineStr">
        <is>
          <t>South</t>
        </is>
      </c>
      <c r="D899" s="4" t="inlineStr">
        <is>
          <t>SKU055</t>
        </is>
      </c>
      <c r="E899" s="4" t="inlineStr">
        <is>
          <t>Talc 300g</t>
        </is>
      </c>
      <c r="F899" s="4" t="inlineStr">
        <is>
          <t>Personal Care</t>
        </is>
      </c>
      <c r="G899" s="4" t="inlineStr">
        <is>
          <t>B</t>
        </is>
      </c>
      <c r="H899" s="11" t="n">
        <v>281</v>
      </c>
      <c r="I899" s="4" t="n">
        <v>666.25</v>
      </c>
      <c r="J899" s="13">
        <f>IF(I899&gt;0,H899/I899,"")</f>
        <v/>
      </c>
      <c r="K899" s="4">
        <f>IF(I899&lt;=0,"NO DEMAND",IF(H899=0,"STOCKOUT",IF(J899&lt;Config!$B$5,"CRITICAL",IF(J899&lt;Config!$B$6,"LOW",IF(J899&gt;Config!$B$7,"EXCESS","HEALTHY")))))</f>
        <v/>
      </c>
      <c r="L899" s="11" t="n">
        <v>77</v>
      </c>
      <c r="M899" s="11" t="n">
        <v>100</v>
      </c>
      <c r="N899" s="11">
        <f>H899*L899</f>
        <v/>
      </c>
      <c r="O899" s="11">
        <f>IF(I899&gt;0,I899*(M899-L899),0)</f>
        <v/>
      </c>
      <c r="P899" s="11" t="n">
        <v>1272</v>
      </c>
    </row>
    <row r="900">
      <c r="A900" s="4" t="inlineStr">
        <is>
          <t>WH08</t>
        </is>
      </c>
      <c r="B900" s="4" t="inlineStr">
        <is>
          <t>Chennai DC</t>
        </is>
      </c>
      <c r="C900" s="4" t="inlineStr">
        <is>
          <t>South</t>
        </is>
      </c>
      <c r="D900" s="4" t="inlineStr">
        <is>
          <t>SKU056</t>
        </is>
      </c>
      <c r="E900" s="4" t="inlineStr">
        <is>
          <t>Sunscreen 50g</t>
        </is>
      </c>
      <c r="F900" s="4" t="inlineStr">
        <is>
          <t>Personal Care</t>
        </is>
      </c>
      <c r="G900" s="4" t="inlineStr">
        <is>
          <t>A</t>
        </is>
      </c>
      <c r="H900" s="11" t="n">
        <v>0</v>
      </c>
      <c r="I900" s="4" t="n">
        <v>391.75</v>
      </c>
      <c r="J900" s="13">
        <f>IF(I900&gt;0,H900/I900,"")</f>
        <v/>
      </c>
      <c r="K900" s="4">
        <f>IF(I900&lt;=0,"NO DEMAND",IF(H900=0,"STOCKOUT",IF(J900&lt;Config!$B$5,"CRITICAL",IF(J900&lt;Config!$B$6,"LOW",IF(J900&gt;Config!$B$7,"EXCESS","HEALTHY")))))</f>
        <v/>
      </c>
      <c r="L900" s="11" t="n">
        <v>393</v>
      </c>
      <c r="M900" s="11" t="n">
        <v>510</v>
      </c>
      <c r="N900" s="11">
        <f>H900*L900</f>
        <v/>
      </c>
      <c r="O900" s="11">
        <f>IF(I900&gt;0,I900*(M900-L900),0)</f>
        <v/>
      </c>
      <c r="P900" s="11" t="n">
        <v>972</v>
      </c>
    </row>
    <row r="901">
      <c r="A901" s="4" t="inlineStr">
        <is>
          <t>WH08</t>
        </is>
      </c>
      <c r="B901" s="4" t="inlineStr">
        <is>
          <t>Chennai DC</t>
        </is>
      </c>
      <c r="C901" s="4" t="inlineStr">
        <is>
          <t>South</t>
        </is>
      </c>
      <c r="D901" s="4" t="inlineStr">
        <is>
          <t>SKU057</t>
        </is>
      </c>
      <c r="E901" s="4" t="inlineStr">
        <is>
          <t>Hand Wash 250ml</t>
        </is>
      </c>
      <c r="F901" s="4" t="inlineStr">
        <is>
          <t>Personal Care</t>
        </is>
      </c>
      <c r="G901" s="4" t="inlineStr">
        <is>
          <t>C</t>
        </is>
      </c>
      <c r="H901" s="11" t="n">
        <v>509</v>
      </c>
      <c r="I901" s="4" t="n">
        <v>285.5</v>
      </c>
      <c r="J901" s="13">
        <f>IF(I901&gt;0,H901/I901,"")</f>
        <v/>
      </c>
      <c r="K901" s="4">
        <f>IF(I901&lt;=0,"NO DEMAND",IF(H901=0,"STOCKOUT",IF(J901&lt;Config!$B$5,"CRITICAL",IF(J901&lt;Config!$B$6,"LOW",IF(J901&gt;Config!$B$7,"EXCESS","HEALTHY")))))</f>
        <v/>
      </c>
      <c r="L901" s="11" t="n">
        <v>108</v>
      </c>
      <c r="M901" s="11" t="n">
        <v>136</v>
      </c>
      <c r="N901" s="11">
        <f>H901*L901</f>
        <v/>
      </c>
      <c r="O901" s="11">
        <f>IF(I901&gt;0,I901*(M901-L901),0)</f>
        <v/>
      </c>
      <c r="P901" s="11" t="n">
        <v>0</v>
      </c>
    </row>
    <row r="902">
      <c r="A902" s="4" t="inlineStr">
        <is>
          <t>WH08</t>
        </is>
      </c>
      <c r="B902" s="4" t="inlineStr">
        <is>
          <t>Chennai DC</t>
        </is>
      </c>
      <c r="C902" s="4" t="inlineStr">
        <is>
          <t>South</t>
        </is>
      </c>
      <c r="D902" s="4" t="inlineStr">
        <is>
          <t>SKU058</t>
        </is>
      </c>
      <c r="E902" s="4" t="inlineStr">
        <is>
          <t>Kajal Pack</t>
        </is>
      </c>
      <c r="F902" s="4" t="inlineStr">
        <is>
          <t>Personal Care</t>
        </is>
      </c>
      <c r="G902" s="4" t="inlineStr">
        <is>
          <t>A</t>
        </is>
      </c>
      <c r="H902" s="11" t="n">
        <v>591</v>
      </c>
      <c r="I902" s="4" t="n">
        <v>338.75</v>
      </c>
      <c r="J902" s="13">
        <f>IF(I902&gt;0,H902/I902,"")</f>
        <v/>
      </c>
      <c r="K902" s="4">
        <f>IF(I902&lt;=0,"NO DEMAND",IF(H902=0,"STOCKOUT",IF(J902&lt;Config!$B$5,"CRITICAL",IF(J902&lt;Config!$B$6,"LOW",IF(J902&gt;Config!$B$7,"EXCESS","HEALTHY")))))</f>
        <v/>
      </c>
      <c r="L902" s="11" t="n">
        <v>392</v>
      </c>
      <c r="M902" s="11" t="n">
        <v>498</v>
      </c>
      <c r="N902" s="11">
        <f>H902*L902</f>
        <v/>
      </c>
      <c r="O902" s="11">
        <f>IF(I902&gt;0,I902*(M902-L902),0)</f>
        <v/>
      </c>
      <c r="P902" s="11" t="n">
        <v>0</v>
      </c>
    </row>
    <row r="903">
      <c r="A903" s="4" t="inlineStr">
        <is>
          <t>WH08</t>
        </is>
      </c>
      <c r="B903" s="4" t="inlineStr">
        <is>
          <t>Chennai DC</t>
        </is>
      </c>
      <c r="C903" s="4" t="inlineStr">
        <is>
          <t>South</t>
        </is>
      </c>
      <c r="D903" s="4" t="inlineStr">
        <is>
          <t>SKU059</t>
        </is>
      </c>
      <c r="E903" s="4" t="inlineStr">
        <is>
          <t>Lip Balm</t>
        </is>
      </c>
      <c r="F903" s="4" t="inlineStr">
        <is>
          <t>Personal Care</t>
        </is>
      </c>
      <c r="G903" s="4" t="inlineStr">
        <is>
          <t>B</t>
        </is>
      </c>
      <c r="H903" s="11" t="n">
        <v>0</v>
      </c>
      <c r="I903" s="4" t="n">
        <v>773.25</v>
      </c>
      <c r="J903" s="13">
        <f>IF(I903&gt;0,H903/I903,"")</f>
        <v/>
      </c>
      <c r="K903" s="4">
        <f>IF(I903&lt;=0,"NO DEMAND",IF(H903=0,"STOCKOUT",IF(J903&lt;Config!$B$5,"CRITICAL",IF(J903&lt;Config!$B$6,"LOW",IF(J903&gt;Config!$B$7,"EXCESS","HEALTHY")))))</f>
        <v/>
      </c>
      <c r="L903" s="11" t="n">
        <v>150</v>
      </c>
      <c r="M903" s="11" t="n">
        <v>198</v>
      </c>
      <c r="N903" s="11">
        <f>H903*L903</f>
        <v/>
      </c>
      <c r="O903" s="11">
        <f>IF(I903&gt;0,I903*(M903-L903),0)</f>
        <v/>
      </c>
      <c r="P903" s="11" t="n">
        <v>1668</v>
      </c>
    </row>
    <row r="904">
      <c r="A904" s="4" t="inlineStr">
        <is>
          <t>WH08</t>
        </is>
      </c>
      <c r="B904" s="4" t="inlineStr">
        <is>
          <t>Chennai DC</t>
        </is>
      </c>
      <c r="C904" s="4" t="inlineStr">
        <is>
          <t>South</t>
        </is>
      </c>
      <c r="D904" s="4" t="inlineStr">
        <is>
          <t>SKU060</t>
        </is>
      </c>
      <c r="E904" s="4" t="inlineStr">
        <is>
          <t>Mouthwash 250ml</t>
        </is>
      </c>
      <c r="F904" s="4" t="inlineStr">
        <is>
          <t>Personal Care</t>
        </is>
      </c>
      <c r="G904" s="4" t="inlineStr">
        <is>
          <t>A</t>
        </is>
      </c>
      <c r="H904" s="11" t="n">
        <v>1325</v>
      </c>
      <c r="I904" s="4" t="n">
        <v>249</v>
      </c>
      <c r="J904" s="13">
        <f>IF(I904&gt;0,H904/I904,"")</f>
        <v/>
      </c>
      <c r="K904" s="4">
        <f>IF(I904&lt;=0,"NO DEMAND",IF(H904=0,"STOCKOUT",IF(J904&lt;Config!$B$5,"CRITICAL",IF(J904&lt;Config!$B$6,"LOW",IF(J904&gt;Config!$B$7,"EXCESS","HEALTHY")))))</f>
        <v/>
      </c>
      <c r="L904" s="11" t="n">
        <v>376</v>
      </c>
      <c r="M904" s="11" t="n">
        <v>491</v>
      </c>
      <c r="N904" s="11">
        <f>H904*L904</f>
        <v/>
      </c>
      <c r="O904" s="11">
        <f>IF(I904&gt;0,I904*(M904-L904),0)</f>
        <v/>
      </c>
      <c r="P904" s="11" t="n">
        <v>0</v>
      </c>
    </row>
    <row r="905">
      <c r="A905" s="4" t="inlineStr">
        <is>
          <t>WH08</t>
        </is>
      </c>
      <c r="B905" s="4" t="inlineStr">
        <is>
          <t>Chennai DC</t>
        </is>
      </c>
      <c r="C905" s="4" t="inlineStr">
        <is>
          <t>South</t>
        </is>
      </c>
      <c r="D905" s="4" t="inlineStr">
        <is>
          <t>SKU061</t>
        </is>
      </c>
      <c r="E905" s="4" t="inlineStr">
        <is>
          <t>Detergent Powder 2kg</t>
        </is>
      </c>
      <c r="F905" s="4" t="inlineStr">
        <is>
          <t>Home Care</t>
        </is>
      </c>
      <c r="G905" s="4" t="inlineStr">
        <is>
          <t>B</t>
        </is>
      </c>
      <c r="H905" s="11" t="n">
        <v>767</v>
      </c>
      <c r="I905" s="4" t="n">
        <v>686.75</v>
      </c>
      <c r="J905" s="13">
        <f>IF(I905&gt;0,H905/I905,"")</f>
        <v/>
      </c>
      <c r="K905" s="4">
        <f>IF(I905&lt;=0,"NO DEMAND",IF(H905=0,"STOCKOUT",IF(J905&lt;Config!$B$5,"CRITICAL",IF(J905&lt;Config!$B$6,"LOW",IF(J905&gt;Config!$B$7,"EXCESS","HEALTHY")))))</f>
        <v/>
      </c>
      <c r="L905" s="11" t="n">
        <v>104</v>
      </c>
      <c r="M905" s="11" t="n">
        <v>132</v>
      </c>
      <c r="N905" s="11">
        <f>H905*L905</f>
        <v/>
      </c>
      <c r="O905" s="11">
        <f>IF(I905&gt;0,I905*(M905-L905),0)</f>
        <v/>
      </c>
      <c r="P905" s="11" t="n">
        <v>0</v>
      </c>
    </row>
    <row r="906">
      <c r="A906" s="4" t="inlineStr">
        <is>
          <t>WH08</t>
        </is>
      </c>
      <c r="B906" s="4" t="inlineStr">
        <is>
          <t>Chennai DC</t>
        </is>
      </c>
      <c r="C906" s="4" t="inlineStr">
        <is>
          <t>South</t>
        </is>
      </c>
      <c r="D906" s="4" t="inlineStr">
        <is>
          <t>SKU062</t>
        </is>
      </c>
      <c r="E906" s="4" t="inlineStr">
        <is>
          <t>Dishwash Liquid 750ml</t>
        </is>
      </c>
      <c r="F906" s="4" t="inlineStr">
        <is>
          <t>Home Care</t>
        </is>
      </c>
      <c r="G906" s="4" t="inlineStr">
        <is>
          <t>A</t>
        </is>
      </c>
      <c r="H906" s="11" t="n">
        <v>1044</v>
      </c>
      <c r="I906" s="4" t="n">
        <v>1229.5</v>
      </c>
      <c r="J906" s="13">
        <f>IF(I906&gt;0,H906/I906,"")</f>
        <v/>
      </c>
      <c r="K906" s="4">
        <f>IF(I906&lt;=0,"NO DEMAND",IF(H906=0,"STOCKOUT",IF(J906&lt;Config!$B$5,"CRITICAL",IF(J906&lt;Config!$B$6,"LOW",IF(J906&gt;Config!$B$7,"EXCESS","HEALTHY")))))</f>
        <v/>
      </c>
      <c r="L906" s="11" t="n">
        <v>122</v>
      </c>
      <c r="M906" s="11" t="n">
        <v>148</v>
      </c>
      <c r="N906" s="11">
        <f>H906*L906</f>
        <v/>
      </c>
      <c r="O906" s="11">
        <f>IF(I906&gt;0,I906*(M906-L906),0)</f>
        <v/>
      </c>
      <c r="P906" s="11" t="n">
        <v>2676</v>
      </c>
    </row>
    <row r="907">
      <c r="A907" s="4" t="inlineStr">
        <is>
          <t>WH08</t>
        </is>
      </c>
      <c r="B907" s="4" t="inlineStr">
        <is>
          <t>Chennai DC</t>
        </is>
      </c>
      <c r="C907" s="4" t="inlineStr">
        <is>
          <t>South</t>
        </is>
      </c>
      <c r="D907" s="4" t="inlineStr">
        <is>
          <t>SKU063</t>
        </is>
      </c>
      <c r="E907" s="4" t="inlineStr">
        <is>
          <t>Floor Cleaner 1L</t>
        </is>
      </c>
      <c r="F907" s="4" t="inlineStr">
        <is>
          <t>Home Care</t>
        </is>
      </c>
      <c r="G907" s="4" t="inlineStr">
        <is>
          <t>C</t>
        </is>
      </c>
      <c r="H907" s="11" t="n">
        <v>963</v>
      </c>
      <c r="I907" s="4" t="n">
        <v>683.25</v>
      </c>
      <c r="J907" s="13">
        <f>IF(I907&gt;0,H907/I907,"")</f>
        <v/>
      </c>
      <c r="K907" s="4">
        <f>IF(I907&lt;=0,"NO DEMAND",IF(H907=0,"STOCKOUT",IF(J907&lt;Config!$B$5,"CRITICAL",IF(J907&lt;Config!$B$6,"LOW",IF(J907&gt;Config!$B$7,"EXCESS","HEALTHY")))))</f>
        <v/>
      </c>
      <c r="L907" s="11" t="n">
        <v>44</v>
      </c>
      <c r="M907" s="11" t="n">
        <v>56</v>
      </c>
      <c r="N907" s="11">
        <f>H907*L907</f>
        <v/>
      </c>
      <c r="O907" s="11">
        <f>IF(I907&gt;0,I907*(M907-L907),0)</f>
        <v/>
      </c>
      <c r="P907" s="11" t="n">
        <v>0</v>
      </c>
    </row>
    <row r="908">
      <c r="A908" s="4" t="inlineStr">
        <is>
          <t>WH08</t>
        </is>
      </c>
      <c r="B908" s="4" t="inlineStr">
        <is>
          <t>Chennai DC</t>
        </is>
      </c>
      <c r="C908" s="4" t="inlineStr">
        <is>
          <t>South</t>
        </is>
      </c>
      <c r="D908" s="4" t="inlineStr">
        <is>
          <t>SKU064</t>
        </is>
      </c>
      <c r="E908" s="4" t="inlineStr">
        <is>
          <t>Toilet Cleaner 500ml</t>
        </is>
      </c>
      <c r="F908" s="4" t="inlineStr">
        <is>
          <t>Home Care</t>
        </is>
      </c>
      <c r="G908" s="4" t="inlineStr">
        <is>
          <t>C</t>
        </is>
      </c>
      <c r="H908" s="11" t="n">
        <v>0</v>
      </c>
      <c r="I908" s="4" t="n">
        <v>187.5</v>
      </c>
      <c r="J908" s="13">
        <f>IF(I908&gt;0,H908/I908,"")</f>
        <v/>
      </c>
      <c r="K908" s="4">
        <f>IF(I908&lt;=0,"NO DEMAND",IF(H908=0,"STOCKOUT",IF(J908&lt;Config!$B$5,"CRITICAL",IF(J908&lt;Config!$B$6,"LOW",IF(J908&gt;Config!$B$7,"EXCESS","HEALTHY")))))</f>
        <v/>
      </c>
      <c r="L908" s="11" t="n">
        <v>102</v>
      </c>
      <c r="M908" s="11" t="n">
        <v>128</v>
      </c>
      <c r="N908" s="11">
        <f>H908*L908</f>
        <v/>
      </c>
      <c r="O908" s="11">
        <f>IF(I908&gt;0,I908*(M908-L908),0)</f>
        <v/>
      </c>
      <c r="P908" s="11" t="n">
        <v>468</v>
      </c>
    </row>
    <row r="909">
      <c r="A909" s="4" t="inlineStr">
        <is>
          <t>WH08</t>
        </is>
      </c>
      <c r="B909" s="4" t="inlineStr">
        <is>
          <t>Chennai DC</t>
        </is>
      </c>
      <c r="C909" s="4" t="inlineStr">
        <is>
          <t>South</t>
        </is>
      </c>
      <c r="D909" s="4" t="inlineStr">
        <is>
          <t>SKU065</t>
        </is>
      </c>
      <c r="E909" s="4" t="inlineStr">
        <is>
          <t>Glass Cleaner 500ml</t>
        </is>
      </c>
      <c r="F909" s="4" t="inlineStr">
        <is>
          <t>Home Care</t>
        </is>
      </c>
      <c r="G909" s="4" t="inlineStr">
        <is>
          <t>B</t>
        </is>
      </c>
      <c r="H909" s="11" t="n">
        <v>1519</v>
      </c>
      <c r="I909" s="4" t="n">
        <v>667.5</v>
      </c>
      <c r="J909" s="13">
        <f>IF(I909&gt;0,H909/I909,"")</f>
        <v/>
      </c>
      <c r="K909" s="4">
        <f>IF(I909&lt;=0,"NO DEMAND",IF(H909=0,"STOCKOUT",IF(J909&lt;Config!$B$5,"CRITICAL",IF(J909&lt;Config!$B$6,"LOW",IF(J909&gt;Config!$B$7,"EXCESS","HEALTHY")))))</f>
        <v/>
      </c>
      <c r="L909" s="11" t="n">
        <v>82</v>
      </c>
      <c r="M909" s="11" t="n">
        <v>102</v>
      </c>
      <c r="N909" s="11">
        <f>H909*L909</f>
        <v/>
      </c>
      <c r="O909" s="11">
        <f>IF(I909&gt;0,I909*(M909-L909),0)</f>
        <v/>
      </c>
      <c r="P909" s="11" t="n">
        <v>0</v>
      </c>
    </row>
    <row r="910">
      <c r="A910" s="4" t="inlineStr">
        <is>
          <t>WH08</t>
        </is>
      </c>
      <c r="B910" s="4" t="inlineStr">
        <is>
          <t>Chennai DC</t>
        </is>
      </c>
      <c r="C910" s="4" t="inlineStr">
        <is>
          <t>South</t>
        </is>
      </c>
      <c r="D910" s="4" t="inlineStr">
        <is>
          <t>SKU066</t>
        </is>
      </c>
      <c r="E910" s="4" t="inlineStr">
        <is>
          <t>Fabric Softener 1L</t>
        </is>
      </c>
      <c r="F910" s="4" t="inlineStr">
        <is>
          <t>Home Care</t>
        </is>
      </c>
      <c r="G910" s="4" t="inlineStr">
        <is>
          <t>B</t>
        </is>
      </c>
      <c r="H910" s="11" t="n">
        <v>1431</v>
      </c>
      <c r="I910" s="4" t="n">
        <v>962.75</v>
      </c>
      <c r="J910" s="13">
        <f>IF(I910&gt;0,H910/I910,"")</f>
        <v/>
      </c>
      <c r="K910" s="4">
        <f>IF(I910&lt;=0,"NO DEMAND",IF(H910=0,"STOCKOUT",IF(J910&lt;Config!$B$5,"CRITICAL",IF(J910&lt;Config!$B$6,"LOW",IF(J910&gt;Config!$B$7,"EXCESS","HEALTHY")))))</f>
        <v/>
      </c>
      <c r="L910" s="11" t="n">
        <v>51</v>
      </c>
      <c r="M910" s="11" t="n">
        <v>65</v>
      </c>
      <c r="N910" s="11">
        <f>H910*L910</f>
        <v/>
      </c>
      <c r="O910" s="11">
        <f>IF(I910&gt;0,I910*(M910-L910),0)</f>
        <v/>
      </c>
      <c r="P910" s="11" t="n">
        <v>0</v>
      </c>
    </row>
    <row r="911">
      <c r="A911" s="4" t="inlineStr">
        <is>
          <t>WH08</t>
        </is>
      </c>
      <c r="B911" s="4" t="inlineStr">
        <is>
          <t>Chennai DC</t>
        </is>
      </c>
      <c r="C911" s="4" t="inlineStr">
        <is>
          <t>South</t>
        </is>
      </c>
      <c r="D911" s="4" t="inlineStr">
        <is>
          <t>SKU067</t>
        </is>
      </c>
      <c r="E911" s="4" t="inlineStr">
        <is>
          <t>Mosquito Coil 10pk</t>
        </is>
      </c>
      <c r="F911" s="4" t="inlineStr">
        <is>
          <t>Home Care</t>
        </is>
      </c>
      <c r="G911" s="4" t="inlineStr">
        <is>
          <t>A</t>
        </is>
      </c>
      <c r="H911" s="11" t="n">
        <v>267</v>
      </c>
      <c r="I911" s="4" t="n">
        <v>585</v>
      </c>
      <c r="J911" s="13">
        <f>IF(I911&gt;0,H911/I911,"")</f>
        <v/>
      </c>
      <c r="K911" s="4">
        <f>IF(I911&lt;=0,"NO DEMAND",IF(H911=0,"STOCKOUT",IF(J911&lt;Config!$B$5,"CRITICAL",IF(J911&lt;Config!$B$6,"LOW",IF(J911&gt;Config!$B$7,"EXCESS","HEALTHY")))))</f>
        <v/>
      </c>
      <c r="L911" s="11" t="n">
        <v>200</v>
      </c>
      <c r="M911" s="11" t="n">
        <v>257</v>
      </c>
      <c r="N911" s="11">
        <f>H911*L911</f>
        <v/>
      </c>
      <c r="O911" s="11">
        <f>IF(I911&gt;0,I911*(M911-L911),0)</f>
        <v/>
      </c>
      <c r="P911" s="11" t="n">
        <v>0</v>
      </c>
    </row>
    <row r="912">
      <c r="A912" s="4" t="inlineStr">
        <is>
          <t>WH08</t>
        </is>
      </c>
      <c r="B912" s="4" t="inlineStr">
        <is>
          <t>Chennai DC</t>
        </is>
      </c>
      <c r="C912" s="4" t="inlineStr">
        <is>
          <t>South</t>
        </is>
      </c>
      <c r="D912" s="4" t="inlineStr">
        <is>
          <t>SKU068</t>
        </is>
      </c>
      <c r="E912" s="4" t="inlineStr">
        <is>
          <t>Air Freshener 250ml</t>
        </is>
      </c>
      <c r="F912" s="4" t="inlineStr">
        <is>
          <t>Home Care</t>
        </is>
      </c>
      <c r="G912" s="4" t="inlineStr">
        <is>
          <t>A</t>
        </is>
      </c>
      <c r="H912" s="11" t="n">
        <v>1243</v>
      </c>
      <c r="I912" s="4" t="n">
        <v>770.25</v>
      </c>
      <c r="J912" s="13">
        <f>IF(I912&gt;0,H912/I912,"")</f>
        <v/>
      </c>
      <c r="K912" s="4">
        <f>IF(I912&lt;=0,"NO DEMAND",IF(H912=0,"STOCKOUT",IF(J912&lt;Config!$B$5,"CRITICAL",IF(J912&lt;Config!$B$6,"LOW",IF(J912&gt;Config!$B$7,"EXCESS","HEALTHY")))))</f>
        <v/>
      </c>
      <c r="L912" s="11" t="n">
        <v>99</v>
      </c>
      <c r="M912" s="11" t="n">
        <v>123</v>
      </c>
      <c r="N912" s="11">
        <f>H912*L912</f>
        <v/>
      </c>
      <c r="O912" s="11">
        <f>IF(I912&gt;0,I912*(M912-L912),0)</f>
        <v/>
      </c>
      <c r="P912" s="11" t="n">
        <v>0</v>
      </c>
    </row>
    <row r="913">
      <c r="A913" s="4" t="inlineStr">
        <is>
          <t>WH08</t>
        </is>
      </c>
      <c r="B913" s="4" t="inlineStr">
        <is>
          <t>Chennai DC</t>
        </is>
      </c>
      <c r="C913" s="4" t="inlineStr">
        <is>
          <t>South</t>
        </is>
      </c>
      <c r="D913" s="4" t="inlineStr">
        <is>
          <t>SKU069</t>
        </is>
      </c>
      <c r="E913" s="4" t="inlineStr">
        <is>
          <t>Garbage Bags 30pk</t>
        </is>
      </c>
      <c r="F913" s="4" t="inlineStr">
        <is>
          <t>Home Care</t>
        </is>
      </c>
      <c r="G913" s="4" t="inlineStr">
        <is>
          <t>B</t>
        </is>
      </c>
      <c r="H913" s="11" t="n">
        <v>1099</v>
      </c>
      <c r="I913" s="4" t="n">
        <v>541</v>
      </c>
      <c r="J913" s="13">
        <f>IF(I913&gt;0,H913/I913,"")</f>
        <v/>
      </c>
      <c r="K913" s="4">
        <f>IF(I913&lt;=0,"NO DEMAND",IF(H913=0,"STOCKOUT",IF(J913&lt;Config!$B$5,"CRITICAL",IF(J913&lt;Config!$B$6,"LOW",IF(J913&gt;Config!$B$7,"EXCESS","HEALTHY")))))</f>
        <v/>
      </c>
      <c r="L913" s="11" t="n">
        <v>202</v>
      </c>
      <c r="M913" s="11" t="n">
        <v>252</v>
      </c>
      <c r="N913" s="11">
        <f>H913*L913</f>
        <v/>
      </c>
      <c r="O913" s="11">
        <f>IF(I913&gt;0,I913*(M913-L913),0)</f>
        <v/>
      </c>
      <c r="P913" s="11" t="n">
        <v>0</v>
      </c>
    </row>
    <row r="914">
      <c r="A914" s="4" t="inlineStr">
        <is>
          <t>WH08</t>
        </is>
      </c>
      <c r="B914" s="4" t="inlineStr">
        <is>
          <t>Chennai DC</t>
        </is>
      </c>
      <c r="C914" s="4" t="inlineStr">
        <is>
          <t>South</t>
        </is>
      </c>
      <c r="D914" s="4" t="inlineStr">
        <is>
          <t>SKU070</t>
        </is>
      </c>
      <c r="E914" s="4" t="inlineStr">
        <is>
          <t>Scrub Pad 3pk</t>
        </is>
      </c>
      <c r="F914" s="4" t="inlineStr">
        <is>
          <t>Home Care</t>
        </is>
      </c>
      <c r="G914" s="4" t="inlineStr">
        <is>
          <t>A</t>
        </is>
      </c>
      <c r="H914" s="11" t="n">
        <v>743</v>
      </c>
      <c r="I914" s="4" t="n">
        <v>522.75</v>
      </c>
      <c r="J914" s="13">
        <f>IF(I914&gt;0,H914/I914,"")</f>
        <v/>
      </c>
      <c r="K914" s="4">
        <f>IF(I914&lt;=0,"NO DEMAND",IF(H914=0,"STOCKOUT",IF(J914&lt;Config!$B$5,"CRITICAL",IF(J914&lt;Config!$B$6,"LOW",IF(J914&gt;Config!$B$7,"EXCESS","HEALTHY")))))</f>
        <v/>
      </c>
      <c r="L914" s="11" t="n">
        <v>121</v>
      </c>
      <c r="M914" s="11" t="n">
        <v>153</v>
      </c>
      <c r="N914" s="11">
        <f>H914*L914</f>
        <v/>
      </c>
      <c r="O914" s="11">
        <f>IF(I914&gt;0,I914*(M914-L914),0)</f>
        <v/>
      </c>
      <c r="P914" s="11" t="n">
        <v>0</v>
      </c>
    </row>
    <row r="915">
      <c r="A915" s="4" t="inlineStr">
        <is>
          <t>WH08</t>
        </is>
      </c>
      <c r="B915" s="4" t="inlineStr">
        <is>
          <t>Chennai DC</t>
        </is>
      </c>
      <c r="C915" s="4" t="inlineStr">
        <is>
          <t>South</t>
        </is>
      </c>
      <c r="D915" s="4" t="inlineStr">
        <is>
          <t>SKU071</t>
        </is>
      </c>
      <c r="E915" s="4" t="inlineStr">
        <is>
          <t>Bleach 500ml</t>
        </is>
      </c>
      <c r="F915" s="4" t="inlineStr">
        <is>
          <t>Home Care</t>
        </is>
      </c>
      <c r="G915" s="4" t="inlineStr">
        <is>
          <t>C</t>
        </is>
      </c>
      <c r="H915" s="11" t="n">
        <v>357</v>
      </c>
      <c r="I915" s="4" t="n">
        <v>64.25</v>
      </c>
      <c r="J915" s="13">
        <f>IF(I915&gt;0,H915/I915,"")</f>
        <v/>
      </c>
      <c r="K915" s="4">
        <f>IF(I915&lt;=0,"NO DEMAND",IF(H915=0,"STOCKOUT",IF(J915&lt;Config!$B$5,"CRITICAL",IF(J915&lt;Config!$B$6,"LOW",IF(J915&gt;Config!$B$7,"EXCESS","HEALTHY")))))</f>
        <v/>
      </c>
      <c r="L915" s="11" t="n">
        <v>41</v>
      </c>
      <c r="M915" s="11" t="n">
        <v>51</v>
      </c>
      <c r="N915" s="11">
        <f>H915*L915</f>
        <v/>
      </c>
      <c r="O915" s="11">
        <f>IF(I915&gt;0,I915*(M915-L915),0)</f>
        <v/>
      </c>
      <c r="P915" s="11" t="n">
        <v>0</v>
      </c>
    </row>
    <row r="916">
      <c r="A916" s="4" t="inlineStr">
        <is>
          <t>WH08</t>
        </is>
      </c>
      <c r="B916" s="4" t="inlineStr">
        <is>
          <t>Chennai DC</t>
        </is>
      </c>
      <c r="C916" s="4" t="inlineStr">
        <is>
          <t>South</t>
        </is>
      </c>
      <c r="D916" s="4" t="inlineStr">
        <is>
          <t>SKU072</t>
        </is>
      </c>
      <c r="E916" s="4" t="inlineStr">
        <is>
          <t>Phenyl 1L</t>
        </is>
      </c>
      <c r="F916" s="4" t="inlineStr">
        <is>
          <t>Home Care</t>
        </is>
      </c>
      <c r="G916" s="4" t="inlineStr">
        <is>
          <t>B</t>
        </is>
      </c>
      <c r="H916" s="11" t="n">
        <v>578</v>
      </c>
      <c r="I916" s="4" t="n">
        <v>341</v>
      </c>
      <c r="J916" s="13">
        <f>IF(I916&gt;0,H916/I916,"")</f>
        <v/>
      </c>
      <c r="K916" s="4">
        <f>IF(I916&lt;=0,"NO DEMAND",IF(H916=0,"STOCKOUT",IF(J916&lt;Config!$B$5,"CRITICAL",IF(J916&lt;Config!$B$6,"LOW",IF(J916&gt;Config!$B$7,"EXCESS","HEALTHY")))))</f>
        <v/>
      </c>
      <c r="L916" s="11" t="n">
        <v>137</v>
      </c>
      <c r="M916" s="11" t="n">
        <v>170</v>
      </c>
      <c r="N916" s="11">
        <f>H916*L916</f>
        <v/>
      </c>
      <c r="O916" s="11">
        <f>IF(I916&gt;0,I916*(M916-L916),0)</f>
        <v/>
      </c>
      <c r="P916" s="11" t="n">
        <v>0</v>
      </c>
    </row>
    <row r="917">
      <c r="A917" s="4" t="inlineStr">
        <is>
          <t>WH08</t>
        </is>
      </c>
      <c r="B917" s="4" t="inlineStr">
        <is>
          <t>Chennai DC</t>
        </is>
      </c>
      <c r="C917" s="4" t="inlineStr">
        <is>
          <t>South</t>
        </is>
      </c>
      <c r="D917" s="4" t="inlineStr">
        <is>
          <t>SKU073</t>
        </is>
      </c>
      <c r="E917" s="4" t="inlineStr">
        <is>
          <t>Agarbatti 100pk</t>
        </is>
      </c>
      <c r="F917" s="4" t="inlineStr">
        <is>
          <t>Home Care</t>
        </is>
      </c>
      <c r="G917" s="4" t="inlineStr">
        <is>
          <t>C</t>
        </is>
      </c>
      <c r="H917" s="11" t="n">
        <v>0</v>
      </c>
      <c r="I917" s="4" t="n">
        <v>650.25</v>
      </c>
      <c r="J917" s="13">
        <f>IF(I917&gt;0,H917/I917,"")</f>
        <v/>
      </c>
      <c r="K917" s="4">
        <f>IF(I917&lt;=0,"NO DEMAND",IF(H917=0,"STOCKOUT",IF(J917&lt;Config!$B$5,"CRITICAL",IF(J917&lt;Config!$B$6,"LOW",IF(J917&gt;Config!$B$7,"EXCESS","HEALTHY")))))</f>
        <v/>
      </c>
      <c r="L917" s="11" t="n">
        <v>59</v>
      </c>
      <c r="M917" s="11" t="n">
        <v>75</v>
      </c>
      <c r="N917" s="11">
        <f>H917*L917</f>
        <v/>
      </c>
      <c r="O917" s="11">
        <f>IF(I917&gt;0,I917*(M917-L917),0)</f>
        <v/>
      </c>
      <c r="P917" s="11" t="n">
        <v>1344</v>
      </c>
    </row>
    <row r="918">
      <c r="A918" s="4" t="inlineStr">
        <is>
          <t>WH08</t>
        </is>
      </c>
      <c r="B918" s="4" t="inlineStr">
        <is>
          <t>Chennai DC</t>
        </is>
      </c>
      <c r="C918" s="4" t="inlineStr">
        <is>
          <t>South</t>
        </is>
      </c>
      <c r="D918" s="4" t="inlineStr">
        <is>
          <t>SKU074</t>
        </is>
      </c>
      <c r="E918" s="4" t="inlineStr">
        <is>
          <t>Matchbox 10pk</t>
        </is>
      </c>
      <c r="F918" s="4" t="inlineStr">
        <is>
          <t>Home Care</t>
        </is>
      </c>
      <c r="G918" s="4" t="inlineStr">
        <is>
          <t>A</t>
        </is>
      </c>
      <c r="H918" s="11" t="n">
        <v>205</v>
      </c>
      <c r="I918" s="4" t="n">
        <v>741</v>
      </c>
      <c r="J918" s="13">
        <f>IF(I918&gt;0,H918/I918,"")</f>
        <v/>
      </c>
      <c r="K918" s="4">
        <f>IF(I918&lt;=0,"NO DEMAND",IF(H918=0,"STOCKOUT",IF(J918&lt;Config!$B$5,"CRITICAL",IF(J918&lt;Config!$B$6,"LOW",IF(J918&gt;Config!$B$7,"EXCESS","HEALTHY")))))</f>
        <v/>
      </c>
      <c r="L918" s="11" t="n">
        <v>257</v>
      </c>
      <c r="M918" s="11" t="n">
        <v>315</v>
      </c>
      <c r="N918" s="11">
        <f>H918*L918</f>
        <v/>
      </c>
      <c r="O918" s="11">
        <f>IF(I918&gt;0,I918*(M918-L918),0)</f>
        <v/>
      </c>
      <c r="P918" s="11" t="n">
        <v>1284</v>
      </c>
    </row>
    <row r="919">
      <c r="A919" s="4" t="inlineStr">
        <is>
          <t>WH08</t>
        </is>
      </c>
      <c r="B919" s="4" t="inlineStr">
        <is>
          <t>Chennai DC</t>
        </is>
      </c>
      <c r="C919" s="4" t="inlineStr">
        <is>
          <t>South</t>
        </is>
      </c>
      <c r="D919" s="4" t="inlineStr">
        <is>
          <t>SKU075</t>
        </is>
      </c>
      <c r="E919" s="4" t="inlineStr">
        <is>
          <t>Naphthalene Balls 200g</t>
        </is>
      </c>
      <c r="F919" s="4" t="inlineStr">
        <is>
          <t>Home Care</t>
        </is>
      </c>
      <c r="G919" s="4" t="inlineStr">
        <is>
          <t>C</t>
        </is>
      </c>
      <c r="H919" s="11" t="n">
        <v>896</v>
      </c>
      <c r="I919" s="4" t="n">
        <v>426</v>
      </c>
      <c r="J919" s="13">
        <f>IF(I919&gt;0,H919/I919,"")</f>
        <v/>
      </c>
      <c r="K919" s="4">
        <f>IF(I919&lt;=0,"NO DEMAND",IF(H919=0,"STOCKOUT",IF(J919&lt;Config!$B$5,"CRITICAL",IF(J919&lt;Config!$B$6,"LOW",IF(J919&gt;Config!$B$7,"EXCESS","HEALTHY")))))</f>
        <v/>
      </c>
      <c r="L919" s="11" t="n">
        <v>49</v>
      </c>
      <c r="M919" s="11" t="n">
        <v>60</v>
      </c>
      <c r="N919" s="11">
        <f>H919*L919</f>
        <v/>
      </c>
      <c r="O919" s="11">
        <f>IF(I919&gt;0,I919*(M919-L919),0)</f>
        <v/>
      </c>
      <c r="P919" s="11" t="n">
        <v>0</v>
      </c>
    </row>
    <row r="920">
      <c r="A920" s="4" t="inlineStr">
        <is>
          <t>WH08</t>
        </is>
      </c>
      <c r="B920" s="4" t="inlineStr">
        <is>
          <t>Chennai DC</t>
        </is>
      </c>
      <c r="C920" s="4" t="inlineStr">
        <is>
          <t>South</t>
        </is>
      </c>
      <c r="D920" s="4" t="inlineStr">
        <is>
          <t>SKU076</t>
        </is>
      </c>
      <c r="E920" s="4" t="inlineStr">
        <is>
          <t>USB-C Cable 1m</t>
        </is>
      </c>
      <c r="F920" s="4" t="inlineStr">
        <is>
          <t>Electronics Accessories</t>
        </is>
      </c>
      <c r="G920" s="4" t="inlineStr">
        <is>
          <t>A</t>
        </is>
      </c>
      <c r="H920" s="11" t="n">
        <v>0</v>
      </c>
      <c r="I920" s="4" t="n">
        <v>199.75</v>
      </c>
      <c r="J920" s="13">
        <f>IF(I920&gt;0,H920/I920,"")</f>
        <v/>
      </c>
      <c r="K920" s="4">
        <f>IF(I920&lt;=0,"NO DEMAND",IF(H920=0,"STOCKOUT",IF(J920&lt;Config!$B$5,"CRITICAL",IF(J920&lt;Config!$B$6,"LOW",IF(J920&gt;Config!$B$7,"EXCESS","HEALTHY")))))</f>
        <v/>
      </c>
      <c r="L920" s="11" t="n">
        <v>441</v>
      </c>
      <c r="M920" s="11" t="n">
        <v>572</v>
      </c>
      <c r="N920" s="11">
        <f>H920*L920</f>
        <v/>
      </c>
      <c r="O920" s="11">
        <f>IF(I920&gt;0,I920*(M920-L920),0)</f>
        <v/>
      </c>
      <c r="P920" s="11" t="n">
        <v>920</v>
      </c>
    </row>
    <row r="921">
      <c r="A921" s="4" t="inlineStr">
        <is>
          <t>WH08</t>
        </is>
      </c>
      <c r="B921" s="4" t="inlineStr">
        <is>
          <t>Chennai DC</t>
        </is>
      </c>
      <c r="C921" s="4" t="inlineStr">
        <is>
          <t>South</t>
        </is>
      </c>
      <c r="D921" s="4" t="inlineStr">
        <is>
          <t>SKU077</t>
        </is>
      </c>
      <c r="E921" s="4" t="inlineStr">
        <is>
          <t>Fast Charger 25W</t>
        </is>
      </c>
      <c r="F921" s="4" t="inlineStr">
        <is>
          <t>Electronics Accessories</t>
        </is>
      </c>
      <c r="G921" s="4" t="inlineStr">
        <is>
          <t>B</t>
        </is>
      </c>
      <c r="H921" s="11" t="n">
        <v>273</v>
      </c>
      <c r="I921" s="4" t="n">
        <v>172</v>
      </c>
      <c r="J921" s="13">
        <f>IF(I921&gt;0,H921/I921,"")</f>
        <v/>
      </c>
      <c r="K921" s="4">
        <f>IF(I921&lt;=0,"NO DEMAND",IF(H921=0,"STOCKOUT",IF(J921&lt;Config!$B$5,"CRITICAL",IF(J921&lt;Config!$B$6,"LOW",IF(J921&gt;Config!$B$7,"EXCESS","HEALTHY")))))</f>
        <v/>
      </c>
      <c r="L921" s="11" t="n">
        <v>364</v>
      </c>
      <c r="M921" s="11" t="n">
        <v>465</v>
      </c>
      <c r="N921" s="11">
        <f>H921*L921</f>
        <v/>
      </c>
      <c r="O921" s="11">
        <f>IF(I921&gt;0,I921*(M921-L921),0)</f>
        <v/>
      </c>
      <c r="P921" s="11" t="n">
        <v>450</v>
      </c>
    </row>
    <row r="922">
      <c r="A922" s="4" t="inlineStr">
        <is>
          <t>WH08</t>
        </is>
      </c>
      <c r="B922" s="4" t="inlineStr">
        <is>
          <t>Chennai DC</t>
        </is>
      </c>
      <c r="C922" s="4" t="inlineStr">
        <is>
          <t>South</t>
        </is>
      </c>
      <c r="D922" s="4" t="inlineStr">
        <is>
          <t>SKU078</t>
        </is>
      </c>
      <c r="E922" s="4" t="inlineStr">
        <is>
          <t>Power Bank 10000mAh</t>
        </is>
      </c>
      <c r="F922" s="4" t="inlineStr">
        <is>
          <t>Electronics Accessories</t>
        </is>
      </c>
      <c r="G922" s="4" t="inlineStr">
        <is>
          <t>B</t>
        </is>
      </c>
      <c r="H922" s="11" t="n">
        <v>0</v>
      </c>
      <c r="I922" s="4" t="n">
        <v>143</v>
      </c>
      <c r="J922" s="13">
        <f>IF(I922&gt;0,H922/I922,"")</f>
        <v/>
      </c>
      <c r="K922" s="4">
        <f>IF(I922&lt;=0,"NO DEMAND",IF(H922=0,"STOCKOUT",IF(J922&lt;Config!$B$5,"CRITICAL",IF(J922&lt;Config!$B$6,"LOW",IF(J922&gt;Config!$B$7,"EXCESS","HEALTHY")))))</f>
        <v/>
      </c>
      <c r="L922" s="11" t="n">
        <v>359</v>
      </c>
      <c r="M922" s="11" t="n">
        <v>471</v>
      </c>
      <c r="N922" s="11">
        <f>H922*L922</f>
        <v/>
      </c>
      <c r="O922" s="11">
        <f>IF(I922&gt;0,I922*(M922-L922),0)</f>
        <v/>
      </c>
      <c r="P922" s="11" t="n">
        <v>450</v>
      </c>
    </row>
    <row r="923">
      <c r="A923" s="4" t="inlineStr">
        <is>
          <t>WH08</t>
        </is>
      </c>
      <c r="B923" s="4" t="inlineStr">
        <is>
          <t>Chennai DC</t>
        </is>
      </c>
      <c r="C923" s="4" t="inlineStr">
        <is>
          <t>South</t>
        </is>
      </c>
      <c r="D923" s="4" t="inlineStr">
        <is>
          <t>SKU079</t>
        </is>
      </c>
      <c r="E923" s="4" t="inlineStr">
        <is>
          <t>Wired Earphones</t>
        </is>
      </c>
      <c r="F923" s="4" t="inlineStr">
        <is>
          <t>Electronics Accessories</t>
        </is>
      </c>
      <c r="G923" s="4" t="inlineStr">
        <is>
          <t>A</t>
        </is>
      </c>
      <c r="H923" s="11" t="n">
        <v>0</v>
      </c>
      <c r="I923" s="4" t="n">
        <v>217.5</v>
      </c>
      <c r="J923" s="13">
        <f>IF(I923&gt;0,H923/I923,"")</f>
        <v/>
      </c>
      <c r="K923" s="4">
        <f>IF(I923&lt;=0,"NO DEMAND",IF(H923=0,"STOCKOUT",IF(J923&lt;Config!$B$5,"CRITICAL",IF(J923&lt;Config!$B$6,"LOW",IF(J923&gt;Config!$B$7,"EXCESS","HEALTHY")))))</f>
        <v/>
      </c>
      <c r="L923" s="11" t="n">
        <v>1110</v>
      </c>
      <c r="M923" s="11" t="n">
        <v>1412</v>
      </c>
      <c r="N923" s="11">
        <f>H923*L923</f>
        <v/>
      </c>
      <c r="O923" s="11">
        <f>IF(I923&gt;0,I923*(M923-L923),0)</f>
        <v/>
      </c>
      <c r="P923" s="11" t="n">
        <v>970</v>
      </c>
    </row>
    <row r="924">
      <c r="A924" s="4" t="inlineStr">
        <is>
          <t>WH08</t>
        </is>
      </c>
      <c r="B924" s="4" t="inlineStr">
        <is>
          <t>Chennai DC</t>
        </is>
      </c>
      <c r="C924" s="4" t="inlineStr">
        <is>
          <t>South</t>
        </is>
      </c>
      <c r="D924" s="4" t="inlineStr">
        <is>
          <t>SKU080</t>
        </is>
      </c>
      <c r="E924" s="4" t="inlineStr">
        <is>
          <t>TWS Earbuds</t>
        </is>
      </c>
      <c r="F924" s="4" t="inlineStr">
        <is>
          <t>Electronics Accessories</t>
        </is>
      </c>
      <c r="G924" s="4" t="inlineStr">
        <is>
          <t>A</t>
        </is>
      </c>
      <c r="H924" s="11" t="n">
        <v>0</v>
      </c>
      <c r="I924" s="4" t="n">
        <v>208.75</v>
      </c>
      <c r="J924" s="13">
        <f>IF(I924&gt;0,H924/I924,"")</f>
        <v/>
      </c>
      <c r="K924" s="4">
        <f>IF(I924&lt;=0,"NO DEMAND",IF(H924=0,"STOCKOUT",IF(J924&lt;Config!$B$5,"CRITICAL",IF(J924&lt;Config!$B$6,"LOW",IF(J924&gt;Config!$B$7,"EXCESS","HEALTHY")))))</f>
        <v/>
      </c>
      <c r="L924" s="11" t="n">
        <v>2238</v>
      </c>
      <c r="M924" s="11" t="n">
        <v>2947</v>
      </c>
      <c r="N924" s="11">
        <f>H924*L924</f>
        <v/>
      </c>
      <c r="O924" s="11">
        <f>IF(I924&gt;0,I924*(M924-L924),0)</f>
        <v/>
      </c>
      <c r="P924" s="11" t="n">
        <v>990</v>
      </c>
    </row>
    <row r="925">
      <c r="A925" s="4" t="inlineStr">
        <is>
          <t>WH08</t>
        </is>
      </c>
      <c r="B925" s="4" t="inlineStr">
        <is>
          <t>Chennai DC</t>
        </is>
      </c>
      <c r="C925" s="4" t="inlineStr">
        <is>
          <t>South</t>
        </is>
      </c>
      <c r="D925" s="4" t="inlineStr">
        <is>
          <t>SKU081</t>
        </is>
      </c>
      <c r="E925" s="4" t="inlineStr">
        <is>
          <t>Bluetooth Speaker</t>
        </is>
      </c>
      <c r="F925" s="4" t="inlineStr">
        <is>
          <t>Electronics Accessories</t>
        </is>
      </c>
      <c r="G925" s="4" t="inlineStr">
        <is>
          <t>B</t>
        </is>
      </c>
      <c r="H925" s="11" t="n">
        <v>33</v>
      </c>
      <c r="I925" s="4" t="n">
        <v>171.5</v>
      </c>
      <c r="J925" s="13">
        <f>IF(I925&gt;0,H925/I925,"")</f>
        <v/>
      </c>
      <c r="K925" s="4">
        <f>IF(I925&lt;=0,"NO DEMAND",IF(H925=0,"STOCKOUT",IF(J925&lt;Config!$B$5,"CRITICAL",IF(J925&lt;Config!$B$6,"LOW",IF(J925&gt;Config!$B$7,"EXCESS","HEALTHY")))))</f>
        <v/>
      </c>
      <c r="L925" s="11" t="n">
        <v>227</v>
      </c>
      <c r="M925" s="11" t="n">
        <v>293</v>
      </c>
      <c r="N925" s="11">
        <f>H925*L925</f>
        <v/>
      </c>
      <c r="O925" s="11">
        <f>IF(I925&gt;0,I925*(M925-L925),0)</f>
        <v/>
      </c>
      <c r="P925" s="11" t="n">
        <v>780</v>
      </c>
    </row>
    <row r="926">
      <c r="A926" s="4" t="inlineStr">
        <is>
          <t>WH08</t>
        </is>
      </c>
      <c r="B926" s="4" t="inlineStr">
        <is>
          <t>Chennai DC</t>
        </is>
      </c>
      <c r="C926" s="4" t="inlineStr">
        <is>
          <t>South</t>
        </is>
      </c>
      <c r="D926" s="4" t="inlineStr">
        <is>
          <t>SKU082</t>
        </is>
      </c>
      <c r="E926" s="4" t="inlineStr">
        <is>
          <t>Phone Case</t>
        </is>
      </c>
      <c r="F926" s="4" t="inlineStr">
        <is>
          <t>Electronics Accessories</t>
        </is>
      </c>
      <c r="G926" s="4" t="inlineStr">
        <is>
          <t>B</t>
        </is>
      </c>
      <c r="H926" s="11" t="n">
        <v>243</v>
      </c>
      <c r="I926" s="4" t="n">
        <v>72.25</v>
      </c>
      <c r="J926" s="13">
        <f>IF(I926&gt;0,H926/I926,"")</f>
        <v/>
      </c>
      <c r="K926" s="4">
        <f>IF(I926&lt;=0,"NO DEMAND",IF(H926=0,"STOCKOUT",IF(J926&lt;Config!$B$5,"CRITICAL",IF(J926&lt;Config!$B$6,"LOW",IF(J926&gt;Config!$B$7,"EXCESS","HEALTHY")))))</f>
        <v/>
      </c>
      <c r="L926" s="11" t="n">
        <v>665</v>
      </c>
      <c r="M926" s="11" t="n">
        <v>835</v>
      </c>
      <c r="N926" s="11">
        <f>H926*L926</f>
        <v/>
      </c>
      <c r="O926" s="11">
        <f>IF(I926&gt;0,I926*(M926-L926),0)</f>
        <v/>
      </c>
      <c r="P926" s="11" t="n">
        <v>0</v>
      </c>
    </row>
    <row r="927">
      <c r="A927" s="4" t="inlineStr">
        <is>
          <t>WH08</t>
        </is>
      </c>
      <c r="B927" s="4" t="inlineStr">
        <is>
          <t>Chennai DC</t>
        </is>
      </c>
      <c r="C927" s="4" t="inlineStr">
        <is>
          <t>South</t>
        </is>
      </c>
      <c r="D927" s="4" t="inlineStr">
        <is>
          <t>SKU083</t>
        </is>
      </c>
      <c r="E927" s="4" t="inlineStr">
        <is>
          <t>Screen Guard</t>
        </is>
      </c>
      <c r="F927" s="4" t="inlineStr">
        <is>
          <t>Electronics Accessories</t>
        </is>
      </c>
      <c r="G927" s="4" t="inlineStr">
        <is>
          <t>C</t>
        </is>
      </c>
      <c r="H927" s="11" t="n">
        <v>0</v>
      </c>
      <c r="I927" s="4" t="n">
        <v>50</v>
      </c>
      <c r="J927" s="13">
        <f>IF(I927&gt;0,H927/I927,"")</f>
        <v/>
      </c>
      <c r="K927" s="4">
        <f>IF(I927&lt;=0,"NO DEMAND",IF(H927=0,"STOCKOUT",IF(J927&lt;Config!$B$5,"CRITICAL",IF(J927&lt;Config!$B$6,"LOW",IF(J927&gt;Config!$B$7,"EXCESS","HEALTHY")))))</f>
        <v/>
      </c>
      <c r="L927" s="11" t="n">
        <v>229</v>
      </c>
      <c r="M927" s="11" t="n">
        <v>298</v>
      </c>
      <c r="N927" s="11">
        <f>H927*L927</f>
        <v/>
      </c>
      <c r="O927" s="11">
        <f>IF(I927&gt;0,I927*(M927-L927),0)</f>
        <v/>
      </c>
      <c r="P927" s="11" t="n">
        <v>150</v>
      </c>
    </row>
    <row r="928">
      <c r="A928" s="4" t="inlineStr">
        <is>
          <t>WH08</t>
        </is>
      </c>
      <c r="B928" s="4" t="inlineStr">
        <is>
          <t>Chennai DC</t>
        </is>
      </c>
      <c r="C928" s="4" t="inlineStr">
        <is>
          <t>South</t>
        </is>
      </c>
      <c r="D928" s="4" t="inlineStr">
        <is>
          <t>SKU084</t>
        </is>
      </c>
      <c r="E928" s="4" t="inlineStr">
        <is>
          <t>LED Bulb 9W</t>
        </is>
      </c>
      <c r="F928" s="4" t="inlineStr">
        <is>
          <t>Electronics Accessories</t>
        </is>
      </c>
      <c r="G928" s="4" t="inlineStr">
        <is>
          <t>C</t>
        </is>
      </c>
      <c r="H928" s="11" t="n">
        <v>137</v>
      </c>
      <c r="I928" s="4" t="n">
        <v>83</v>
      </c>
      <c r="J928" s="13">
        <f>IF(I928&gt;0,H928/I928,"")</f>
        <v/>
      </c>
      <c r="K928" s="4">
        <f>IF(I928&lt;=0,"NO DEMAND",IF(H928=0,"STOCKOUT",IF(J928&lt;Config!$B$5,"CRITICAL",IF(J928&lt;Config!$B$6,"LOW",IF(J928&gt;Config!$B$7,"EXCESS","HEALTHY")))))</f>
        <v/>
      </c>
      <c r="L928" s="11" t="n">
        <v>160</v>
      </c>
      <c r="M928" s="11" t="n">
        <v>207</v>
      </c>
      <c r="N928" s="11">
        <f>H928*L928</f>
        <v/>
      </c>
      <c r="O928" s="11">
        <f>IF(I928&gt;0,I928*(M928-L928),0)</f>
        <v/>
      </c>
      <c r="P928" s="11" t="n">
        <v>0</v>
      </c>
    </row>
    <row r="929">
      <c r="A929" s="4" t="inlineStr">
        <is>
          <t>WH08</t>
        </is>
      </c>
      <c r="B929" s="4" t="inlineStr">
        <is>
          <t>Chennai DC</t>
        </is>
      </c>
      <c r="C929" s="4" t="inlineStr">
        <is>
          <t>South</t>
        </is>
      </c>
      <c r="D929" s="4" t="inlineStr">
        <is>
          <t>SKU085</t>
        </is>
      </c>
      <c r="E929" s="4" t="inlineStr">
        <is>
          <t>Extension Board 4-socket</t>
        </is>
      </c>
      <c r="F929" s="4" t="inlineStr">
        <is>
          <t>Electronics Accessories</t>
        </is>
      </c>
      <c r="G929" s="4" t="inlineStr">
        <is>
          <t>B</t>
        </is>
      </c>
      <c r="H929" s="11" t="n">
        <v>44</v>
      </c>
      <c r="I929" s="4" t="n">
        <v>269.25</v>
      </c>
      <c r="J929" s="13">
        <f>IF(I929&gt;0,H929/I929,"")</f>
        <v/>
      </c>
      <c r="K929" s="4">
        <f>IF(I929&lt;=0,"NO DEMAND",IF(H929=0,"STOCKOUT",IF(J929&lt;Config!$B$5,"CRITICAL",IF(J929&lt;Config!$B$6,"LOW",IF(J929&gt;Config!$B$7,"EXCESS","HEALTHY")))))</f>
        <v/>
      </c>
      <c r="L929" s="11" t="n">
        <v>336</v>
      </c>
      <c r="M929" s="11" t="n">
        <v>431</v>
      </c>
      <c r="N929" s="11">
        <f>H929*L929</f>
        <v/>
      </c>
      <c r="O929" s="11">
        <f>IF(I929&gt;0,I929*(M929-L929),0)</f>
        <v/>
      </c>
      <c r="P929" s="11" t="n">
        <v>800</v>
      </c>
    </row>
    <row r="930">
      <c r="A930" s="4" t="inlineStr">
        <is>
          <t>WH08</t>
        </is>
      </c>
      <c r="B930" s="4" t="inlineStr">
        <is>
          <t>Chennai DC</t>
        </is>
      </c>
      <c r="C930" s="4" t="inlineStr">
        <is>
          <t>South</t>
        </is>
      </c>
      <c r="D930" s="4" t="inlineStr">
        <is>
          <t>SKU086</t>
        </is>
      </c>
      <c r="E930" s="4" t="inlineStr">
        <is>
          <t>AA Batteries 10pk</t>
        </is>
      </c>
      <c r="F930" s="4" t="inlineStr">
        <is>
          <t>Electronics Accessories</t>
        </is>
      </c>
      <c r="G930" s="4" t="inlineStr">
        <is>
          <t>A</t>
        </is>
      </c>
      <c r="H930" s="11" t="n">
        <v>301</v>
      </c>
      <c r="I930" s="4" t="n">
        <v>149.75</v>
      </c>
      <c r="J930" s="13">
        <f>IF(I930&gt;0,H930/I930,"")</f>
        <v/>
      </c>
      <c r="K930" s="4">
        <f>IF(I930&lt;=0,"NO DEMAND",IF(H930=0,"STOCKOUT",IF(J930&lt;Config!$B$5,"CRITICAL",IF(J930&lt;Config!$B$6,"LOW",IF(J930&gt;Config!$B$7,"EXCESS","HEALTHY")))))</f>
        <v/>
      </c>
      <c r="L930" s="11" t="n">
        <v>1335</v>
      </c>
      <c r="M930" s="11" t="n">
        <v>1740</v>
      </c>
      <c r="N930" s="11">
        <f>H930*L930</f>
        <v/>
      </c>
      <c r="O930" s="11">
        <f>IF(I930&gt;0,I930*(M930-L930),0)</f>
        <v/>
      </c>
      <c r="P930" s="11" t="n">
        <v>460</v>
      </c>
    </row>
    <row r="931">
      <c r="A931" s="4" t="inlineStr">
        <is>
          <t>WH08</t>
        </is>
      </c>
      <c r="B931" s="4" t="inlineStr">
        <is>
          <t>Chennai DC</t>
        </is>
      </c>
      <c r="C931" s="4" t="inlineStr">
        <is>
          <t>South</t>
        </is>
      </c>
      <c r="D931" s="4" t="inlineStr">
        <is>
          <t>SKU087</t>
        </is>
      </c>
      <c r="E931" s="4" t="inlineStr">
        <is>
          <t>SD Card 64GB</t>
        </is>
      </c>
      <c r="F931" s="4" t="inlineStr">
        <is>
          <t>Electronics Accessories</t>
        </is>
      </c>
      <c r="G931" s="4" t="inlineStr">
        <is>
          <t>A</t>
        </is>
      </c>
      <c r="H931" s="11" t="n">
        <v>428</v>
      </c>
      <c r="I931" s="4" t="n">
        <v>297.25</v>
      </c>
      <c r="J931" s="13">
        <f>IF(I931&gt;0,H931/I931,"")</f>
        <v/>
      </c>
      <c r="K931" s="4">
        <f>IF(I931&lt;=0,"NO DEMAND",IF(H931=0,"STOCKOUT",IF(J931&lt;Config!$B$5,"CRITICAL",IF(J931&lt;Config!$B$6,"LOW",IF(J931&gt;Config!$B$7,"EXCESS","HEALTHY")))))</f>
        <v/>
      </c>
      <c r="L931" s="11" t="n">
        <v>1750</v>
      </c>
      <c r="M931" s="11" t="n">
        <v>2180</v>
      </c>
      <c r="N931" s="11">
        <f>H931*L931</f>
        <v/>
      </c>
      <c r="O931" s="11">
        <f>IF(I931&gt;0,I931*(M931-L931),0)</f>
        <v/>
      </c>
      <c r="P931" s="11" t="n">
        <v>560</v>
      </c>
    </row>
    <row r="932">
      <c r="A932" s="4" t="inlineStr">
        <is>
          <t>WH08</t>
        </is>
      </c>
      <c r="B932" s="4" t="inlineStr">
        <is>
          <t>Chennai DC</t>
        </is>
      </c>
      <c r="C932" s="4" t="inlineStr">
        <is>
          <t>South</t>
        </is>
      </c>
      <c r="D932" s="4" t="inlineStr">
        <is>
          <t>SKU088</t>
        </is>
      </c>
      <c r="E932" s="4" t="inlineStr">
        <is>
          <t>Wireless Mouse</t>
        </is>
      </c>
      <c r="F932" s="4" t="inlineStr">
        <is>
          <t>Electronics Accessories</t>
        </is>
      </c>
      <c r="G932" s="4" t="inlineStr">
        <is>
          <t>A</t>
        </is>
      </c>
      <c r="H932" s="11" t="n">
        <v>142</v>
      </c>
      <c r="I932" s="4" t="n">
        <v>136.25</v>
      </c>
      <c r="J932" s="13">
        <f>IF(I932&gt;0,H932/I932,"")</f>
        <v/>
      </c>
      <c r="K932" s="4">
        <f>IF(I932&lt;=0,"NO DEMAND",IF(H932=0,"STOCKOUT",IF(J932&lt;Config!$B$5,"CRITICAL",IF(J932&lt;Config!$B$6,"LOW",IF(J932&gt;Config!$B$7,"EXCESS","HEALTHY")))))</f>
        <v/>
      </c>
      <c r="L932" s="11" t="n">
        <v>429</v>
      </c>
      <c r="M932" s="11" t="n">
        <v>534</v>
      </c>
      <c r="N932" s="11">
        <f>H932*L932</f>
        <v/>
      </c>
      <c r="O932" s="11">
        <f>IF(I932&gt;0,I932*(M932-L932),0)</f>
        <v/>
      </c>
      <c r="P932" s="11" t="n">
        <v>420</v>
      </c>
    </row>
    <row r="933">
      <c r="A933" s="4" t="inlineStr">
        <is>
          <t>WH08</t>
        </is>
      </c>
      <c r="B933" s="4" t="inlineStr">
        <is>
          <t>Chennai DC</t>
        </is>
      </c>
      <c r="C933" s="4" t="inlineStr">
        <is>
          <t>South</t>
        </is>
      </c>
      <c r="D933" s="4" t="inlineStr">
        <is>
          <t>SKU089</t>
        </is>
      </c>
      <c r="E933" s="4" t="inlineStr">
        <is>
          <t>USB Keyboard</t>
        </is>
      </c>
      <c r="F933" s="4" t="inlineStr">
        <is>
          <t>Electronics Accessories</t>
        </is>
      </c>
      <c r="G933" s="4" t="inlineStr">
        <is>
          <t>A</t>
        </is>
      </c>
      <c r="H933" s="11" t="n">
        <v>395</v>
      </c>
      <c r="I933" s="4" t="n">
        <v>107.5</v>
      </c>
      <c r="J933" s="13">
        <f>IF(I933&gt;0,H933/I933,"")</f>
        <v/>
      </c>
      <c r="K933" s="4">
        <f>IF(I933&lt;=0,"NO DEMAND",IF(H933=0,"STOCKOUT",IF(J933&lt;Config!$B$5,"CRITICAL",IF(J933&lt;Config!$B$6,"LOW",IF(J933&gt;Config!$B$7,"EXCESS","HEALTHY")))))</f>
        <v/>
      </c>
      <c r="L933" s="11" t="n">
        <v>2249</v>
      </c>
      <c r="M933" s="11" t="n">
        <v>2812</v>
      </c>
      <c r="N933" s="11">
        <f>H933*L933</f>
        <v/>
      </c>
      <c r="O933" s="11">
        <f>IF(I933&gt;0,I933*(M933-L933),0)</f>
        <v/>
      </c>
      <c r="P933" s="11" t="n">
        <v>0</v>
      </c>
    </row>
    <row r="934">
      <c r="A934" s="4" t="inlineStr">
        <is>
          <t>WH08</t>
        </is>
      </c>
      <c r="B934" s="4" t="inlineStr">
        <is>
          <t>Chennai DC</t>
        </is>
      </c>
      <c r="C934" s="4" t="inlineStr">
        <is>
          <t>South</t>
        </is>
      </c>
      <c r="D934" s="4" t="inlineStr">
        <is>
          <t>SKU090</t>
        </is>
      </c>
      <c r="E934" s="4" t="inlineStr">
        <is>
          <t>HDMI Cable 2m</t>
        </is>
      </c>
      <c r="F934" s="4" t="inlineStr">
        <is>
          <t>Electronics Accessories</t>
        </is>
      </c>
      <c r="G934" s="4" t="inlineStr">
        <is>
          <t>C</t>
        </is>
      </c>
      <c r="H934" s="11" t="n">
        <v>189</v>
      </c>
      <c r="I934" s="4" t="n">
        <v>69.5</v>
      </c>
      <c r="J934" s="13">
        <f>IF(I934&gt;0,H934/I934,"")</f>
        <v/>
      </c>
      <c r="K934" s="4">
        <f>IF(I934&lt;=0,"NO DEMAND",IF(H934=0,"STOCKOUT",IF(J934&lt;Config!$B$5,"CRITICAL",IF(J934&lt;Config!$B$6,"LOW",IF(J934&gt;Config!$B$7,"EXCESS","HEALTHY")))))</f>
        <v/>
      </c>
      <c r="L934" s="11" t="n">
        <v>292</v>
      </c>
      <c r="M934" s="11" t="n">
        <v>378</v>
      </c>
      <c r="N934" s="11">
        <f>H934*L934</f>
        <v/>
      </c>
      <c r="O934" s="11">
        <f>IF(I934&gt;0,I934*(M934-L934),0)</f>
        <v/>
      </c>
      <c r="P934" s="11" t="n">
        <v>0</v>
      </c>
    </row>
    <row r="935">
      <c r="A935" s="4" t="inlineStr">
        <is>
          <t>WH08</t>
        </is>
      </c>
      <c r="B935" s="4" t="inlineStr">
        <is>
          <t>Chennai DC</t>
        </is>
      </c>
      <c r="C935" s="4" t="inlineStr">
        <is>
          <t>South</t>
        </is>
      </c>
      <c r="D935" s="4" t="inlineStr">
        <is>
          <t>SKU091</t>
        </is>
      </c>
      <c r="E935" s="4" t="inlineStr">
        <is>
          <t>Paracetamol 500mg 15s</t>
        </is>
      </c>
      <c r="F935" s="4" t="inlineStr">
        <is>
          <t>OTC Pharma &amp; Wellness</t>
        </is>
      </c>
      <c r="G935" s="4" t="inlineStr">
        <is>
          <t>C</t>
        </is>
      </c>
      <c r="H935" s="11" t="n">
        <v>128</v>
      </c>
      <c r="I935" s="4" t="n">
        <v>201.25</v>
      </c>
      <c r="J935" s="13">
        <f>IF(I935&gt;0,H935/I935,"")</f>
        <v/>
      </c>
      <c r="K935" s="4">
        <f>IF(I935&lt;=0,"NO DEMAND",IF(H935=0,"STOCKOUT",IF(J935&lt;Config!$B$5,"CRITICAL",IF(J935&lt;Config!$B$6,"LOW",IF(J935&gt;Config!$B$7,"EXCESS","HEALTHY")))))</f>
        <v/>
      </c>
      <c r="L935" s="11" t="n">
        <v>113</v>
      </c>
      <c r="M935" s="11" t="n">
        <v>144</v>
      </c>
      <c r="N935" s="11">
        <f>H935*L935</f>
        <v/>
      </c>
      <c r="O935" s="11">
        <f>IF(I935&gt;0,I935*(M935-L935),0)</f>
        <v/>
      </c>
      <c r="P935" s="11" t="n">
        <v>588</v>
      </c>
    </row>
    <row r="936">
      <c r="A936" s="4" t="inlineStr">
        <is>
          <t>WH08</t>
        </is>
      </c>
      <c r="B936" s="4" t="inlineStr">
        <is>
          <t>Chennai DC</t>
        </is>
      </c>
      <c r="C936" s="4" t="inlineStr">
        <is>
          <t>South</t>
        </is>
      </c>
      <c r="D936" s="4" t="inlineStr">
        <is>
          <t>SKU092</t>
        </is>
      </c>
      <c r="E936" s="4" t="inlineStr">
        <is>
          <t>ORS Sachets 10pk</t>
        </is>
      </c>
      <c r="F936" s="4" t="inlineStr">
        <is>
          <t>OTC Pharma &amp; Wellness</t>
        </is>
      </c>
      <c r="G936" s="4" t="inlineStr">
        <is>
          <t>C</t>
        </is>
      </c>
      <c r="H936" s="11" t="n">
        <v>1068</v>
      </c>
      <c r="I936" s="4" t="n">
        <v>460.75</v>
      </c>
      <c r="J936" s="13">
        <f>IF(I936&gt;0,H936/I936,"")</f>
        <v/>
      </c>
      <c r="K936" s="4">
        <f>IF(I936&lt;=0,"NO DEMAND",IF(H936=0,"STOCKOUT",IF(J936&lt;Config!$B$5,"CRITICAL",IF(J936&lt;Config!$B$6,"LOW",IF(J936&gt;Config!$B$7,"EXCESS","HEALTHY")))))</f>
        <v/>
      </c>
      <c r="L936" s="11" t="n">
        <v>55</v>
      </c>
      <c r="M936" s="11" t="n">
        <v>75</v>
      </c>
      <c r="N936" s="11">
        <f>H936*L936</f>
        <v/>
      </c>
      <c r="O936" s="11">
        <f>IF(I936&gt;0,I936*(M936-L936),0)</f>
        <v/>
      </c>
      <c r="P936" s="11" t="n">
        <v>0</v>
      </c>
    </row>
    <row r="937">
      <c r="A937" s="4" t="inlineStr">
        <is>
          <t>WH08</t>
        </is>
      </c>
      <c r="B937" s="4" t="inlineStr">
        <is>
          <t>Chennai DC</t>
        </is>
      </c>
      <c r="C937" s="4" t="inlineStr">
        <is>
          <t>South</t>
        </is>
      </c>
      <c r="D937" s="4" t="inlineStr">
        <is>
          <t>SKU093</t>
        </is>
      </c>
      <c r="E937" s="4" t="inlineStr">
        <is>
          <t>Antacid Syrup 200ml</t>
        </is>
      </c>
      <c r="F937" s="4" t="inlineStr">
        <is>
          <t>OTC Pharma &amp; Wellness</t>
        </is>
      </c>
      <c r="G937" s="4" t="inlineStr">
        <is>
          <t>A</t>
        </is>
      </c>
      <c r="H937" s="11" t="n">
        <v>359</v>
      </c>
      <c r="I937" s="4" t="n">
        <v>406.25</v>
      </c>
      <c r="J937" s="13">
        <f>IF(I937&gt;0,H937/I937,"")</f>
        <v/>
      </c>
      <c r="K937" s="4">
        <f>IF(I937&lt;=0,"NO DEMAND",IF(H937=0,"STOCKOUT",IF(J937&lt;Config!$B$5,"CRITICAL",IF(J937&lt;Config!$B$6,"LOW",IF(J937&gt;Config!$B$7,"EXCESS","HEALTHY")))))</f>
        <v/>
      </c>
      <c r="L937" s="11" t="n">
        <v>277</v>
      </c>
      <c r="M937" s="11" t="n">
        <v>362</v>
      </c>
      <c r="N937" s="11">
        <f>H937*L937</f>
        <v/>
      </c>
      <c r="O937" s="11">
        <f>IF(I937&gt;0,I937*(M937-L937),0)</f>
        <v/>
      </c>
      <c r="P937" s="11" t="n">
        <v>852</v>
      </c>
    </row>
    <row r="938">
      <c r="A938" s="4" t="inlineStr">
        <is>
          <t>WH08</t>
        </is>
      </c>
      <c r="B938" s="4" t="inlineStr">
        <is>
          <t>Chennai DC</t>
        </is>
      </c>
      <c r="C938" s="4" t="inlineStr">
        <is>
          <t>South</t>
        </is>
      </c>
      <c r="D938" s="4" t="inlineStr">
        <is>
          <t>SKU094</t>
        </is>
      </c>
      <c r="E938" s="4" t="inlineStr">
        <is>
          <t>Cough Syrup 100ml</t>
        </is>
      </c>
      <c r="F938" s="4" t="inlineStr">
        <is>
          <t>OTC Pharma &amp; Wellness</t>
        </is>
      </c>
      <c r="G938" s="4" t="inlineStr">
        <is>
          <t>B</t>
        </is>
      </c>
      <c r="H938" s="11" t="n">
        <v>110</v>
      </c>
      <c r="I938" s="4" t="n">
        <v>198</v>
      </c>
      <c r="J938" s="13">
        <f>IF(I938&gt;0,H938/I938,"")</f>
        <v/>
      </c>
      <c r="K938" s="4">
        <f>IF(I938&lt;=0,"NO DEMAND",IF(H938=0,"STOCKOUT",IF(J938&lt;Config!$B$5,"CRITICAL",IF(J938&lt;Config!$B$6,"LOW",IF(J938&gt;Config!$B$7,"EXCESS","HEALTHY")))))</f>
        <v/>
      </c>
      <c r="L938" s="11" t="n">
        <v>190</v>
      </c>
      <c r="M938" s="11" t="n">
        <v>254</v>
      </c>
      <c r="N938" s="11">
        <f>H938*L938</f>
        <v/>
      </c>
      <c r="O938" s="11">
        <f>IF(I938&gt;0,I938*(M938-L938),0)</f>
        <v/>
      </c>
      <c r="P938" s="11" t="n">
        <v>468</v>
      </c>
    </row>
    <row r="939">
      <c r="A939" s="4" t="inlineStr">
        <is>
          <t>WH08</t>
        </is>
      </c>
      <c r="B939" s="4" t="inlineStr">
        <is>
          <t>Chennai DC</t>
        </is>
      </c>
      <c r="C939" s="4" t="inlineStr">
        <is>
          <t>South</t>
        </is>
      </c>
      <c r="D939" s="4" t="inlineStr">
        <is>
          <t>SKU095</t>
        </is>
      </c>
      <c r="E939" s="4" t="inlineStr">
        <is>
          <t>Multivitamin 30s</t>
        </is>
      </c>
      <c r="F939" s="4" t="inlineStr">
        <is>
          <t>OTC Pharma &amp; Wellness</t>
        </is>
      </c>
      <c r="G939" s="4" t="inlineStr">
        <is>
          <t>B</t>
        </is>
      </c>
      <c r="H939" s="11" t="n">
        <v>77</v>
      </c>
      <c r="I939" s="4" t="n">
        <v>119.25</v>
      </c>
      <c r="J939" s="13">
        <f>IF(I939&gt;0,H939/I939,"")</f>
        <v/>
      </c>
      <c r="K939" s="4">
        <f>IF(I939&lt;=0,"NO DEMAND",IF(H939=0,"STOCKOUT",IF(J939&lt;Config!$B$5,"CRITICAL",IF(J939&lt;Config!$B$6,"LOW",IF(J939&gt;Config!$B$7,"EXCESS","HEALTHY")))))</f>
        <v/>
      </c>
      <c r="L939" s="11" t="n">
        <v>178</v>
      </c>
      <c r="M939" s="11" t="n">
        <v>237</v>
      </c>
      <c r="N939" s="11">
        <f>H939*L939</f>
        <v/>
      </c>
      <c r="O939" s="11">
        <f>IF(I939&gt;0,I939*(M939-L939),0)</f>
        <v/>
      </c>
      <c r="P939" s="11" t="n">
        <v>384</v>
      </c>
    </row>
    <row r="940">
      <c r="A940" s="4" t="inlineStr">
        <is>
          <t>WH08</t>
        </is>
      </c>
      <c r="B940" s="4" t="inlineStr">
        <is>
          <t>Chennai DC</t>
        </is>
      </c>
      <c r="C940" s="4" t="inlineStr">
        <is>
          <t>South</t>
        </is>
      </c>
      <c r="D940" s="4" t="inlineStr">
        <is>
          <t>SKU096</t>
        </is>
      </c>
      <c r="E940" s="4" t="inlineStr">
        <is>
          <t>Antiseptic Liquid 250ml</t>
        </is>
      </c>
      <c r="F940" s="4" t="inlineStr">
        <is>
          <t>OTC Pharma &amp; Wellness</t>
        </is>
      </c>
      <c r="G940" s="4" t="inlineStr">
        <is>
          <t>C</t>
        </is>
      </c>
      <c r="H940" s="11" t="n">
        <v>98</v>
      </c>
      <c r="I940" s="4" t="n">
        <v>121.25</v>
      </c>
      <c r="J940" s="13">
        <f>IF(I940&gt;0,H940/I940,"")</f>
        <v/>
      </c>
      <c r="K940" s="4">
        <f>IF(I940&lt;=0,"NO DEMAND",IF(H940=0,"STOCKOUT",IF(J940&lt;Config!$B$5,"CRITICAL",IF(J940&lt;Config!$B$6,"LOW",IF(J940&gt;Config!$B$7,"EXCESS","HEALTHY")))))</f>
        <v/>
      </c>
      <c r="L940" s="11" t="n">
        <v>88</v>
      </c>
      <c r="M940" s="11" t="n">
        <v>112</v>
      </c>
      <c r="N940" s="11">
        <f>H940*L940</f>
        <v/>
      </c>
      <c r="O940" s="11">
        <f>IF(I940&gt;0,I940*(M940-L940),0)</f>
        <v/>
      </c>
      <c r="P940" s="11" t="n">
        <v>336</v>
      </c>
    </row>
    <row r="941">
      <c r="A941" s="4" t="inlineStr">
        <is>
          <t>WH08</t>
        </is>
      </c>
      <c r="B941" s="4" t="inlineStr">
        <is>
          <t>Chennai DC</t>
        </is>
      </c>
      <c r="C941" s="4" t="inlineStr">
        <is>
          <t>South</t>
        </is>
      </c>
      <c r="D941" s="4" t="inlineStr">
        <is>
          <t>SKU097</t>
        </is>
      </c>
      <c r="E941" s="4" t="inlineStr">
        <is>
          <t>Pain Balm 50g</t>
        </is>
      </c>
      <c r="F941" s="4" t="inlineStr">
        <is>
          <t>OTC Pharma &amp; Wellness</t>
        </is>
      </c>
      <c r="G941" s="4" t="inlineStr">
        <is>
          <t>C</t>
        </is>
      </c>
      <c r="H941" s="11" t="n">
        <v>249</v>
      </c>
      <c r="I941" s="4" t="n">
        <v>76.25</v>
      </c>
      <c r="J941" s="13">
        <f>IF(I941&gt;0,H941/I941,"")</f>
        <v/>
      </c>
      <c r="K941" s="4">
        <f>IF(I941&lt;=0,"NO DEMAND",IF(H941=0,"STOCKOUT",IF(J941&lt;Config!$B$5,"CRITICAL",IF(J941&lt;Config!$B$6,"LOW",IF(J941&gt;Config!$B$7,"EXCESS","HEALTHY")))))</f>
        <v/>
      </c>
      <c r="L941" s="11" t="n">
        <v>68</v>
      </c>
      <c r="M941" s="11" t="n">
        <v>91</v>
      </c>
      <c r="N941" s="11">
        <f>H941*L941</f>
        <v/>
      </c>
      <c r="O941" s="11">
        <f>IF(I941&gt;0,I941*(M941-L941),0)</f>
        <v/>
      </c>
      <c r="P941" s="11" t="n">
        <v>0</v>
      </c>
    </row>
    <row r="942">
      <c r="A942" s="4" t="inlineStr">
        <is>
          <t>WH08</t>
        </is>
      </c>
      <c r="B942" s="4" t="inlineStr">
        <is>
          <t>Chennai DC</t>
        </is>
      </c>
      <c r="C942" s="4" t="inlineStr">
        <is>
          <t>South</t>
        </is>
      </c>
      <c r="D942" s="4" t="inlineStr">
        <is>
          <t>SKU098</t>
        </is>
      </c>
      <c r="E942" s="4" t="inlineStr">
        <is>
          <t>Bandage Pack</t>
        </is>
      </c>
      <c r="F942" s="4" t="inlineStr">
        <is>
          <t>OTC Pharma &amp; Wellness</t>
        </is>
      </c>
      <c r="G942" s="4" t="inlineStr">
        <is>
          <t>C</t>
        </is>
      </c>
      <c r="H942" s="11" t="n">
        <v>270</v>
      </c>
      <c r="I942" s="4" t="n">
        <v>336</v>
      </c>
      <c r="J942" s="13">
        <f>IF(I942&gt;0,H942/I942,"")</f>
        <v/>
      </c>
      <c r="K942" s="4">
        <f>IF(I942&lt;=0,"NO DEMAND",IF(H942=0,"STOCKOUT",IF(J942&lt;Config!$B$5,"CRITICAL",IF(J942&lt;Config!$B$6,"LOW",IF(J942&gt;Config!$B$7,"EXCESS","HEALTHY")))))</f>
        <v/>
      </c>
      <c r="L942" s="11" t="n">
        <v>49</v>
      </c>
      <c r="M942" s="11" t="n">
        <v>66</v>
      </c>
      <c r="N942" s="11">
        <f>H942*L942</f>
        <v/>
      </c>
      <c r="O942" s="11">
        <f>IF(I942&gt;0,I942*(M942-L942),0)</f>
        <v/>
      </c>
      <c r="P942" s="11" t="n">
        <v>840</v>
      </c>
    </row>
    <row r="943">
      <c r="A943" s="4" t="inlineStr">
        <is>
          <t>WH08</t>
        </is>
      </c>
      <c r="B943" s="4" t="inlineStr">
        <is>
          <t>Chennai DC</t>
        </is>
      </c>
      <c r="C943" s="4" t="inlineStr">
        <is>
          <t>South</t>
        </is>
      </c>
      <c r="D943" s="4" t="inlineStr">
        <is>
          <t>SKU099</t>
        </is>
      </c>
      <c r="E943" s="4" t="inlineStr">
        <is>
          <t>Digital Thermometer</t>
        </is>
      </c>
      <c r="F943" s="4" t="inlineStr">
        <is>
          <t>OTC Pharma &amp; Wellness</t>
        </is>
      </c>
      <c r="G943" s="4" t="inlineStr">
        <is>
          <t>B</t>
        </is>
      </c>
      <c r="H943" s="11" t="n">
        <v>768</v>
      </c>
      <c r="I943" s="4" t="n">
        <v>526.5</v>
      </c>
      <c r="J943" s="13">
        <f>IF(I943&gt;0,H943/I943,"")</f>
        <v/>
      </c>
      <c r="K943" s="4">
        <f>IF(I943&lt;=0,"NO DEMAND",IF(H943=0,"STOCKOUT",IF(J943&lt;Config!$B$5,"CRITICAL",IF(J943&lt;Config!$B$6,"LOW",IF(J943&gt;Config!$B$7,"EXCESS","HEALTHY")))))</f>
        <v/>
      </c>
      <c r="L943" s="11" t="n">
        <v>88</v>
      </c>
      <c r="M943" s="11" t="n">
        <v>112</v>
      </c>
      <c r="N943" s="11">
        <f>H943*L943</f>
        <v/>
      </c>
      <c r="O943" s="11">
        <f>IF(I943&gt;0,I943*(M943-L943),0)</f>
        <v/>
      </c>
      <c r="P943" s="11" t="n">
        <v>1428</v>
      </c>
    </row>
    <row r="944">
      <c r="A944" s="4" t="inlineStr">
        <is>
          <t>WH08</t>
        </is>
      </c>
      <c r="B944" s="4" t="inlineStr">
        <is>
          <t>Chennai DC</t>
        </is>
      </c>
      <c r="C944" s="4" t="inlineStr">
        <is>
          <t>South</t>
        </is>
      </c>
      <c r="D944" s="4" t="inlineStr">
        <is>
          <t>SKU100</t>
        </is>
      </c>
      <c r="E944" s="4" t="inlineStr">
        <is>
          <t>Glucose Powder 500g</t>
        </is>
      </c>
      <c r="F944" s="4" t="inlineStr">
        <is>
          <t>OTC Pharma &amp; Wellness</t>
        </is>
      </c>
      <c r="G944" s="4" t="inlineStr">
        <is>
          <t>C</t>
        </is>
      </c>
      <c r="H944" s="11" t="n">
        <v>137</v>
      </c>
      <c r="I944" s="4" t="n">
        <v>24</v>
      </c>
      <c r="J944" s="13">
        <f>IF(I944&gt;0,H944/I944,"")</f>
        <v/>
      </c>
      <c r="K944" s="4">
        <f>IF(I944&lt;=0,"NO DEMAND",IF(H944=0,"STOCKOUT",IF(J944&lt;Config!$B$5,"CRITICAL",IF(J944&lt;Config!$B$6,"LOW",IF(J944&gt;Config!$B$7,"EXCESS","HEALTHY")))))</f>
        <v/>
      </c>
      <c r="L944" s="11" t="n">
        <v>32</v>
      </c>
      <c r="M944" s="11" t="n">
        <v>42</v>
      </c>
      <c r="N944" s="11">
        <f>H944*L944</f>
        <v/>
      </c>
      <c r="O944" s="11">
        <f>IF(I944&gt;0,I944*(M944-L944),0)</f>
        <v/>
      </c>
      <c r="P944" s="11" t="n">
        <v>0</v>
      </c>
    </row>
    <row r="945">
      <c r="A945" s="4" t="inlineStr">
        <is>
          <t>WH08</t>
        </is>
      </c>
      <c r="B945" s="4" t="inlineStr">
        <is>
          <t>Chennai DC</t>
        </is>
      </c>
      <c r="C945" s="4" t="inlineStr">
        <is>
          <t>South</t>
        </is>
      </c>
      <c r="D945" s="4" t="inlineStr">
        <is>
          <t>SKU101</t>
        </is>
      </c>
      <c r="E945" s="4" t="inlineStr">
        <is>
          <t>Vitamin C 30s</t>
        </is>
      </c>
      <c r="F945" s="4" t="inlineStr">
        <is>
          <t>OTC Pharma &amp; Wellness</t>
        </is>
      </c>
      <c r="G945" s="4" t="inlineStr">
        <is>
          <t>B</t>
        </is>
      </c>
      <c r="H945" s="11" t="n">
        <v>0</v>
      </c>
      <c r="I945" s="4" t="n">
        <v>272.5</v>
      </c>
      <c r="J945" s="13">
        <f>IF(I945&gt;0,H945/I945,"")</f>
        <v/>
      </c>
      <c r="K945" s="4">
        <f>IF(I945&lt;=0,"NO DEMAND",IF(H945=0,"STOCKOUT",IF(J945&lt;Config!$B$5,"CRITICAL",IF(J945&lt;Config!$B$6,"LOW",IF(J945&gt;Config!$B$7,"EXCESS","HEALTHY")))))</f>
        <v/>
      </c>
      <c r="L945" s="11" t="n">
        <v>176</v>
      </c>
      <c r="M945" s="11" t="n">
        <v>237</v>
      </c>
      <c r="N945" s="11">
        <f>H945*L945</f>
        <v/>
      </c>
      <c r="O945" s="11">
        <f>IF(I945&gt;0,I945*(M945-L945),0)</f>
        <v/>
      </c>
      <c r="P945" s="11" t="n">
        <v>456</v>
      </c>
    </row>
    <row r="946">
      <c r="A946" s="4" t="inlineStr">
        <is>
          <t>WH08</t>
        </is>
      </c>
      <c r="B946" s="4" t="inlineStr">
        <is>
          <t>Chennai DC</t>
        </is>
      </c>
      <c r="C946" s="4" t="inlineStr">
        <is>
          <t>South</t>
        </is>
      </c>
      <c r="D946" s="4" t="inlineStr">
        <is>
          <t>SKU102</t>
        </is>
      </c>
      <c r="E946" s="4" t="inlineStr">
        <is>
          <t>Eye Drops 10ml</t>
        </is>
      </c>
      <c r="F946" s="4" t="inlineStr">
        <is>
          <t>OTC Pharma &amp; Wellness</t>
        </is>
      </c>
      <c r="G946" s="4" t="inlineStr">
        <is>
          <t>C</t>
        </is>
      </c>
      <c r="H946" s="11" t="n">
        <v>0</v>
      </c>
      <c r="I946" s="4" t="n">
        <v>328.75</v>
      </c>
      <c r="J946" s="13">
        <f>IF(I946&gt;0,H946/I946,"")</f>
        <v/>
      </c>
      <c r="K946" s="4">
        <f>IF(I946&lt;=0,"NO DEMAND",IF(H946=0,"STOCKOUT",IF(J946&lt;Config!$B$5,"CRITICAL",IF(J946&lt;Config!$B$6,"LOW",IF(J946&gt;Config!$B$7,"EXCESS","HEALTHY")))))</f>
        <v/>
      </c>
      <c r="L946" s="11" t="n">
        <v>72</v>
      </c>
      <c r="M946" s="11" t="n">
        <v>92</v>
      </c>
      <c r="N946" s="11">
        <f>H946*L946</f>
        <v/>
      </c>
      <c r="O946" s="11">
        <f>IF(I946&gt;0,I946*(M946-L946),0)</f>
        <v/>
      </c>
      <c r="P946" s="11" t="n">
        <v>1020</v>
      </c>
    </row>
    <row r="947">
      <c r="A947" s="4" t="inlineStr">
        <is>
          <t>WH08</t>
        </is>
      </c>
      <c r="B947" s="4" t="inlineStr">
        <is>
          <t>Chennai DC</t>
        </is>
      </c>
      <c r="C947" s="4" t="inlineStr">
        <is>
          <t>South</t>
        </is>
      </c>
      <c r="D947" s="4" t="inlineStr">
        <is>
          <t>SKU103</t>
        </is>
      </c>
      <c r="E947" s="4" t="inlineStr">
        <is>
          <t>Zinc Tablets 20s</t>
        </is>
      </c>
      <c r="F947" s="4" t="inlineStr">
        <is>
          <t>OTC Pharma &amp; Wellness</t>
        </is>
      </c>
      <c r="G947" s="4" t="inlineStr">
        <is>
          <t>C</t>
        </is>
      </c>
      <c r="H947" s="11" t="n">
        <v>0</v>
      </c>
      <c r="I947" s="4" t="n">
        <v>164</v>
      </c>
      <c r="J947" s="13">
        <f>IF(I947&gt;0,H947/I947,"")</f>
        <v/>
      </c>
      <c r="K947" s="4">
        <f>IF(I947&lt;=0,"NO DEMAND",IF(H947=0,"STOCKOUT",IF(J947&lt;Config!$B$5,"CRITICAL",IF(J947&lt;Config!$B$6,"LOW",IF(J947&gt;Config!$B$7,"EXCESS","HEALTHY")))))</f>
        <v/>
      </c>
      <c r="L947" s="11" t="n">
        <v>169</v>
      </c>
      <c r="M947" s="11" t="n">
        <v>216</v>
      </c>
      <c r="N947" s="11">
        <f>H947*L947</f>
        <v/>
      </c>
      <c r="O947" s="11">
        <f>IF(I947&gt;0,I947*(M947-L947),0)</f>
        <v/>
      </c>
      <c r="P947" s="11" t="n">
        <v>636</v>
      </c>
    </row>
    <row r="948">
      <c r="A948" s="4" t="inlineStr">
        <is>
          <t>WH08</t>
        </is>
      </c>
      <c r="B948" s="4" t="inlineStr">
        <is>
          <t>Chennai DC</t>
        </is>
      </c>
      <c r="C948" s="4" t="inlineStr">
        <is>
          <t>South</t>
        </is>
      </c>
      <c r="D948" s="4" t="inlineStr">
        <is>
          <t>SKU104</t>
        </is>
      </c>
      <c r="E948" s="4" t="inlineStr">
        <is>
          <t>Hand Sanitizer 500ml</t>
        </is>
      </c>
      <c r="F948" s="4" t="inlineStr">
        <is>
          <t>OTC Pharma &amp; Wellness</t>
        </is>
      </c>
      <c r="G948" s="4" t="inlineStr">
        <is>
          <t>C</t>
        </is>
      </c>
      <c r="H948" s="11" t="n">
        <v>190</v>
      </c>
      <c r="I948" s="4" t="n">
        <v>337.5</v>
      </c>
      <c r="J948" s="13">
        <f>IF(I948&gt;0,H948/I948,"")</f>
        <v/>
      </c>
      <c r="K948" s="4">
        <f>IF(I948&lt;=0,"NO DEMAND",IF(H948=0,"STOCKOUT",IF(J948&lt;Config!$B$5,"CRITICAL",IF(J948&lt;Config!$B$6,"LOW",IF(J948&gt;Config!$B$7,"EXCESS","HEALTHY")))))</f>
        <v/>
      </c>
      <c r="L948" s="11" t="n">
        <v>37</v>
      </c>
      <c r="M948" s="11" t="n">
        <v>48</v>
      </c>
      <c r="N948" s="11">
        <f>H948*L948</f>
        <v/>
      </c>
      <c r="O948" s="11">
        <f>IF(I948&gt;0,I948*(M948-L948),0)</f>
        <v/>
      </c>
      <c r="P948" s="11" t="n">
        <v>1044</v>
      </c>
    </row>
    <row r="949">
      <c r="A949" s="4" t="inlineStr">
        <is>
          <t>WH08</t>
        </is>
      </c>
      <c r="B949" s="4" t="inlineStr">
        <is>
          <t>Chennai DC</t>
        </is>
      </c>
      <c r="C949" s="4" t="inlineStr">
        <is>
          <t>South</t>
        </is>
      </c>
      <c r="D949" s="4" t="inlineStr">
        <is>
          <t>SKU105</t>
        </is>
      </c>
      <c r="E949" s="4" t="inlineStr">
        <is>
          <t>Face Masks 50pk</t>
        </is>
      </c>
      <c r="F949" s="4" t="inlineStr">
        <is>
          <t>OTC Pharma &amp; Wellness</t>
        </is>
      </c>
      <c r="G949" s="4" t="inlineStr">
        <is>
          <t>C</t>
        </is>
      </c>
      <c r="H949" s="11" t="n">
        <v>0</v>
      </c>
      <c r="I949" s="4" t="n">
        <v>286.75</v>
      </c>
      <c r="J949" s="13">
        <f>IF(I949&gt;0,H949/I949,"")</f>
        <v/>
      </c>
      <c r="K949" s="4">
        <f>IF(I949&lt;=0,"NO DEMAND",IF(H949=0,"STOCKOUT",IF(J949&lt;Config!$B$5,"CRITICAL",IF(J949&lt;Config!$B$6,"LOW",IF(J949&gt;Config!$B$7,"EXCESS","HEALTHY")))))</f>
        <v/>
      </c>
      <c r="L949" s="11" t="n">
        <v>92</v>
      </c>
      <c r="M949" s="11" t="n">
        <v>121</v>
      </c>
      <c r="N949" s="11">
        <f>H949*L949</f>
        <v/>
      </c>
      <c r="O949" s="11">
        <f>IF(I949&gt;0,I949*(M949-L949),0)</f>
        <v/>
      </c>
      <c r="P949" s="11" t="n">
        <v>792</v>
      </c>
    </row>
    <row r="950">
      <c r="A950" s="4" t="inlineStr">
        <is>
          <t>WH08</t>
        </is>
      </c>
      <c r="B950" s="4" t="inlineStr">
        <is>
          <t>Chennai DC</t>
        </is>
      </c>
      <c r="C950" s="4" t="inlineStr">
        <is>
          <t>South</t>
        </is>
      </c>
      <c r="D950" s="4" t="inlineStr">
        <is>
          <t>SKU106</t>
        </is>
      </c>
      <c r="E950" s="4" t="inlineStr">
        <is>
          <t>Corrugated Box 12x12</t>
        </is>
      </c>
      <c r="F950" s="4" t="inlineStr">
        <is>
          <t>Packaging &amp; Supplies</t>
        </is>
      </c>
      <c r="G950" s="4" t="inlineStr">
        <is>
          <t>B</t>
        </is>
      </c>
      <c r="H950" s="11" t="n">
        <v>0</v>
      </c>
      <c r="I950" s="4" t="n">
        <v>142</v>
      </c>
      <c r="J950" s="13">
        <f>IF(I950&gt;0,H950/I950,"")</f>
        <v/>
      </c>
      <c r="K950" s="4">
        <f>IF(I950&lt;=0,"NO DEMAND",IF(H950=0,"STOCKOUT",IF(J950&lt;Config!$B$5,"CRITICAL",IF(J950&lt;Config!$B$6,"LOW",IF(J950&gt;Config!$B$7,"EXCESS","HEALTHY")))))</f>
        <v/>
      </c>
      <c r="L950" s="11" t="n">
        <v>400</v>
      </c>
      <c r="M950" s="11" t="n">
        <v>480</v>
      </c>
      <c r="N950" s="11">
        <f>H950*L950</f>
        <v/>
      </c>
      <c r="O950" s="11">
        <f>IF(I950&gt;0,I950*(M950-L950),0)</f>
        <v/>
      </c>
      <c r="P950" s="11" t="n">
        <v>360</v>
      </c>
    </row>
    <row r="951">
      <c r="A951" s="4" t="inlineStr">
        <is>
          <t>WH08</t>
        </is>
      </c>
      <c r="B951" s="4" t="inlineStr">
        <is>
          <t>Chennai DC</t>
        </is>
      </c>
      <c r="C951" s="4" t="inlineStr">
        <is>
          <t>South</t>
        </is>
      </c>
      <c r="D951" s="4" t="inlineStr">
        <is>
          <t>SKU107</t>
        </is>
      </c>
      <c r="E951" s="4" t="inlineStr">
        <is>
          <t>Stretch Film 500mm</t>
        </is>
      </c>
      <c r="F951" s="4" t="inlineStr">
        <is>
          <t>Packaging &amp; Supplies</t>
        </is>
      </c>
      <c r="G951" s="4" t="inlineStr">
        <is>
          <t>A</t>
        </is>
      </c>
      <c r="H951" s="11" t="n">
        <v>0</v>
      </c>
      <c r="I951" s="4" t="n">
        <v>345.5</v>
      </c>
      <c r="J951" s="13">
        <f>IF(I951&gt;0,H951/I951,"")</f>
        <v/>
      </c>
      <c r="K951" s="4">
        <f>IF(I951&lt;=0,"NO DEMAND",IF(H951=0,"STOCKOUT",IF(J951&lt;Config!$B$5,"CRITICAL",IF(J951&lt;Config!$B$6,"LOW",IF(J951&gt;Config!$B$7,"EXCESS","HEALTHY")))))</f>
        <v/>
      </c>
      <c r="L951" s="11" t="n">
        <v>324</v>
      </c>
      <c r="M951" s="11" t="n">
        <v>383</v>
      </c>
      <c r="N951" s="11">
        <f>H951*L951</f>
        <v/>
      </c>
      <c r="O951" s="11">
        <f>IF(I951&gt;0,I951*(M951-L951),0)</f>
        <v/>
      </c>
      <c r="P951" s="11" t="n">
        <v>820</v>
      </c>
    </row>
    <row r="952">
      <c r="A952" s="4" t="inlineStr">
        <is>
          <t>WH08</t>
        </is>
      </c>
      <c r="B952" s="4" t="inlineStr">
        <is>
          <t>Chennai DC</t>
        </is>
      </c>
      <c r="C952" s="4" t="inlineStr">
        <is>
          <t>South</t>
        </is>
      </c>
      <c r="D952" s="4" t="inlineStr">
        <is>
          <t>SKU108</t>
        </is>
      </c>
      <c r="E952" s="4" t="inlineStr">
        <is>
          <t>BOPP Tape 48mm</t>
        </is>
      </c>
      <c r="F952" s="4" t="inlineStr">
        <is>
          <t>Packaging &amp; Supplies</t>
        </is>
      </c>
      <c r="G952" s="4" t="inlineStr">
        <is>
          <t>A</t>
        </is>
      </c>
      <c r="H952" s="11" t="n">
        <v>0</v>
      </c>
      <c r="I952" s="4" t="n">
        <v>202.25</v>
      </c>
      <c r="J952" s="13">
        <f>IF(I952&gt;0,H952/I952,"")</f>
        <v/>
      </c>
      <c r="K952" s="4">
        <f>IF(I952&lt;=0,"NO DEMAND",IF(H952=0,"STOCKOUT",IF(J952&lt;Config!$B$5,"CRITICAL",IF(J952&lt;Config!$B$6,"LOW",IF(J952&gt;Config!$B$7,"EXCESS","HEALTHY")))))</f>
        <v/>
      </c>
      <c r="L952" s="11" t="n">
        <v>699</v>
      </c>
      <c r="M952" s="11" t="n">
        <v>822</v>
      </c>
      <c r="N952" s="11">
        <f>H952*L952</f>
        <v/>
      </c>
      <c r="O952" s="11">
        <f>IF(I952&gt;0,I952*(M952-L952),0)</f>
        <v/>
      </c>
      <c r="P952" s="11" t="n">
        <v>440</v>
      </c>
    </row>
    <row r="953">
      <c r="A953" s="4" t="inlineStr">
        <is>
          <t>WH08</t>
        </is>
      </c>
      <c r="B953" s="4" t="inlineStr">
        <is>
          <t>Chennai DC</t>
        </is>
      </c>
      <c r="C953" s="4" t="inlineStr">
        <is>
          <t>South</t>
        </is>
      </c>
      <c r="D953" s="4" t="inlineStr">
        <is>
          <t>SKU109</t>
        </is>
      </c>
      <c r="E953" s="4" t="inlineStr">
        <is>
          <t>Bubble Wrap Roll</t>
        </is>
      </c>
      <c r="F953" s="4" t="inlineStr">
        <is>
          <t>Packaging &amp; Supplies</t>
        </is>
      </c>
      <c r="G953" s="4" t="inlineStr">
        <is>
          <t>C</t>
        </is>
      </c>
      <c r="H953" s="11" t="n">
        <v>82</v>
      </c>
      <c r="I953" s="4" t="n">
        <v>69.75</v>
      </c>
      <c r="J953" s="13">
        <f>IF(I953&gt;0,H953/I953,"")</f>
        <v/>
      </c>
      <c r="K953" s="4">
        <f>IF(I953&lt;=0,"NO DEMAND",IF(H953=0,"STOCKOUT",IF(J953&lt;Config!$B$5,"CRITICAL",IF(J953&lt;Config!$B$6,"LOW",IF(J953&gt;Config!$B$7,"EXCESS","HEALTHY")))))</f>
        <v/>
      </c>
      <c r="L953" s="11" t="n">
        <v>68</v>
      </c>
      <c r="M953" s="11" t="n">
        <v>80</v>
      </c>
      <c r="N953" s="11">
        <f>H953*L953</f>
        <v/>
      </c>
      <c r="O953" s="11">
        <f>IF(I953&gt;0,I953*(M953-L953),0)</f>
        <v/>
      </c>
      <c r="P953" s="11" t="n">
        <v>0</v>
      </c>
    </row>
    <row r="954">
      <c r="A954" s="4" t="inlineStr">
        <is>
          <t>WH08</t>
        </is>
      </c>
      <c r="B954" s="4" t="inlineStr">
        <is>
          <t>Chennai DC</t>
        </is>
      </c>
      <c r="C954" s="4" t="inlineStr">
        <is>
          <t>South</t>
        </is>
      </c>
      <c r="D954" s="4" t="inlineStr">
        <is>
          <t>SKU110</t>
        </is>
      </c>
      <c r="E954" s="4" t="inlineStr">
        <is>
          <t>Pallet Strapping Roll</t>
        </is>
      </c>
      <c r="F954" s="4" t="inlineStr">
        <is>
          <t>Packaging &amp; Supplies</t>
        </is>
      </c>
      <c r="G954" s="4" t="inlineStr">
        <is>
          <t>C</t>
        </is>
      </c>
      <c r="H954" s="11" t="n">
        <v>190</v>
      </c>
      <c r="I954" s="4" t="n">
        <v>214.25</v>
      </c>
      <c r="J954" s="13">
        <f>IF(I954&gt;0,H954/I954,"")</f>
        <v/>
      </c>
      <c r="K954" s="4">
        <f>IF(I954&lt;=0,"NO DEMAND",IF(H954=0,"STOCKOUT",IF(J954&lt;Config!$B$5,"CRITICAL",IF(J954&lt;Config!$B$6,"LOW",IF(J954&gt;Config!$B$7,"EXCESS","HEALTHY")))))</f>
        <v/>
      </c>
      <c r="L954" s="11" t="n">
        <v>45</v>
      </c>
      <c r="M954" s="11" t="n">
        <v>53</v>
      </c>
      <c r="N954" s="11">
        <f>H954*L954</f>
        <v/>
      </c>
      <c r="O954" s="11">
        <f>IF(I954&gt;0,I954*(M954-L954),0)</f>
        <v/>
      </c>
      <c r="P954" s="11" t="n">
        <v>660</v>
      </c>
    </row>
    <row r="955">
      <c r="A955" s="4" t="inlineStr">
        <is>
          <t>WH08</t>
        </is>
      </c>
      <c r="B955" s="4" t="inlineStr">
        <is>
          <t>Chennai DC</t>
        </is>
      </c>
      <c r="C955" s="4" t="inlineStr">
        <is>
          <t>South</t>
        </is>
      </c>
      <c r="D955" s="4" t="inlineStr">
        <is>
          <t>SKU111</t>
        </is>
      </c>
      <c r="E955" s="4" t="inlineStr">
        <is>
          <t>Shipping Labels 1000</t>
        </is>
      </c>
      <c r="F955" s="4" t="inlineStr">
        <is>
          <t>Packaging &amp; Supplies</t>
        </is>
      </c>
      <c r="G955" s="4" t="inlineStr">
        <is>
          <t>A</t>
        </is>
      </c>
      <c r="H955" s="11" t="n">
        <v>0</v>
      </c>
      <c r="I955" s="4" t="n">
        <v>241.75</v>
      </c>
      <c r="J955" s="13">
        <f>IF(I955&gt;0,H955/I955,"")</f>
        <v/>
      </c>
      <c r="K955" s="4">
        <f>IF(I955&lt;=0,"NO DEMAND",IF(H955=0,"STOCKOUT",IF(J955&lt;Config!$B$5,"CRITICAL",IF(J955&lt;Config!$B$6,"LOW",IF(J955&gt;Config!$B$7,"EXCESS","HEALTHY")))))</f>
        <v/>
      </c>
      <c r="L955" s="11" t="n">
        <v>617</v>
      </c>
      <c r="M955" s="11" t="n">
        <v>741</v>
      </c>
      <c r="N955" s="11">
        <f>H955*L955</f>
        <v/>
      </c>
      <c r="O955" s="11">
        <f>IF(I955&gt;0,I955*(M955-L955),0)</f>
        <v/>
      </c>
      <c r="P955" s="11" t="n">
        <v>1180</v>
      </c>
    </row>
    <row r="956">
      <c r="A956" s="4" t="inlineStr">
        <is>
          <t>WH08</t>
        </is>
      </c>
      <c r="B956" s="4" t="inlineStr">
        <is>
          <t>Chennai DC</t>
        </is>
      </c>
      <c r="C956" s="4" t="inlineStr">
        <is>
          <t>South</t>
        </is>
      </c>
      <c r="D956" s="4" t="inlineStr">
        <is>
          <t>SKU112</t>
        </is>
      </c>
      <c r="E956" s="4" t="inlineStr">
        <is>
          <t>Poly Mailer 100pk</t>
        </is>
      </c>
      <c r="F956" s="4" t="inlineStr">
        <is>
          <t>Packaging &amp; Supplies</t>
        </is>
      </c>
      <c r="G956" s="4" t="inlineStr">
        <is>
          <t>C</t>
        </is>
      </c>
      <c r="H956" s="11" t="n">
        <v>78</v>
      </c>
      <c r="I956" s="4" t="n">
        <v>103.75</v>
      </c>
      <c r="J956" s="13">
        <f>IF(I956&gt;0,H956/I956,"")</f>
        <v/>
      </c>
      <c r="K956" s="4">
        <f>IF(I956&lt;=0,"NO DEMAND",IF(H956=0,"STOCKOUT",IF(J956&lt;Config!$B$5,"CRITICAL",IF(J956&lt;Config!$B$6,"LOW",IF(J956&gt;Config!$B$7,"EXCESS","HEALTHY")))))</f>
        <v/>
      </c>
      <c r="L956" s="11" t="n">
        <v>93</v>
      </c>
      <c r="M956" s="11" t="n">
        <v>113</v>
      </c>
      <c r="N956" s="11">
        <f>H956*L956</f>
        <v/>
      </c>
      <c r="O956" s="11">
        <f>IF(I956&gt;0,I956*(M956-L956),0)</f>
        <v/>
      </c>
      <c r="P956" s="11" t="n">
        <v>0</v>
      </c>
    </row>
    <row r="957">
      <c r="A957" s="4" t="inlineStr">
        <is>
          <t>WH08</t>
        </is>
      </c>
      <c r="B957" s="4" t="inlineStr">
        <is>
          <t>Chennai DC</t>
        </is>
      </c>
      <c r="C957" s="4" t="inlineStr">
        <is>
          <t>South</t>
        </is>
      </c>
      <c r="D957" s="4" t="inlineStr">
        <is>
          <t>SKU113</t>
        </is>
      </c>
      <c r="E957" s="4" t="inlineStr">
        <is>
          <t>Void Fill Paper</t>
        </is>
      </c>
      <c r="F957" s="4" t="inlineStr">
        <is>
          <t>Packaging &amp; Supplies</t>
        </is>
      </c>
      <c r="G957" s="4" t="inlineStr">
        <is>
          <t>C</t>
        </is>
      </c>
      <c r="H957" s="11" t="n">
        <v>341</v>
      </c>
      <c r="I957" s="4" t="n">
        <v>137.25</v>
      </c>
      <c r="J957" s="13">
        <f>IF(I957&gt;0,H957/I957,"")</f>
        <v/>
      </c>
      <c r="K957" s="4">
        <f>IF(I957&lt;=0,"NO DEMAND",IF(H957=0,"STOCKOUT",IF(J957&lt;Config!$B$5,"CRITICAL",IF(J957&lt;Config!$B$6,"LOW",IF(J957&gt;Config!$B$7,"EXCESS","HEALTHY")))))</f>
        <v/>
      </c>
      <c r="L957" s="11" t="n">
        <v>89</v>
      </c>
      <c r="M957" s="11" t="n">
        <v>108</v>
      </c>
      <c r="N957" s="11">
        <f>H957*L957</f>
        <v/>
      </c>
      <c r="O957" s="11">
        <f>IF(I957&gt;0,I957*(M957-L957),0)</f>
        <v/>
      </c>
      <c r="P957" s="11" t="n">
        <v>0</v>
      </c>
    </row>
    <row r="958">
      <c r="A958" s="4" t="inlineStr">
        <is>
          <t>WH08</t>
        </is>
      </c>
      <c r="B958" s="4" t="inlineStr">
        <is>
          <t>Chennai DC</t>
        </is>
      </c>
      <c r="C958" s="4" t="inlineStr">
        <is>
          <t>South</t>
        </is>
      </c>
      <c r="D958" s="4" t="inlineStr">
        <is>
          <t>SKU114</t>
        </is>
      </c>
      <c r="E958" s="4" t="inlineStr">
        <is>
          <t>Cable Ties 100pk</t>
        </is>
      </c>
      <c r="F958" s="4" t="inlineStr">
        <is>
          <t>Packaging &amp; Supplies</t>
        </is>
      </c>
      <c r="G958" s="4" t="inlineStr">
        <is>
          <t>C</t>
        </is>
      </c>
      <c r="H958" s="11" t="n">
        <v>591</v>
      </c>
      <c r="I958" s="4" t="n">
        <v>259</v>
      </c>
      <c r="J958" s="13">
        <f>IF(I958&gt;0,H958/I958,"")</f>
        <v/>
      </c>
      <c r="K958" s="4">
        <f>IF(I958&lt;=0,"NO DEMAND",IF(H958=0,"STOCKOUT",IF(J958&lt;Config!$B$5,"CRITICAL",IF(J958&lt;Config!$B$6,"LOW",IF(J958&gt;Config!$B$7,"EXCESS","HEALTHY")))))</f>
        <v/>
      </c>
      <c r="L958" s="11" t="n">
        <v>66</v>
      </c>
      <c r="M958" s="11" t="n">
        <v>80</v>
      </c>
      <c r="N958" s="11">
        <f>H958*L958</f>
        <v/>
      </c>
      <c r="O958" s="11">
        <f>IF(I958&gt;0,I958*(M958-L958),0)</f>
        <v/>
      </c>
      <c r="P958" s="11" t="n">
        <v>0</v>
      </c>
    </row>
    <row r="959">
      <c r="A959" s="4" t="inlineStr">
        <is>
          <t>WH08</t>
        </is>
      </c>
      <c r="B959" s="4" t="inlineStr">
        <is>
          <t>Chennai DC</t>
        </is>
      </c>
      <c r="C959" s="4" t="inlineStr">
        <is>
          <t>South</t>
        </is>
      </c>
      <c r="D959" s="4" t="inlineStr">
        <is>
          <t>SKU115</t>
        </is>
      </c>
      <c r="E959" s="4" t="inlineStr">
        <is>
          <t>Edge Protectors 50pk</t>
        </is>
      </c>
      <c r="F959" s="4" t="inlineStr">
        <is>
          <t>Packaging &amp; Supplies</t>
        </is>
      </c>
      <c r="G959" s="4" t="inlineStr">
        <is>
          <t>C</t>
        </is>
      </c>
      <c r="H959" s="11" t="n">
        <v>61</v>
      </c>
      <c r="I959" s="4" t="n">
        <v>130</v>
      </c>
      <c r="J959" s="13">
        <f>IF(I959&gt;0,H959/I959,"")</f>
        <v/>
      </c>
      <c r="K959" s="4">
        <f>IF(I959&lt;=0,"NO DEMAND",IF(H959=0,"STOCKOUT",IF(J959&lt;Config!$B$5,"CRITICAL",IF(J959&lt;Config!$B$6,"LOW",IF(J959&gt;Config!$B$7,"EXCESS","HEALTHY")))))</f>
        <v/>
      </c>
      <c r="L959" s="11" t="n">
        <v>52</v>
      </c>
      <c r="M959" s="11" t="n">
        <v>63</v>
      </c>
      <c r="N959" s="11">
        <f>H959*L959</f>
        <v/>
      </c>
      <c r="O959" s="11">
        <f>IF(I959&gt;0,I959*(M959-L959),0)</f>
        <v/>
      </c>
      <c r="P959" s="11" t="n">
        <v>320</v>
      </c>
    </row>
    <row r="960">
      <c r="A960" s="4" t="inlineStr">
        <is>
          <t>WH08</t>
        </is>
      </c>
      <c r="B960" s="4" t="inlineStr">
        <is>
          <t>Chennai DC</t>
        </is>
      </c>
      <c r="C960" s="4" t="inlineStr">
        <is>
          <t>South</t>
        </is>
      </c>
      <c r="D960" s="4" t="inlineStr">
        <is>
          <t>SKU116</t>
        </is>
      </c>
      <c r="E960" s="4" t="inlineStr">
        <is>
          <t>Pallet Wrap Hand</t>
        </is>
      </c>
      <c r="F960" s="4" t="inlineStr">
        <is>
          <t>Packaging &amp; Supplies</t>
        </is>
      </c>
      <c r="G960" s="4" t="inlineStr">
        <is>
          <t>C</t>
        </is>
      </c>
      <c r="H960" s="11" t="n">
        <v>0</v>
      </c>
      <c r="I960" s="4" t="n">
        <v>129.25</v>
      </c>
      <c r="J960" s="13">
        <f>IF(I960&gt;0,H960/I960,"")</f>
        <v/>
      </c>
      <c r="K960" s="4">
        <f>IF(I960&lt;=0,"NO DEMAND",IF(H960=0,"STOCKOUT",IF(J960&lt;Config!$B$5,"CRITICAL",IF(J960&lt;Config!$B$6,"LOW",IF(J960&gt;Config!$B$7,"EXCESS","HEALTHY")))))</f>
        <v/>
      </c>
      <c r="L960" s="11" t="n">
        <v>39</v>
      </c>
      <c r="M960" s="11" t="n">
        <v>47</v>
      </c>
      <c r="N960" s="11">
        <f>H960*L960</f>
        <v/>
      </c>
      <c r="O960" s="11">
        <f>IF(I960&gt;0,I960*(M960-L960),0)</f>
        <v/>
      </c>
      <c r="P960" s="11" t="n">
        <v>320</v>
      </c>
    </row>
    <row r="961">
      <c r="A961" s="4" t="inlineStr">
        <is>
          <t>WH08</t>
        </is>
      </c>
      <c r="B961" s="4" t="inlineStr">
        <is>
          <t>Chennai DC</t>
        </is>
      </c>
      <c r="C961" s="4" t="inlineStr">
        <is>
          <t>South</t>
        </is>
      </c>
      <c r="D961" s="4" t="inlineStr">
        <is>
          <t>SKU117</t>
        </is>
      </c>
      <c r="E961" s="4" t="inlineStr">
        <is>
          <t>Courier Bags 100pk</t>
        </is>
      </c>
      <c r="F961" s="4" t="inlineStr">
        <is>
          <t>Packaging &amp; Supplies</t>
        </is>
      </c>
      <c r="G961" s="4" t="inlineStr">
        <is>
          <t>C</t>
        </is>
      </c>
      <c r="H961" s="11" t="n">
        <v>93</v>
      </c>
      <c r="I961" s="4" t="n">
        <v>339.75</v>
      </c>
      <c r="J961" s="13">
        <f>IF(I961&gt;0,H961/I961,"")</f>
        <v/>
      </c>
      <c r="K961" s="4">
        <f>IF(I961&lt;=0,"NO DEMAND",IF(H961=0,"STOCKOUT",IF(J961&lt;Config!$B$5,"CRITICAL",IF(J961&lt;Config!$B$6,"LOW",IF(J961&gt;Config!$B$7,"EXCESS","HEALTHY")))))</f>
        <v/>
      </c>
      <c r="L961" s="11" t="n">
        <v>21</v>
      </c>
      <c r="M961" s="11" t="n">
        <v>25</v>
      </c>
      <c r="N961" s="11">
        <f>H961*L961</f>
        <v/>
      </c>
      <c r="O961" s="11">
        <f>IF(I961&gt;0,I961*(M961-L961),0)</f>
        <v/>
      </c>
      <c r="P961" s="11" t="n">
        <v>880</v>
      </c>
    </row>
    <row r="962">
      <c r="A962" s="4" t="inlineStr">
        <is>
          <t>WH08</t>
        </is>
      </c>
      <c r="B962" s="4" t="inlineStr">
        <is>
          <t>Chennai DC</t>
        </is>
      </c>
      <c r="C962" s="4" t="inlineStr">
        <is>
          <t>South</t>
        </is>
      </c>
      <c r="D962" s="4" t="inlineStr">
        <is>
          <t>SKU118</t>
        </is>
      </c>
      <c r="E962" s="4" t="inlineStr">
        <is>
          <t>Thermal Paper Roll 20pk</t>
        </is>
      </c>
      <c r="F962" s="4" t="inlineStr">
        <is>
          <t>Packaging &amp; Supplies</t>
        </is>
      </c>
      <c r="G962" s="4" t="inlineStr">
        <is>
          <t>B</t>
        </is>
      </c>
      <c r="H962" s="11" t="n">
        <v>0</v>
      </c>
      <c r="I962" s="4" t="n">
        <v>369.5</v>
      </c>
      <c r="J962" s="13">
        <f>IF(I962&gt;0,H962/I962,"")</f>
        <v/>
      </c>
      <c r="K962" s="4">
        <f>IF(I962&lt;=0,"NO DEMAND",IF(H962=0,"STOCKOUT",IF(J962&lt;Config!$B$5,"CRITICAL",IF(J962&lt;Config!$B$6,"LOW",IF(J962&gt;Config!$B$7,"EXCESS","HEALTHY")))))</f>
        <v/>
      </c>
      <c r="L962" s="11" t="n">
        <v>181</v>
      </c>
      <c r="M962" s="11" t="n">
        <v>218</v>
      </c>
      <c r="N962" s="11">
        <f>H962*L962</f>
        <v/>
      </c>
      <c r="O962" s="11">
        <f>IF(I962&gt;0,I962*(M962-L962),0)</f>
        <v/>
      </c>
      <c r="P962" s="11" t="n">
        <v>1420</v>
      </c>
    </row>
    <row r="963">
      <c r="A963" s="4" t="inlineStr">
        <is>
          <t>WH08</t>
        </is>
      </c>
      <c r="B963" s="4" t="inlineStr">
        <is>
          <t>Chennai DC</t>
        </is>
      </c>
      <c r="C963" s="4" t="inlineStr">
        <is>
          <t>South</t>
        </is>
      </c>
      <c r="D963" s="4" t="inlineStr">
        <is>
          <t>SKU119</t>
        </is>
      </c>
      <c r="E963" s="4" t="inlineStr">
        <is>
          <t>Safety Gloves 12pk</t>
        </is>
      </c>
      <c r="F963" s="4" t="inlineStr">
        <is>
          <t>Packaging &amp; Supplies</t>
        </is>
      </c>
      <c r="G963" s="4" t="inlineStr">
        <is>
          <t>A</t>
        </is>
      </c>
      <c r="H963" s="11" t="n">
        <v>353</v>
      </c>
      <c r="I963" s="4" t="n">
        <v>326.5</v>
      </c>
      <c r="J963" s="13">
        <f>IF(I963&gt;0,H963/I963,"")</f>
        <v/>
      </c>
      <c r="K963" s="4">
        <f>IF(I963&lt;=0,"NO DEMAND",IF(H963=0,"STOCKOUT",IF(J963&lt;Config!$B$5,"CRITICAL",IF(J963&lt;Config!$B$6,"LOW",IF(J963&gt;Config!$B$7,"EXCESS","HEALTHY")))))</f>
        <v/>
      </c>
      <c r="L963" s="11" t="n">
        <v>420</v>
      </c>
      <c r="M963" s="11" t="n">
        <v>511</v>
      </c>
      <c r="N963" s="11">
        <f>H963*L963</f>
        <v/>
      </c>
      <c r="O963" s="11">
        <f>IF(I963&gt;0,I963*(M963-L963),0)</f>
        <v/>
      </c>
      <c r="P963" s="11" t="n">
        <v>700</v>
      </c>
    </row>
    <row r="964">
      <c r="A964" s="4" t="inlineStr">
        <is>
          <t>WH08</t>
        </is>
      </c>
      <c r="B964" s="4" t="inlineStr">
        <is>
          <t>Chennai DC</t>
        </is>
      </c>
      <c r="C964" s="4" t="inlineStr">
        <is>
          <t>South</t>
        </is>
      </c>
      <c r="D964" s="4" t="inlineStr">
        <is>
          <t>SKU120</t>
        </is>
      </c>
      <c r="E964" s="4" t="inlineStr">
        <is>
          <t>Cutter Blades 10pk</t>
        </is>
      </c>
      <c r="F964" s="4" t="inlineStr">
        <is>
          <t>Packaging &amp; Supplies</t>
        </is>
      </c>
      <c r="G964" s="4" t="inlineStr">
        <is>
          <t>C</t>
        </is>
      </c>
      <c r="H964" s="11" t="n">
        <v>56</v>
      </c>
      <c r="I964" s="4" t="n">
        <v>258.25</v>
      </c>
      <c r="J964" s="13">
        <f>IF(I964&gt;0,H964/I964,"")</f>
        <v/>
      </c>
      <c r="K964" s="4">
        <f>IF(I964&lt;=0,"NO DEMAND",IF(H964=0,"STOCKOUT",IF(J964&lt;Config!$B$5,"CRITICAL",IF(J964&lt;Config!$B$6,"LOW",IF(J964&gt;Config!$B$7,"EXCESS","HEALTHY")))))</f>
        <v/>
      </c>
      <c r="L964" s="11" t="n">
        <v>30</v>
      </c>
      <c r="M964" s="11" t="n">
        <v>35</v>
      </c>
      <c r="N964" s="11">
        <f>H964*L964</f>
        <v/>
      </c>
      <c r="O964" s="11">
        <f>IF(I964&gt;0,I964*(M964-L964),0)</f>
        <v/>
      </c>
      <c r="P964" s="11" t="n">
        <v>820</v>
      </c>
    </row>
    <row r="965">
      <c r="A965" s="4" t="inlineStr">
        <is>
          <t>WH09</t>
        </is>
      </c>
      <c r="B965" s="4" t="inlineStr">
        <is>
          <t>Hyderabad DC</t>
        </is>
      </c>
      <c r="C965" s="4" t="inlineStr">
        <is>
          <t>South</t>
        </is>
      </c>
      <c r="D965" s="4" t="inlineStr">
        <is>
          <t>SKU001</t>
        </is>
      </c>
      <c r="E965" s="4" t="inlineStr">
        <is>
          <t>Atta 5kg</t>
        </is>
      </c>
      <c r="F965" s="4" t="inlineStr">
        <is>
          <t>Packaged Staples</t>
        </is>
      </c>
      <c r="G965" s="4" t="inlineStr">
        <is>
          <t>A</t>
        </is>
      </c>
      <c r="H965" s="11" t="n">
        <v>4072</v>
      </c>
      <c r="I965" s="4" t="n">
        <v>1037.75</v>
      </c>
      <c r="J965" s="13">
        <f>IF(I965&gt;0,H965/I965,"")</f>
        <v/>
      </c>
      <c r="K965" s="4">
        <f>IF(I965&lt;=0,"NO DEMAND",IF(H965=0,"STOCKOUT",IF(J965&lt;Config!$B$5,"CRITICAL",IF(J965&lt;Config!$B$6,"LOW",IF(J965&gt;Config!$B$7,"EXCESS","HEALTHY")))))</f>
        <v/>
      </c>
      <c r="L965" s="11" t="n">
        <v>152</v>
      </c>
      <c r="M965" s="11" t="n">
        <v>168</v>
      </c>
      <c r="N965" s="11">
        <f>H965*L965</f>
        <v/>
      </c>
      <c r="O965" s="11">
        <f>IF(I965&gt;0,I965*(M965-L965),0)</f>
        <v/>
      </c>
      <c r="P965" s="11" t="n">
        <v>0</v>
      </c>
    </row>
    <row r="966">
      <c r="A966" s="4" t="inlineStr">
        <is>
          <t>WH09</t>
        </is>
      </c>
      <c r="B966" s="4" t="inlineStr">
        <is>
          <t>Hyderabad DC</t>
        </is>
      </c>
      <c r="C966" s="4" t="inlineStr">
        <is>
          <t>South</t>
        </is>
      </c>
      <c r="D966" s="4" t="inlineStr">
        <is>
          <t>SKU002</t>
        </is>
      </c>
      <c r="E966" s="4" t="inlineStr">
        <is>
          <t>Basmati Rice 5kg</t>
        </is>
      </c>
      <c r="F966" s="4" t="inlineStr">
        <is>
          <t>Packaged Staples</t>
        </is>
      </c>
      <c r="G966" s="4" t="inlineStr">
        <is>
          <t>B</t>
        </is>
      </c>
      <c r="H966" s="11" t="n">
        <v>1302</v>
      </c>
      <c r="I966" s="4" t="n">
        <v>1096</v>
      </c>
      <c r="J966" s="13">
        <f>IF(I966&gt;0,H966/I966,"")</f>
        <v/>
      </c>
      <c r="K966" s="4">
        <f>IF(I966&lt;=0,"NO DEMAND",IF(H966=0,"STOCKOUT",IF(J966&lt;Config!$B$5,"CRITICAL",IF(J966&lt;Config!$B$6,"LOW",IF(J966&gt;Config!$B$7,"EXCESS","HEALTHY")))))</f>
        <v/>
      </c>
      <c r="L966" s="11" t="n">
        <v>59</v>
      </c>
      <c r="M966" s="11" t="n">
        <v>66</v>
      </c>
      <c r="N966" s="11">
        <f>H966*L966</f>
        <v/>
      </c>
      <c r="O966" s="11">
        <f>IF(I966&gt;0,I966*(M966-L966),0)</f>
        <v/>
      </c>
      <c r="P966" s="11" t="n">
        <v>0</v>
      </c>
    </row>
    <row r="967">
      <c r="A967" s="4" t="inlineStr">
        <is>
          <t>WH09</t>
        </is>
      </c>
      <c r="B967" s="4" t="inlineStr">
        <is>
          <t>Hyderabad DC</t>
        </is>
      </c>
      <c r="C967" s="4" t="inlineStr">
        <is>
          <t>South</t>
        </is>
      </c>
      <c r="D967" s="4" t="inlineStr">
        <is>
          <t>SKU003</t>
        </is>
      </c>
      <c r="E967" s="4" t="inlineStr">
        <is>
          <t>Toor Dal 1kg</t>
        </is>
      </c>
      <c r="F967" s="4" t="inlineStr">
        <is>
          <t>Packaged Staples</t>
        </is>
      </c>
      <c r="G967" s="4" t="inlineStr">
        <is>
          <t>A</t>
        </is>
      </c>
      <c r="H967" s="11" t="n">
        <v>2730</v>
      </c>
      <c r="I967" s="4" t="n">
        <v>1604.25</v>
      </c>
      <c r="J967" s="13">
        <f>IF(I967&gt;0,H967/I967,"")</f>
        <v/>
      </c>
      <c r="K967" s="4">
        <f>IF(I967&lt;=0,"NO DEMAND",IF(H967=0,"STOCKOUT",IF(J967&lt;Config!$B$5,"CRITICAL",IF(J967&lt;Config!$B$6,"LOW",IF(J967&gt;Config!$B$7,"EXCESS","HEALTHY")))))</f>
        <v/>
      </c>
      <c r="L967" s="11" t="n">
        <v>61</v>
      </c>
      <c r="M967" s="11" t="n">
        <v>69</v>
      </c>
      <c r="N967" s="11">
        <f>H967*L967</f>
        <v/>
      </c>
      <c r="O967" s="11">
        <f>IF(I967&gt;0,I967*(M967-L967),0)</f>
        <v/>
      </c>
      <c r="P967" s="11" t="n">
        <v>0</v>
      </c>
    </row>
    <row r="968">
      <c r="A968" s="4" t="inlineStr">
        <is>
          <t>WH09</t>
        </is>
      </c>
      <c r="B968" s="4" t="inlineStr">
        <is>
          <t>Hyderabad DC</t>
        </is>
      </c>
      <c r="C968" s="4" t="inlineStr">
        <is>
          <t>South</t>
        </is>
      </c>
      <c r="D968" s="4" t="inlineStr">
        <is>
          <t>SKU004</t>
        </is>
      </c>
      <c r="E968" s="4" t="inlineStr">
        <is>
          <t>Moong Dal 1kg</t>
        </is>
      </c>
      <c r="F968" s="4" t="inlineStr">
        <is>
          <t>Packaged Staples</t>
        </is>
      </c>
      <c r="G968" s="4" t="inlineStr">
        <is>
          <t>B</t>
        </is>
      </c>
      <c r="H968" s="11" t="n">
        <v>1468</v>
      </c>
      <c r="I968" s="4" t="n">
        <v>187.5</v>
      </c>
      <c r="J968" s="13">
        <f>IF(I968&gt;0,H968/I968,"")</f>
        <v/>
      </c>
      <c r="K968" s="4">
        <f>IF(I968&lt;=0,"NO DEMAND",IF(H968=0,"STOCKOUT",IF(J968&lt;Config!$B$5,"CRITICAL",IF(J968&lt;Config!$B$6,"LOW",IF(J968&gt;Config!$B$7,"EXCESS","HEALTHY")))))</f>
        <v/>
      </c>
      <c r="L968" s="11" t="n">
        <v>80</v>
      </c>
      <c r="M968" s="11" t="n">
        <v>91</v>
      </c>
      <c r="N968" s="11">
        <f>H968*L968</f>
        <v/>
      </c>
      <c r="O968" s="11">
        <f>IF(I968&gt;0,I968*(M968-L968),0)</f>
        <v/>
      </c>
      <c r="P968" s="11" t="n">
        <v>0</v>
      </c>
    </row>
    <row r="969">
      <c r="A969" s="4" t="inlineStr">
        <is>
          <t>WH09</t>
        </is>
      </c>
      <c r="B969" s="4" t="inlineStr">
        <is>
          <t>Hyderabad DC</t>
        </is>
      </c>
      <c r="C969" s="4" t="inlineStr">
        <is>
          <t>South</t>
        </is>
      </c>
      <c r="D969" s="4" t="inlineStr">
        <is>
          <t>SKU005</t>
        </is>
      </c>
      <c r="E969" s="4" t="inlineStr">
        <is>
          <t>Sunflower Oil 1L</t>
        </is>
      </c>
      <c r="F969" s="4" t="inlineStr">
        <is>
          <t>Packaged Staples</t>
        </is>
      </c>
      <c r="G969" s="4" t="inlineStr">
        <is>
          <t>A</t>
        </is>
      </c>
      <c r="H969" s="11" t="n">
        <v>4377</v>
      </c>
      <c r="I969" s="4" t="n">
        <v>1105.25</v>
      </c>
      <c r="J969" s="13">
        <f>IF(I969&gt;0,H969/I969,"")</f>
        <v/>
      </c>
      <c r="K969" s="4">
        <f>IF(I969&lt;=0,"NO DEMAND",IF(H969=0,"STOCKOUT",IF(J969&lt;Config!$B$5,"CRITICAL",IF(J969&lt;Config!$B$6,"LOW",IF(J969&gt;Config!$B$7,"EXCESS","HEALTHY")))))</f>
        <v/>
      </c>
      <c r="L969" s="11" t="n">
        <v>245</v>
      </c>
      <c r="M969" s="11" t="n">
        <v>273</v>
      </c>
      <c r="N969" s="11">
        <f>H969*L969</f>
        <v/>
      </c>
      <c r="O969" s="11">
        <f>IF(I969&gt;0,I969*(M969-L969),0)</f>
        <v/>
      </c>
      <c r="P969" s="11" t="n">
        <v>0</v>
      </c>
    </row>
    <row r="970">
      <c r="A970" s="4" t="inlineStr">
        <is>
          <t>WH09</t>
        </is>
      </c>
      <c r="B970" s="4" t="inlineStr">
        <is>
          <t>Hyderabad DC</t>
        </is>
      </c>
      <c r="C970" s="4" t="inlineStr">
        <is>
          <t>South</t>
        </is>
      </c>
      <c r="D970" s="4" t="inlineStr">
        <is>
          <t>SKU006</t>
        </is>
      </c>
      <c r="E970" s="4" t="inlineStr">
        <is>
          <t>Mustard Oil 1L</t>
        </is>
      </c>
      <c r="F970" s="4" t="inlineStr">
        <is>
          <t>Packaged Staples</t>
        </is>
      </c>
      <c r="G970" s="4" t="inlineStr">
        <is>
          <t>B</t>
        </is>
      </c>
      <c r="H970" s="11" t="n">
        <v>1190</v>
      </c>
      <c r="I970" s="4" t="n">
        <v>446.5</v>
      </c>
      <c r="J970" s="13">
        <f>IF(I970&gt;0,H970/I970,"")</f>
        <v/>
      </c>
      <c r="K970" s="4">
        <f>IF(I970&lt;=0,"NO DEMAND",IF(H970=0,"STOCKOUT",IF(J970&lt;Config!$B$5,"CRITICAL",IF(J970&lt;Config!$B$6,"LOW",IF(J970&gt;Config!$B$7,"EXCESS","HEALTHY")))))</f>
        <v/>
      </c>
      <c r="L970" s="11" t="n">
        <v>68</v>
      </c>
      <c r="M970" s="11" t="n">
        <v>77</v>
      </c>
      <c r="N970" s="11">
        <f>H970*L970</f>
        <v/>
      </c>
      <c r="O970" s="11">
        <f>IF(I970&gt;0,I970*(M970-L970),0)</f>
        <v/>
      </c>
      <c r="P970" s="11" t="n">
        <v>0</v>
      </c>
    </row>
    <row r="971">
      <c r="A971" s="4" t="inlineStr">
        <is>
          <t>WH09</t>
        </is>
      </c>
      <c r="B971" s="4" t="inlineStr">
        <is>
          <t>Hyderabad DC</t>
        </is>
      </c>
      <c r="C971" s="4" t="inlineStr">
        <is>
          <t>South</t>
        </is>
      </c>
      <c r="D971" s="4" t="inlineStr">
        <is>
          <t>SKU007</t>
        </is>
      </c>
      <c r="E971" s="4" t="inlineStr">
        <is>
          <t>Sugar 1kg</t>
        </is>
      </c>
      <c r="F971" s="4" t="inlineStr">
        <is>
          <t>Packaged Staples</t>
        </is>
      </c>
      <c r="G971" s="4" t="inlineStr">
        <is>
          <t>A</t>
        </is>
      </c>
      <c r="H971" s="11" t="n">
        <v>4930</v>
      </c>
      <c r="I971" s="4" t="n">
        <v>1079.5</v>
      </c>
      <c r="J971" s="13">
        <f>IF(I971&gt;0,H971/I971,"")</f>
        <v/>
      </c>
      <c r="K971" s="4">
        <f>IF(I971&lt;=0,"NO DEMAND",IF(H971=0,"STOCKOUT",IF(J971&lt;Config!$B$5,"CRITICAL",IF(J971&lt;Config!$B$6,"LOW",IF(J971&gt;Config!$B$7,"EXCESS","HEALTHY")))))</f>
        <v/>
      </c>
      <c r="L971" s="11" t="n">
        <v>129</v>
      </c>
      <c r="M971" s="11" t="n">
        <v>143</v>
      </c>
      <c r="N971" s="11">
        <f>H971*L971</f>
        <v/>
      </c>
      <c r="O971" s="11">
        <f>IF(I971&gt;0,I971*(M971-L971),0)</f>
        <v/>
      </c>
      <c r="P971" s="11" t="n">
        <v>0</v>
      </c>
    </row>
    <row r="972">
      <c r="A972" s="4" t="inlineStr">
        <is>
          <t>WH09</t>
        </is>
      </c>
      <c r="B972" s="4" t="inlineStr">
        <is>
          <t>Hyderabad DC</t>
        </is>
      </c>
      <c r="C972" s="4" t="inlineStr">
        <is>
          <t>South</t>
        </is>
      </c>
      <c r="D972" s="4" t="inlineStr">
        <is>
          <t>SKU008</t>
        </is>
      </c>
      <c r="E972" s="4" t="inlineStr">
        <is>
          <t>Iodized Salt 1kg</t>
        </is>
      </c>
      <c r="F972" s="4" t="inlineStr">
        <is>
          <t>Packaged Staples</t>
        </is>
      </c>
      <c r="G972" s="4" t="inlineStr">
        <is>
          <t>A</t>
        </is>
      </c>
      <c r="H972" s="11" t="n">
        <v>916</v>
      </c>
      <c r="I972" s="4" t="n">
        <v>697.5</v>
      </c>
      <c r="J972" s="13">
        <f>IF(I972&gt;0,H972/I972,"")</f>
        <v/>
      </c>
      <c r="K972" s="4">
        <f>IF(I972&lt;=0,"NO DEMAND",IF(H972=0,"STOCKOUT",IF(J972&lt;Config!$B$5,"CRITICAL",IF(J972&lt;Config!$B$6,"LOW",IF(J972&gt;Config!$B$7,"EXCESS","HEALTHY")))))</f>
        <v/>
      </c>
      <c r="L972" s="11" t="n">
        <v>140</v>
      </c>
      <c r="M972" s="11" t="n">
        <v>156</v>
      </c>
      <c r="N972" s="11">
        <f>H972*L972</f>
        <v/>
      </c>
      <c r="O972" s="11">
        <f>IF(I972&gt;0,I972*(M972-L972),0)</f>
        <v/>
      </c>
      <c r="P972" s="11" t="n">
        <v>2652</v>
      </c>
    </row>
    <row r="973">
      <c r="A973" s="4" t="inlineStr">
        <is>
          <t>WH09</t>
        </is>
      </c>
      <c r="B973" s="4" t="inlineStr">
        <is>
          <t>Hyderabad DC</t>
        </is>
      </c>
      <c r="C973" s="4" t="inlineStr">
        <is>
          <t>South</t>
        </is>
      </c>
      <c r="D973" s="4" t="inlineStr">
        <is>
          <t>SKU009</t>
        </is>
      </c>
      <c r="E973" s="4" t="inlineStr">
        <is>
          <t>Tea Leaves 500g</t>
        </is>
      </c>
      <c r="F973" s="4" t="inlineStr">
        <is>
          <t>Packaged Staples</t>
        </is>
      </c>
      <c r="G973" s="4" t="inlineStr">
        <is>
          <t>A</t>
        </is>
      </c>
      <c r="H973" s="11" t="n">
        <v>1814</v>
      </c>
      <c r="I973" s="4" t="n">
        <v>557.75</v>
      </c>
      <c r="J973" s="13">
        <f>IF(I973&gt;0,H973/I973,"")</f>
        <v/>
      </c>
      <c r="K973" s="4">
        <f>IF(I973&lt;=0,"NO DEMAND",IF(H973=0,"STOCKOUT",IF(J973&lt;Config!$B$5,"CRITICAL",IF(J973&lt;Config!$B$6,"LOW",IF(J973&gt;Config!$B$7,"EXCESS","HEALTHY")))))</f>
        <v/>
      </c>
      <c r="L973" s="11" t="n">
        <v>103</v>
      </c>
      <c r="M973" s="11" t="n">
        <v>116</v>
      </c>
      <c r="N973" s="11">
        <f>H973*L973</f>
        <v/>
      </c>
      <c r="O973" s="11">
        <f>IF(I973&gt;0,I973*(M973-L973),0)</f>
        <v/>
      </c>
      <c r="P973" s="11" t="n">
        <v>0</v>
      </c>
    </row>
    <row r="974">
      <c r="A974" s="4" t="inlineStr">
        <is>
          <t>WH09</t>
        </is>
      </c>
      <c r="B974" s="4" t="inlineStr">
        <is>
          <t>Hyderabad DC</t>
        </is>
      </c>
      <c r="C974" s="4" t="inlineStr">
        <is>
          <t>South</t>
        </is>
      </c>
      <c r="D974" s="4" t="inlineStr">
        <is>
          <t>SKU010</t>
        </is>
      </c>
      <c r="E974" s="4" t="inlineStr">
        <is>
          <t>Poha 500g</t>
        </is>
      </c>
      <c r="F974" s="4" t="inlineStr">
        <is>
          <t>Packaged Staples</t>
        </is>
      </c>
      <c r="G974" s="4" t="inlineStr">
        <is>
          <t>B</t>
        </is>
      </c>
      <c r="H974" s="11" t="n">
        <v>3611</v>
      </c>
      <c r="I974" s="4" t="n">
        <v>845.5</v>
      </c>
      <c r="J974" s="13">
        <f>IF(I974&gt;0,H974/I974,"")</f>
        <v/>
      </c>
      <c r="K974" s="4">
        <f>IF(I974&lt;=0,"NO DEMAND",IF(H974=0,"STOCKOUT",IF(J974&lt;Config!$B$5,"CRITICAL",IF(J974&lt;Config!$B$6,"LOW",IF(J974&gt;Config!$B$7,"EXCESS","HEALTHY")))))</f>
        <v/>
      </c>
      <c r="L974" s="11" t="n">
        <v>40</v>
      </c>
      <c r="M974" s="11" t="n">
        <v>45</v>
      </c>
      <c r="N974" s="11">
        <f>H974*L974</f>
        <v/>
      </c>
      <c r="O974" s="11">
        <f>IF(I974&gt;0,I974*(M974-L974),0)</f>
        <v/>
      </c>
      <c r="P974" s="11" t="n">
        <v>0</v>
      </c>
    </row>
    <row r="975">
      <c r="A975" s="4" t="inlineStr">
        <is>
          <t>WH09</t>
        </is>
      </c>
      <c r="B975" s="4" t="inlineStr">
        <is>
          <t>Hyderabad DC</t>
        </is>
      </c>
      <c r="C975" s="4" t="inlineStr">
        <is>
          <t>South</t>
        </is>
      </c>
      <c r="D975" s="4" t="inlineStr">
        <is>
          <t>SKU011</t>
        </is>
      </c>
      <c r="E975" s="4" t="inlineStr">
        <is>
          <t>Besan 1kg</t>
        </is>
      </c>
      <c r="F975" s="4" t="inlineStr">
        <is>
          <t>Packaged Staples</t>
        </is>
      </c>
      <c r="G975" s="4" t="inlineStr">
        <is>
          <t>A</t>
        </is>
      </c>
      <c r="H975" s="11" t="n">
        <v>0</v>
      </c>
      <c r="I975" s="4" t="n">
        <v>1192.25</v>
      </c>
      <c r="J975" s="13">
        <f>IF(I975&gt;0,H975/I975,"")</f>
        <v/>
      </c>
      <c r="K975" s="4">
        <f>IF(I975&lt;=0,"NO DEMAND",IF(H975=0,"STOCKOUT",IF(J975&lt;Config!$B$5,"CRITICAL",IF(J975&lt;Config!$B$6,"LOW",IF(J975&gt;Config!$B$7,"EXCESS","HEALTHY")))))</f>
        <v/>
      </c>
      <c r="L975" s="11" t="n">
        <v>110</v>
      </c>
      <c r="M975" s="11" t="n">
        <v>122</v>
      </c>
      <c r="N975" s="11">
        <f>H975*L975</f>
        <v/>
      </c>
      <c r="O975" s="11">
        <f>IF(I975&gt;0,I975*(M975-L975),0)</f>
        <v/>
      </c>
      <c r="P975" s="11" t="n">
        <v>3936</v>
      </c>
    </row>
    <row r="976">
      <c r="A976" s="4" t="inlineStr">
        <is>
          <t>WH09</t>
        </is>
      </c>
      <c r="B976" s="4" t="inlineStr">
        <is>
          <t>Hyderabad DC</t>
        </is>
      </c>
      <c r="C976" s="4" t="inlineStr">
        <is>
          <t>South</t>
        </is>
      </c>
      <c r="D976" s="4" t="inlineStr">
        <is>
          <t>SKU012</t>
        </is>
      </c>
      <c r="E976" s="4" t="inlineStr">
        <is>
          <t>Rajma 1kg</t>
        </is>
      </c>
      <c r="F976" s="4" t="inlineStr">
        <is>
          <t>Packaged Staples</t>
        </is>
      </c>
      <c r="G976" s="4" t="inlineStr">
        <is>
          <t>B</t>
        </is>
      </c>
      <c r="H976" s="11" t="n">
        <v>1780</v>
      </c>
      <c r="I976" s="4" t="n">
        <v>1015.75</v>
      </c>
      <c r="J976" s="13">
        <f>IF(I976&gt;0,H976/I976,"")</f>
        <v/>
      </c>
      <c r="K976" s="4">
        <f>IF(I976&lt;=0,"NO DEMAND",IF(H976=0,"STOCKOUT",IF(J976&lt;Config!$B$5,"CRITICAL",IF(J976&lt;Config!$B$6,"LOW",IF(J976&gt;Config!$B$7,"EXCESS","HEALTHY")))))</f>
        <v/>
      </c>
      <c r="L976" s="11" t="n">
        <v>45</v>
      </c>
      <c r="M976" s="11" t="n">
        <v>50</v>
      </c>
      <c r="N976" s="11">
        <f>H976*L976</f>
        <v/>
      </c>
      <c r="O976" s="11">
        <f>IF(I976&gt;0,I976*(M976-L976),0)</f>
        <v/>
      </c>
      <c r="P976" s="11" t="n">
        <v>4248</v>
      </c>
    </row>
    <row r="977">
      <c r="A977" s="4" t="inlineStr">
        <is>
          <t>WH09</t>
        </is>
      </c>
      <c r="B977" s="4" t="inlineStr">
        <is>
          <t>Hyderabad DC</t>
        </is>
      </c>
      <c r="C977" s="4" t="inlineStr">
        <is>
          <t>South</t>
        </is>
      </c>
      <c r="D977" s="4" t="inlineStr">
        <is>
          <t>SKU013</t>
        </is>
      </c>
      <c r="E977" s="4" t="inlineStr">
        <is>
          <t>Jaggery 1kg</t>
        </is>
      </c>
      <c r="F977" s="4" t="inlineStr">
        <is>
          <t>Packaged Staples</t>
        </is>
      </c>
      <c r="G977" s="4" t="inlineStr">
        <is>
          <t>A</t>
        </is>
      </c>
      <c r="H977" s="11" t="n">
        <v>979</v>
      </c>
      <c r="I977" s="4" t="n">
        <v>977</v>
      </c>
      <c r="J977" s="13">
        <f>IF(I977&gt;0,H977/I977,"")</f>
        <v/>
      </c>
      <c r="K977" s="4">
        <f>IF(I977&lt;=0,"NO DEMAND",IF(H977=0,"STOCKOUT",IF(J977&lt;Config!$B$5,"CRITICAL",IF(J977&lt;Config!$B$6,"LOW",IF(J977&gt;Config!$B$7,"EXCESS","HEALTHY")))))</f>
        <v/>
      </c>
      <c r="L977" s="11" t="n">
        <v>125</v>
      </c>
      <c r="M977" s="11" t="n">
        <v>140</v>
      </c>
      <c r="N977" s="11">
        <f>H977*L977</f>
        <v/>
      </c>
      <c r="O977" s="11">
        <f>IF(I977&gt;0,I977*(M977-L977),0)</f>
        <v/>
      </c>
      <c r="P977" s="11" t="n">
        <v>4104</v>
      </c>
    </row>
    <row r="978">
      <c r="A978" s="4" t="inlineStr">
        <is>
          <t>WH09</t>
        </is>
      </c>
      <c r="B978" s="4" t="inlineStr">
        <is>
          <t>Hyderabad DC</t>
        </is>
      </c>
      <c r="C978" s="4" t="inlineStr">
        <is>
          <t>South</t>
        </is>
      </c>
      <c r="D978" s="4" t="inlineStr">
        <is>
          <t>SKU014</t>
        </is>
      </c>
      <c r="E978" s="4" t="inlineStr">
        <is>
          <t>Ghee 500ml</t>
        </is>
      </c>
      <c r="F978" s="4" t="inlineStr">
        <is>
          <t>Packaged Staples</t>
        </is>
      </c>
      <c r="G978" s="4" t="inlineStr">
        <is>
          <t>A</t>
        </is>
      </c>
      <c r="H978" s="11" t="n">
        <v>1635</v>
      </c>
      <c r="I978" s="4" t="n">
        <v>358.5</v>
      </c>
      <c r="J978" s="13">
        <f>IF(I978&gt;0,H978/I978,"")</f>
        <v/>
      </c>
      <c r="K978" s="4">
        <f>IF(I978&lt;=0,"NO DEMAND",IF(H978=0,"STOCKOUT",IF(J978&lt;Config!$B$5,"CRITICAL",IF(J978&lt;Config!$B$6,"LOW",IF(J978&gt;Config!$B$7,"EXCESS","HEALTHY")))))</f>
        <v/>
      </c>
      <c r="L978" s="11" t="n">
        <v>240</v>
      </c>
      <c r="M978" s="11" t="n">
        <v>270</v>
      </c>
      <c r="N978" s="11">
        <f>H978*L978</f>
        <v/>
      </c>
      <c r="O978" s="11">
        <f>IF(I978&gt;0,I978*(M978-L978),0)</f>
        <v/>
      </c>
      <c r="P978" s="11" t="n">
        <v>0</v>
      </c>
    </row>
    <row r="979">
      <c r="A979" s="4" t="inlineStr">
        <is>
          <t>WH09</t>
        </is>
      </c>
      <c r="B979" s="4" t="inlineStr">
        <is>
          <t>Hyderabad DC</t>
        </is>
      </c>
      <c r="C979" s="4" t="inlineStr">
        <is>
          <t>South</t>
        </is>
      </c>
      <c r="D979" s="4" t="inlineStr">
        <is>
          <t>SKU015</t>
        </is>
      </c>
      <c r="E979" s="4" t="inlineStr">
        <is>
          <t>Suji 1kg</t>
        </is>
      </c>
      <c r="F979" s="4" t="inlineStr">
        <is>
          <t>Packaged Staples</t>
        </is>
      </c>
      <c r="G979" s="4" t="inlineStr">
        <is>
          <t>C</t>
        </is>
      </c>
      <c r="H979" s="11" t="n">
        <v>1165</v>
      </c>
      <c r="I979" s="4" t="n">
        <v>724.5</v>
      </c>
      <c r="J979" s="13">
        <f>IF(I979&gt;0,H979/I979,"")</f>
        <v/>
      </c>
      <c r="K979" s="4">
        <f>IF(I979&lt;=0,"NO DEMAND",IF(H979=0,"STOCKOUT",IF(J979&lt;Config!$B$5,"CRITICAL",IF(J979&lt;Config!$B$6,"LOW",IF(J979&gt;Config!$B$7,"EXCESS","HEALTHY")))))</f>
        <v/>
      </c>
      <c r="L979" s="11" t="n">
        <v>42</v>
      </c>
      <c r="M979" s="11" t="n">
        <v>47</v>
      </c>
      <c r="N979" s="11">
        <f>H979*L979</f>
        <v/>
      </c>
      <c r="O979" s="11">
        <f>IF(I979&gt;0,I979*(M979-L979),0)</f>
        <v/>
      </c>
      <c r="P979" s="11" t="n">
        <v>2604</v>
      </c>
    </row>
    <row r="980">
      <c r="A980" s="4" t="inlineStr">
        <is>
          <t>WH09</t>
        </is>
      </c>
      <c r="B980" s="4" t="inlineStr">
        <is>
          <t>Hyderabad DC</t>
        </is>
      </c>
      <c r="C980" s="4" t="inlineStr">
        <is>
          <t>South</t>
        </is>
      </c>
      <c r="D980" s="4" t="inlineStr">
        <is>
          <t>SKU016</t>
        </is>
      </c>
      <c r="E980" s="4" t="inlineStr">
        <is>
          <t>Cola 750ml</t>
        </is>
      </c>
      <c r="F980" s="4" t="inlineStr">
        <is>
          <t>Beverages</t>
        </is>
      </c>
      <c r="G980" s="4" t="inlineStr">
        <is>
          <t>C</t>
        </is>
      </c>
      <c r="H980" s="11" t="n">
        <v>154</v>
      </c>
      <c r="I980" s="4" t="n">
        <v>138.5</v>
      </c>
      <c r="J980" s="13">
        <f>IF(I980&gt;0,H980/I980,"")</f>
        <v/>
      </c>
      <c r="K980" s="4">
        <f>IF(I980&lt;=0,"NO DEMAND",IF(H980=0,"STOCKOUT",IF(J980&lt;Config!$B$5,"CRITICAL",IF(J980&lt;Config!$B$6,"LOW",IF(J980&gt;Config!$B$7,"EXCESS","HEALTHY")))))</f>
        <v/>
      </c>
      <c r="L980" s="11" t="n">
        <v>41</v>
      </c>
      <c r="M980" s="11" t="n">
        <v>47</v>
      </c>
      <c r="N980" s="11">
        <f>H980*L980</f>
        <v/>
      </c>
      <c r="O980" s="11">
        <f>IF(I980&gt;0,I980*(M980-L980),0)</f>
        <v/>
      </c>
      <c r="P980" s="11" t="n">
        <v>1248</v>
      </c>
    </row>
    <row r="981">
      <c r="A981" s="4" t="inlineStr">
        <is>
          <t>WH09</t>
        </is>
      </c>
      <c r="B981" s="4" t="inlineStr">
        <is>
          <t>Hyderabad DC</t>
        </is>
      </c>
      <c r="C981" s="4" t="inlineStr">
        <is>
          <t>South</t>
        </is>
      </c>
      <c r="D981" s="4" t="inlineStr">
        <is>
          <t>SKU017</t>
        </is>
      </c>
      <c r="E981" s="4" t="inlineStr">
        <is>
          <t>Lemon Soda 600ml</t>
        </is>
      </c>
      <c r="F981" s="4" t="inlineStr">
        <is>
          <t>Beverages</t>
        </is>
      </c>
      <c r="G981" s="4" t="inlineStr">
        <is>
          <t>B</t>
        </is>
      </c>
      <c r="H981" s="11" t="n">
        <v>4345</v>
      </c>
      <c r="I981" s="4" t="n">
        <v>2000.25</v>
      </c>
      <c r="J981" s="13">
        <f>IF(I981&gt;0,H981/I981,"")</f>
        <v/>
      </c>
      <c r="K981" s="4">
        <f>IF(I981&lt;=0,"NO DEMAND",IF(H981=0,"STOCKOUT",IF(J981&lt;Config!$B$5,"CRITICAL",IF(J981&lt;Config!$B$6,"LOW",IF(J981&gt;Config!$B$7,"EXCESS","HEALTHY")))))</f>
        <v/>
      </c>
      <c r="L981" s="11" t="n">
        <v>42</v>
      </c>
      <c r="M981" s="11" t="n">
        <v>50</v>
      </c>
      <c r="N981" s="11">
        <f>H981*L981</f>
        <v/>
      </c>
      <c r="O981" s="11">
        <f>IF(I981&gt;0,I981*(M981-L981),0)</f>
        <v/>
      </c>
      <c r="P981" s="11" t="n">
        <v>0</v>
      </c>
    </row>
    <row r="982">
      <c r="A982" s="4" t="inlineStr">
        <is>
          <t>WH09</t>
        </is>
      </c>
      <c r="B982" s="4" t="inlineStr">
        <is>
          <t>Hyderabad DC</t>
        </is>
      </c>
      <c r="C982" s="4" t="inlineStr">
        <is>
          <t>South</t>
        </is>
      </c>
      <c r="D982" s="4" t="inlineStr">
        <is>
          <t>SKU018</t>
        </is>
      </c>
      <c r="E982" s="4" t="inlineStr">
        <is>
          <t>Mango Drink 1L</t>
        </is>
      </c>
      <c r="F982" s="4" t="inlineStr">
        <is>
          <t>Beverages</t>
        </is>
      </c>
      <c r="G982" s="4" t="inlineStr">
        <is>
          <t>A</t>
        </is>
      </c>
      <c r="H982" s="11" t="n">
        <v>1185</v>
      </c>
      <c r="I982" s="4" t="n">
        <v>424.25</v>
      </c>
      <c r="J982" s="13">
        <f>IF(I982&gt;0,H982/I982,"")</f>
        <v/>
      </c>
      <c r="K982" s="4">
        <f>IF(I982&lt;=0,"NO DEMAND",IF(H982=0,"STOCKOUT",IF(J982&lt;Config!$B$5,"CRITICAL",IF(J982&lt;Config!$B$6,"LOW",IF(J982&gt;Config!$B$7,"EXCESS","HEALTHY")))))</f>
        <v/>
      </c>
      <c r="L982" s="11" t="n">
        <v>101</v>
      </c>
      <c r="M982" s="11" t="n">
        <v>117</v>
      </c>
      <c r="N982" s="11">
        <f>H982*L982</f>
        <v/>
      </c>
      <c r="O982" s="11">
        <f>IF(I982&gt;0,I982*(M982-L982),0)</f>
        <v/>
      </c>
      <c r="P982" s="11" t="n">
        <v>0</v>
      </c>
    </row>
    <row r="983">
      <c r="A983" s="4" t="inlineStr">
        <is>
          <t>WH09</t>
        </is>
      </c>
      <c r="B983" s="4" t="inlineStr">
        <is>
          <t>Hyderabad DC</t>
        </is>
      </c>
      <c r="C983" s="4" t="inlineStr">
        <is>
          <t>South</t>
        </is>
      </c>
      <c r="D983" s="4" t="inlineStr">
        <is>
          <t>SKU019</t>
        </is>
      </c>
      <c r="E983" s="4" t="inlineStr">
        <is>
          <t>Packaged Water 1L</t>
        </is>
      </c>
      <c r="F983" s="4" t="inlineStr">
        <is>
          <t>Beverages</t>
        </is>
      </c>
      <c r="G983" s="4" t="inlineStr">
        <is>
          <t>A</t>
        </is>
      </c>
      <c r="H983" s="11" t="n">
        <v>4013</v>
      </c>
      <c r="I983" s="4" t="n">
        <v>1638.25</v>
      </c>
      <c r="J983" s="13">
        <f>IF(I983&gt;0,H983/I983,"")</f>
        <v/>
      </c>
      <c r="K983" s="4">
        <f>IF(I983&lt;=0,"NO DEMAND",IF(H983=0,"STOCKOUT",IF(J983&lt;Config!$B$5,"CRITICAL",IF(J983&lt;Config!$B$6,"LOW",IF(J983&gt;Config!$B$7,"EXCESS","HEALTHY")))))</f>
        <v/>
      </c>
      <c r="L983" s="11" t="n">
        <v>57</v>
      </c>
      <c r="M983" s="11" t="n">
        <v>68</v>
      </c>
      <c r="N983" s="11">
        <f>H983*L983</f>
        <v/>
      </c>
      <c r="O983" s="11">
        <f>IF(I983&gt;0,I983*(M983-L983),0)</f>
        <v/>
      </c>
      <c r="P983" s="11" t="n">
        <v>0</v>
      </c>
    </row>
    <row r="984">
      <c r="A984" s="4" t="inlineStr">
        <is>
          <t>WH09</t>
        </is>
      </c>
      <c r="B984" s="4" t="inlineStr">
        <is>
          <t>Hyderabad DC</t>
        </is>
      </c>
      <c r="C984" s="4" t="inlineStr">
        <is>
          <t>South</t>
        </is>
      </c>
      <c r="D984" s="4" t="inlineStr">
        <is>
          <t>SKU020</t>
        </is>
      </c>
      <c r="E984" s="4" t="inlineStr">
        <is>
          <t>Energy Drink 250ml</t>
        </is>
      </c>
      <c r="F984" s="4" t="inlineStr">
        <is>
          <t>Beverages</t>
        </is>
      </c>
      <c r="G984" s="4" t="inlineStr">
        <is>
          <t>B</t>
        </is>
      </c>
      <c r="H984" s="11" t="n">
        <v>3415</v>
      </c>
      <c r="I984" s="4" t="n">
        <v>1493.75</v>
      </c>
      <c r="J984" s="13">
        <f>IF(I984&gt;0,H984/I984,"")</f>
        <v/>
      </c>
      <c r="K984" s="4">
        <f>IF(I984&lt;=0,"NO DEMAND",IF(H984=0,"STOCKOUT",IF(J984&lt;Config!$B$5,"CRITICAL",IF(J984&lt;Config!$B$6,"LOW",IF(J984&gt;Config!$B$7,"EXCESS","HEALTHY")))))</f>
        <v/>
      </c>
      <c r="L984" s="11" t="n">
        <v>24</v>
      </c>
      <c r="M984" s="11" t="n">
        <v>28</v>
      </c>
      <c r="N984" s="11">
        <f>H984*L984</f>
        <v/>
      </c>
      <c r="O984" s="11">
        <f>IF(I984&gt;0,I984*(M984-L984),0)</f>
        <v/>
      </c>
      <c r="P984" s="11" t="n">
        <v>0</v>
      </c>
    </row>
    <row r="985">
      <c r="A985" s="4" t="inlineStr">
        <is>
          <t>WH09</t>
        </is>
      </c>
      <c r="B985" s="4" t="inlineStr">
        <is>
          <t>Hyderabad DC</t>
        </is>
      </c>
      <c r="C985" s="4" t="inlineStr">
        <is>
          <t>South</t>
        </is>
      </c>
      <c r="D985" s="4" t="inlineStr">
        <is>
          <t>SKU021</t>
        </is>
      </c>
      <c r="E985" s="4" t="inlineStr">
        <is>
          <t>Fruit Juice 1L</t>
        </is>
      </c>
      <c r="F985" s="4" t="inlineStr">
        <is>
          <t>Beverages</t>
        </is>
      </c>
      <c r="G985" s="4" t="inlineStr">
        <is>
          <t>A</t>
        </is>
      </c>
      <c r="H985" s="11" t="n">
        <v>5496</v>
      </c>
      <c r="I985" s="4" t="n">
        <v>1683.75</v>
      </c>
      <c r="J985" s="13">
        <f>IF(I985&gt;0,H985/I985,"")</f>
        <v/>
      </c>
      <c r="K985" s="4">
        <f>IF(I985&lt;=0,"NO DEMAND",IF(H985=0,"STOCKOUT",IF(J985&lt;Config!$B$5,"CRITICAL",IF(J985&lt;Config!$B$6,"LOW",IF(J985&gt;Config!$B$7,"EXCESS","HEALTHY")))))</f>
        <v/>
      </c>
      <c r="L985" s="11" t="n">
        <v>54</v>
      </c>
      <c r="M985" s="11" t="n">
        <v>63</v>
      </c>
      <c r="N985" s="11">
        <f>H985*L985</f>
        <v/>
      </c>
      <c r="O985" s="11">
        <f>IF(I985&gt;0,I985*(M985-L985),0)</f>
        <v/>
      </c>
      <c r="P985" s="11" t="n">
        <v>0</v>
      </c>
    </row>
    <row r="986">
      <c r="A986" s="4" t="inlineStr">
        <is>
          <t>WH09</t>
        </is>
      </c>
      <c r="B986" s="4" t="inlineStr">
        <is>
          <t>Hyderabad DC</t>
        </is>
      </c>
      <c r="C986" s="4" t="inlineStr">
        <is>
          <t>South</t>
        </is>
      </c>
      <c r="D986" s="4" t="inlineStr">
        <is>
          <t>SKU022</t>
        </is>
      </c>
      <c r="E986" s="4" t="inlineStr">
        <is>
          <t>Iced Tea 500ml</t>
        </is>
      </c>
      <c r="F986" s="4" t="inlineStr">
        <is>
          <t>Beverages</t>
        </is>
      </c>
      <c r="G986" s="4" t="inlineStr">
        <is>
          <t>A</t>
        </is>
      </c>
      <c r="H986" s="11" t="n">
        <v>2316</v>
      </c>
      <c r="I986" s="4" t="n">
        <v>1344.5</v>
      </c>
      <c r="J986" s="13">
        <f>IF(I986&gt;0,H986/I986,"")</f>
        <v/>
      </c>
      <c r="K986" s="4">
        <f>IF(I986&lt;=0,"NO DEMAND",IF(H986=0,"STOCKOUT",IF(J986&lt;Config!$B$5,"CRITICAL",IF(J986&lt;Config!$B$6,"LOW",IF(J986&gt;Config!$B$7,"EXCESS","HEALTHY")))))</f>
        <v/>
      </c>
      <c r="L986" s="11" t="n">
        <v>53</v>
      </c>
      <c r="M986" s="11" t="n">
        <v>64</v>
      </c>
      <c r="N986" s="11">
        <f>H986*L986</f>
        <v/>
      </c>
      <c r="O986" s="11">
        <f>IF(I986&gt;0,I986*(M986-L986),0)</f>
        <v/>
      </c>
      <c r="P986" s="11" t="n">
        <v>5520</v>
      </c>
    </row>
    <row r="987">
      <c r="A987" s="4" t="inlineStr">
        <is>
          <t>WH09</t>
        </is>
      </c>
      <c r="B987" s="4" t="inlineStr">
        <is>
          <t>Hyderabad DC</t>
        </is>
      </c>
      <c r="C987" s="4" t="inlineStr">
        <is>
          <t>South</t>
        </is>
      </c>
      <c r="D987" s="4" t="inlineStr">
        <is>
          <t>SKU023</t>
        </is>
      </c>
      <c r="E987" s="4" t="inlineStr">
        <is>
          <t>Coconut Water 200ml</t>
        </is>
      </c>
      <c r="F987" s="4" t="inlineStr">
        <is>
          <t>Beverages</t>
        </is>
      </c>
      <c r="G987" s="4" t="inlineStr">
        <is>
          <t>A</t>
        </is>
      </c>
      <c r="H987" s="11" t="n">
        <v>5338</v>
      </c>
      <c r="I987" s="4" t="n">
        <v>2123.5</v>
      </c>
      <c r="J987" s="13">
        <f>IF(I987&gt;0,H987/I987,"")</f>
        <v/>
      </c>
      <c r="K987" s="4">
        <f>IF(I987&lt;=0,"NO DEMAND",IF(H987=0,"STOCKOUT",IF(J987&lt;Config!$B$5,"CRITICAL",IF(J987&lt;Config!$B$6,"LOW",IF(J987&gt;Config!$B$7,"EXCESS","HEALTHY")))))</f>
        <v/>
      </c>
      <c r="L987" s="11" t="n">
        <v>59</v>
      </c>
      <c r="M987" s="11" t="n">
        <v>69</v>
      </c>
      <c r="N987" s="11">
        <f>H987*L987</f>
        <v/>
      </c>
      <c r="O987" s="11">
        <f>IF(I987&gt;0,I987*(M987-L987),0)</f>
        <v/>
      </c>
      <c r="P987" s="11" t="n">
        <v>0</v>
      </c>
    </row>
    <row r="988">
      <c r="A988" s="4" t="inlineStr">
        <is>
          <t>WH09</t>
        </is>
      </c>
      <c r="B988" s="4" t="inlineStr">
        <is>
          <t>Hyderabad DC</t>
        </is>
      </c>
      <c r="C988" s="4" t="inlineStr">
        <is>
          <t>South</t>
        </is>
      </c>
      <c r="D988" s="4" t="inlineStr">
        <is>
          <t>SKU024</t>
        </is>
      </c>
      <c r="E988" s="4" t="inlineStr">
        <is>
          <t>Instant Coffee 100g</t>
        </is>
      </c>
      <c r="F988" s="4" t="inlineStr">
        <is>
          <t>Beverages</t>
        </is>
      </c>
      <c r="G988" s="4" t="inlineStr">
        <is>
          <t>C</t>
        </is>
      </c>
      <c r="H988" s="11" t="n">
        <v>1597</v>
      </c>
      <c r="I988" s="4" t="n">
        <v>706</v>
      </c>
      <c r="J988" s="13">
        <f>IF(I988&gt;0,H988/I988,"")</f>
        <v/>
      </c>
      <c r="K988" s="4">
        <f>IF(I988&lt;=0,"NO DEMAND",IF(H988=0,"STOCKOUT",IF(J988&lt;Config!$B$5,"CRITICAL",IF(J988&lt;Config!$B$6,"LOW",IF(J988&gt;Config!$B$7,"EXCESS","HEALTHY")))))</f>
        <v/>
      </c>
      <c r="L988" s="11" t="n">
        <v>27</v>
      </c>
      <c r="M988" s="11" t="n">
        <v>31</v>
      </c>
      <c r="N988" s="11">
        <f>H988*L988</f>
        <v/>
      </c>
      <c r="O988" s="11">
        <f>IF(I988&gt;0,I988*(M988-L988),0)</f>
        <v/>
      </c>
      <c r="P988" s="11" t="n">
        <v>0</v>
      </c>
    </row>
    <row r="989">
      <c r="A989" s="4" t="inlineStr">
        <is>
          <t>WH09</t>
        </is>
      </c>
      <c r="B989" s="4" t="inlineStr">
        <is>
          <t>Hyderabad DC</t>
        </is>
      </c>
      <c r="C989" s="4" t="inlineStr">
        <is>
          <t>South</t>
        </is>
      </c>
      <c r="D989" s="4" t="inlineStr">
        <is>
          <t>SKU025</t>
        </is>
      </c>
      <c r="E989" s="4" t="inlineStr">
        <is>
          <t>Tea Bags 100pk</t>
        </is>
      </c>
      <c r="F989" s="4" t="inlineStr">
        <is>
          <t>Beverages</t>
        </is>
      </c>
      <c r="G989" s="4" t="inlineStr">
        <is>
          <t>C</t>
        </is>
      </c>
      <c r="H989" s="11" t="n">
        <v>5357</v>
      </c>
      <c r="I989" s="4" t="n">
        <v>1572.5</v>
      </c>
      <c r="J989" s="13">
        <f>IF(I989&gt;0,H989/I989,"")</f>
        <v/>
      </c>
      <c r="K989" s="4">
        <f>IF(I989&lt;=0,"NO DEMAND",IF(H989=0,"STOCKOUT",IF(J989&lt;Config!$B$5,"CRITICAL",IF(J989&lt;Config!$B$6,"LOW",IF(J989&gt;Config!$B$7,"EXCESS","HEALTHY")))))</f>
        <v/>
      </c>
      <c r="L989" s="11" t="n">
        <v>24</v>
      </c>
      <c r="M989" s="11" t="n">
        <v>28</v>
      </c>
      <c r="N989" s="11">
        <f>H989*L989</f>
        <v/>
      </c>
      <c r="O989" s="11">
        <f>IF(I989&gt;0,I989*(M989-L989),0)</f>
        <v/>
      </c>
      <c r="P989" s="11" t="n">
        <v>0</v>
      </c>
    </row>
    <row r="990">
      <c r="A990" s="4" t="inlineStr">
        <is>
          <t>WH09</t>
        </is>
      </c>
      <c r="B990" s="4" t="inlineStr">
        <is>
          <t>Hyderabad DC</t>
        </is>
      </c>
      <c r="C990" s="4" t="inlineStr">
        <is>
          <t>South</t>
        </is>
      </c>
      <c r="D990" s="4" t="inlineStr">
        <is>
          <t>SKU026</t>
        </is>
      </c>
      <c r="E990" s="4" t="inlineStr">
        <is>
          <t>Buttermilk 200ml</t>
        </is>
      </c>
      <c r="F990" s="4" t="inlineStr">
        <is>
          <t>Beverages</t>
        </is>
      </c>
      <c r="G990" s="4" t="inlineStr">
        <is>
          <t>B</t>
        </is>
      </c>
      <c r="H990" s="11" t="n">
        <v>5962</v>
      </c>
      <c r="I990" s="4" t="n">
        <v>1485</v>
      </c>
      <c r="J990" s="13">
        <f>IF(I990&gt;0,H990/I990,"")</f>
        <v/>
      </c>
      <c r="K990" s="4">
        <f>IF(I990&lt;=0,"NO DEMAND",IF(H990=0,"STOCKOUT",IF(J990&lt;Config!$B$5,"CRITICAL",IF(J990&lt;Config!$B$6,"LOW",IF(J990&gt;Config!$B$7,"EXCESS","HEALTHY")))))</f>
        <v/>
      </c>
      <c r="L990" s="11" t="n">
        <v>31</v>
      </c>
      <c r="M990" s="11" t="n">
        <v>36</v>
      </c>
      <c r="N990" s="11">
        <f>H990*L990</f>
        <v/>
      </c>
      <c r="O990" s="11">
        <f>IF(I990&gt;0,I990*(M990-L990),0)</f>
        <v/>
      </c>
      <c r="P990" s="11" t="n">
        <v>0</v>
      </c>
    </row>
    <row r="991">
      <c r="A991" s="4" t="inlineStr">
        <is>
          <t>WH09</t>
        </is>
      </c>
      <c r="B991" s="4" t="inlineStr">
        <is>
          <t>Hyderabad DC</t>
        </is>
      </c>
      <c r="C991" s="4" t="inlineStr">
        <is>
          <t>South</t>
        </is>
      </c>
      <c r="D991" s="4" t="inlineStr">
        <is>
          <t>SKU027</t>
        </is>
      </c>
      <c r="E991" s="4" t="inlineStr">
        <is>
          <t>Lassi 200ml</t>
        </is>
      </c>
      <c r="F991" s="4" t="inlineStr">
        <is>
          <t>Beverages</t>
        </is>
      </c>
      <c r="G991" s="4" t="inlineStr">
        <is>
          <t>A</t>
        </is>
      </c>
      <c r="H991" s="11" t="n">
        <v>2029</v>
      </c>
      <c r="I991" s="4" t="n">
        <v>277.25</v>
      </c>
      <c r="J991" s="13">
        <f>IF(I991&gt;0,H991/I991,"")</f>
        <v/>
      </c>
      <c r="K991" s="4">
        <f>IF(I991&lt;=0,"NO DEMAND",IF(H991=0,"STOCKOUT",IF(J991&lt;Config!$B$5,"CRITICAL",IF(J991&lt;Config!$B$6,"LOW",IF(J991&gt;Config!$B$7,"EXCESS","HEALTHY")))))</f>
        <v/>
      </c>
      <c r="L991" s="11" t="n">
        <v>60</v>
      </c>
      <c r="M991" s="11" t="n">
        <v>72</v>
      </c>
      <c r="N991" s="11">
        <f>H991*L991</f>
        <v/>
      </c>
      <c r="O991" s="11">
        <f>IF(I991&gt;0,I991*(M991-L991),0)</f>
        <v/>
      </c>
      <c r="P991" s="11" t="n">
        <v>0</v>
      </c>
    </row>
    <row r="992">
      <c r="A992" s="4" t="inlineStr">
        <is>
          <t>WH09</t>
        </is>
      </c>
      <c r="B992" s="4" t="inlineStr">
        <is>
          <t>Hyderabad DC</t>
        </is>
      </c>
      <c r="C992" s="4" t="inlineStr">
        <is>
          <t>South</t>
        </is>
      </c>
      <c r="D992" s="4" t="inlineStr">
        <is>
          <t>SKU028</t>
        </is>
      </c>
      <c r="E992" s="4" t="inlineStr">
        <is>
          <t>Sports Drink 500ml</t>
        </is>
      </c>
      <c r="F992" s="4" t="inlineStr">
        <is>
          <t>Beverages</t>
        </is>
      </c>
      <c r="G992" s="4" t="inlineStr">
        <is>
          <t>A</t>
        </is>
      </c>
      <c r="H992" s="11" t="n">
        <v>4294</v>
      </c>
      <c r="I992" s="4" t="n">
        <v>1292.25</v>
      </c>
      <c r="J992" s="13">
        <f>IF(I992&gt;0,H992/I992,"")</f>
        <v/>
      </c>
      <c r="K992" s="4">
        <f>IF(I992&lt;=0,"NO DEMAND",IF(H992=0,"STOCKOUT",IF(J992&lt;Config!$B$5,"CRITICAL",IF(J992&lt;Config!$B$6,"LOW",IF(J992&gt;Config!$B$7,"EXCESS","HEALTHY")))))</f>
        <v/>
      </c>
      <c r="L992" s="11" t="n">
        <v>110</v>
      </c>
      <c r="M992" s="11" t="n">
        <v>131</v>
      </c>
      <c r="N992" s="11">
        <f>H992*L992</f>
        <v/>
      </c>
      <c r="O992" s="11">
        <f>IF(I992&gt;0,I992*(M992-L992),0)</f>
        <v/>
      </c>
      <c r="P992" s="11" t="n">
        <v>0</v>
      </c>
    </row>
    <row r="993">
      <c r="A993" s="4" t="inlineStr">
        <is>
          <t>WH09</t>
        </is>
      </c>
      <c r="B993" s="4" t="inlineStr">
        <is>
          <t>Hyderabad DC</t>
        </is>
      </c>
      <c r="C993" s="4" t="inlineStr">
        <is>
          <t>South</t>
        </is>
      </c>
      <c r="D993" s="4" t="inlineStr">
        <is>
          <t>SKU029</t>
        </is>
      </c>
      <c r="E993" s="4" t="inlineStr">
        <is>
          <t>Tonic Water 300ml</t>
        </is>
      </c>
      <c r="F993" s="4" t="inlineStr">
        <is>
          <t>Beverages</t>
        </is>
      </c>
      <c r="G993" s="4" t="inlineStr">
        <is>
          <t>B</t>
        </is>
      </c>
      <c r="H993" s="11" t="n">
        <v>4999</v>
      </c>
      <c r="I993" s="4" t="n">
        <v>2163.25</v>
      </c>
      <c r="J993" s="13">
        <f>IF(I993&gt;0,H993/I993,"")</f>
        <v/>
      </c>
      <c r="K993" s="4">
        <f>IF(I993&lt;=0,"NO DEMAND",IF(H993=0,"STOCKOUT",IF(J993&lt;Config!$B$5,"CRITICAL",IF(J993&lt;Config!$B$6,"LOW",IF(J993&gt;Config!$B$7,"EXCESS","HEALTHY")))))</f>
        <v/>
      </c>
      <c r="L993" s="11" t="n">
        <v>23</v>
      </c>
      <c r="M993" s="11" t="n">
        <v>27</v>
      </c>
      <c r="N993" s="11">
        <f>H993*L993</f>
        <v/>
      </c>
      <c r="O993" s="11">
        <f>IF(I993&gt;0,I993*(M993-L993),0)</f>
        <v/>
      </c>
      <c r="P993" s="11" t="n">
        <v>0</v>
      </c>
    </row>
    <row r="994">
      <c r="A994" s="4" t="inlineStr">
        <is>
          <t>WH09</t>
        </is>
      </c>
      <c r="B994" s="4" t="inlineStr">
        <is>
          <t>Hyderabad DC</t>
        </is>
      </c>
      <c r="C994" s="4" t="inlineStr">
        <is>
          <t>South</t>
        </is>
      </c>
      <c r="D994" s="4" t="inlineStr">
        <is>
          <t>SKU030</t>
        </is>
      </c>
      <c r="E994" s="4" t="inlineStr">
        <is>
          <t>Malt Drink 500g</t>
        </is>
      </c>
      <c r="F994" s="4" t="inlineStr">
        <is>
          <t>Beverages</t>
        </is>
      </c>
      <c r="G994" s="4" t="inlineStr">
        <is>
          <t>C</t>
        </is>
      </c>
      <c r="H994" s="11" t="n">
        <v>2946</v>
      </c>
      <c r="I994" s="4" t="n">
        <v>1836.5</v>
      </c>
      <c r="J994" s="13">
        <f>IF(I994&gt;0,H994/I994,"")</f>
        <v/>
      </c>
      <c r="K994" s="4">
        <f>IF(I994&lt;=0,"NO DEMAND",IF(H994=0,"STOCKOUT",IF(J994&lt;Config!$B$5,"CRITICAL",IF(J994&lt;Config!$B$6,"LOW",IF(J994&gt;Config!$B$7,"EXCESS","HEALTHY")))))</f>
        <v/>
      </c>
      <c r="L994" s="11" t="n">
        <v>31</v>
      </c>
      <c r="M994" s="11" t="n">
        <v>37</v>
      </c>
      <c r="N994" s="11">
        <f>H994*L994</f>
        <v/>
      </c>
      <c r="O994" s="11">
        <f>IF(I994&gt;0,I994*(M994-L994),0)</f>
        <v/>
      </c>
      <c r="P994" s="11" t="n">
        <v>5808</v>
      </c>
    </row>
    <row r="995">
      <c r="A995" s="4" t="inlineStr">
        <is>
          <t>WH09</t>
        </is>
      </c>
      <c r="B995" s="4" t="inlineStr">
        <is>
          <t>Hyderabad DC</t>
        </is>
      </c>
      <c r="C995" s="4" t="inlineStr">
        <is>
          <t>South</t>
        </is>
      </c>
      <c r="D995" s="4" t="inlineStr">
        <is>
          <t>SKU031</t>
        </is>
      </c>
      <c r="E995" s="4" t="inlineStr">
        <is>
          <t>Potato Chips 90g</t>
        </is>
      </c>
      <c r="F995" s="4" t="inlineStr">
        <is>
          <t>Snacks &amp; Confectionery</t>
        </is>
      </c>
      <c r="G995" s="4" t="inlineStr">
        <is>
          <t>C</t>
        </is>
      </c>
      <c r="H995" s="11" t="n">
        <v>2421</v>
      </c>
      <c r="I995" s="4" t="n">
        <v>1108</v>
      </c>
      <c r="J995" s="13">
        <f>IF(I995&gt;0,H995/I995,"")</f>
        <v/>
      </c>
      <c r="K995" s="4">
        <f>IF(I995&lt;=0,"NO DEMAND",IF(H995=0,"STOCKOUT",IF(J995&lt;Config!$B$5,"CRITICAL",IF(J995&lt;Config!$B$6,"LOW",IF(J995&gt;Config!$B$7,"EXCESS","HEALTHY")))))</f>
        <v/>
      </c>
      <c r="L995" s="11" t="n">
        <v>13</v>
      </c>
      <c r="M995" s="11" t="n">
        <v>16</v>
      </c>
      <c r="N995" s="11">
        <f>H995*L995</f>
        <v/>
      </c>
      <c r="O995" s="11">
        <f>IF(I995&gt;0,I995*(M995-L995),0)</f>
        <v/>
      </c>
      <c r="P995" s="11" t="n">
        <v>0</v>
      </c>
    </row>
    <row r="996">
      <c r="A996" s="4" t="inlineStr">
        <is>
          <t>WH09</t>
        </is>
      </c>
      <c r="B996" s="4" t="inlineStr">
        <is>
          <t>Hyderabad DC</t>
        </is>
      </c>
      <c r="C996" s="4" t="inlineStr">
        <is>
          <t>South</t>
        </is>
      </c>
      <c r="D996" s="4" t="inlineStr">
        <is>
          <t>SKU032</t>
        </is>
      </c>
      <c r="E996" s="4" t="inlineStr">
        <is>
          <t>Namkeen Mix 400g</t>
        </is>
      </c>
      <c r="F996" s="4" t="inlineStr">
        <is>
          <t>Snacks &amp; Confectionery</t>
        </is>
      </c>
      <c r="G996" s="4" t="inlineStr">
        <is>
          <t>C</t>
        </is>
      </c>
      <c r="H996" s="11" t="n">
        <v>746</v>
      </c>
      <c r="I996" s="4" t="n">
        <v>155.25</v>
      </c>
      <c r="J996" s="13">
        <f>IF(I996&gt;0,H996/I996,"")</f>
        <v/>
      </c>
      <c r="K996" s="4">
        <f>IF(I996&lt;=0,"NO DEMAND",IF(H996=0,"STOCKOUT",IF(J996&lt;Config!$B$5,"CRITICAL",IF(J996&lt;Config!$B$6,"LOW",IF(J996&gt;Config!$B$7,"EXCESS","HEALTHY")))))</f>
        <v/>
      </c>
      <c r="L996" s="11" t="n">
        <v>14</v>
      </c>
      <c r="M996" s="11" t="n">
        <v>17</v>
      </c>
      <c r="N996" s="11">
        <f>H996*L996</f>
        <v/>
      </c>
      <c r="O996" s="11">
        <f>IF(I996&gt;0,I996*(M996-L996),0)</f>
        <v/>
      </c>
      <c r="P996" s="11" t="n">
        <v>0</v>
      </c>
    </row>
    <row r="997">
      <c r="A997" s="4" t="inlineStr">
        <is>
          <t>WH09</t>
        </is>
      </c>
      <c r="B997" s="4" t="inlineStr">
        <is>
          <t>Hyderabad DC</t>
        </is>
      </c>
      <c r="C997" s="4" t="inlineStr">
        <is>
          <t>South</t>
        </is>
      </c>
      <c r="D997" s="4" t="inlineStr">
        <is>
          <t>SKU033</t>
        </is>
      </c>
      <c r="E997" s="4" t="inlineStr">
        <is>
          <t>Glucose Biscuits 300g</t>
        </is>
      </c>
      <c r="F997" s="4" t="inlineStr">
        <is>
          <t>Snacks &amp; Confectionery</t>
        </is>
      </c>
      <c r="G997" s="4" t="inlineStr">
        <is>
          <t>A</t>
        </is>
      </c>
      <c r="H997" s="11" t="n">
        <v>2352</v>
      </c>
      <c r="I997" s="4" t="n">
        <v>1209.25</v>
      </c>
      <c r="J997" s="13">
        <f>IF(I997&gt;0,H997/I997,"")</f>
        <v/>
      </c>
      <c r="K997" s="4">
        <f>IF(I997&lt;=0,"NO DEMAND",IF(H997=0,"STOCKOUT",IF(J997&lt;Config!$B$5,"CRITICAL",IF(J997&lt;Config!$B$6,"LOW",IF(J997&gt;Config!$B$7,"EXCESS","HEALTHY")))))</f>
        <v/>
      </c>
      <c r="L997" s="11" t="n">
        <v>119</v>
      </c>
      <c r="M997" s="11" t="n">
        <v>144</v>
      </c>
      <c r="N997" s="11">
        <f>H997*L997</f>
        <v/>
      </c>
      <c r="O997" s="11">
        <f>IF(I997&gt;0,I997*(M997-L997),0)</f>
        <v/>
      </c>
      <c r="P997" s="11" t="n">
        <v>0</v>
      </c>
    </row>
    <row r="998">
      <c r="A998" s="4" t="inlineStr">
        <is>
          <t>WH09</t>
        </is>
      </c>
      <c r="B998" s="4" t="inlineStr">
        <is>
          <t>Hyderabad DC</t>
        </is>
      </c>
      <c r="C998" s="4" t="inlineStr">
        <is>
          <t>South</t>
        </is>
      </c>
      <c r="D998" s="4" t="inlineStr">
        <is>
          <t>SKU034</t>
        </is>
      </c>
      <c r="E998" s="4" t="inlineStr">
        <is>
          <t>Cream Biscuits 120g</t>
        </is>
      </c>
      <c r="F998" s="4" t="inlineStr">
        <is>
          <t>Snacks &amp; Confectionery</t>
        </is>
      </c>
      <c r="G998" s="4" t="inlineStr">
        <is>
          <t>B</t>
        </is>
      </c>
      <c r="H998" s="11" t="n">
        <v>2344</v>
      </c>
      <c r="I998" s="4" t="n">
        <v>1342.5</v>
      </c>
      <c r="J998" s="13">
        <f>IF(I998&gt;0,H998/I998,"")</f>
        <v/>
      </c>
      <c r="K998" s="4">
        <f>IF(I998&lt;=0,"NO DEMAND",IF(H998=0,"STOCKOUT",IF(J998&lt;Config!$B$5,"CRITICAL",IF(J998&lt;Config!$B$6,"LOW",IF(J998&gt;Config!$B$7,"EXCESS","HEALTHY")))))</f>
        <v/>
      </c>
      <c r="L998" s="11" t="n">
        <v>61</v>
      </c>
      <c r="M998" s="11" t="n">
        <v>73</v>
      </c>
      <c r="N998" s="11">
        <f>H998*L998</f>
        <v/>
      </c>
      <c r="O998" s="11">
        <f>IF(I998&gt;0,I998*(M998-L998),0)</f>
        <v/>
      </c>
      <c r="P998" s="11" t="n">
        <v>4068</v>
      </c>
    </row>
    <row r="999">
      <c r="A999" s="4" t="inlineStr">
        <is>
          <t>WH09</t>
        </is>
      </c>
      <c r="B999" s="4" t="inlineStr">
        <is>
          <t>Hyderabad DC</t>
        </is>
      </c>
      <c r="C999" s="4" t="inlineStr">
        <is>
          <t>South</t>
        </is>
      </c>
      <c r="D999" s="4" t="inlineStr">
        <is>
          <t>SKU035</t>
        </is>
      </c>
      <c r="E999" s="4" t="inlineStr">
        <is>
          <t>Chocolate Bar 40g</t>
        </is>
      </c>
      <c r="F999" s="4" t="inlineStr">
        <is>
          <t>Snacks &amp; Confectionery</t>
        </is>
      </c>
      <c r="G999" s="4" t="inlineStr">
        <is>
          <t>C</t>
        </is>
      </c>
      <c r="H999" s="11" t="n">
        <v>2263</v>
      </c>
      <c r="I999" s="4" t="n">
        <v>297</v>
      </c>
      <c r="J999" s="13">
        <f>IF(I999&gt;0,H999/I999,"")</f>
        <v/>
      </c>
      <c r="K999" s="4">
        <f>IF(I999&lt;=0,"NO DEMAND",IF(H999=0,"STOCKOUT",IF(J999&lt;Config!$B$5,"CRITICAL",IF(J999&lt;Config!$B$6,"LOW",IF(J999&gt;Config!$B$7,"EXCESS","HEALTHY")))))</f>
        <v/>
      </c>
      <c r="L999" s="11" t="n">
        <v>16</v>
      </c>
      <c r="M999" s="11" t="n">
        <v>20</v>
      </c>
      <c r="N999" s="11">
        <f>H999*L999</f>
        <v/>
      </c>
      <c r="O999" s="11">
        <f>IF(I999&gt;0,I999*(M999-L999),0)</f>
        <v/>
      </c>
      <c r="P999" s="11" t="n">
        <v>0</v>
      </c>
    </row>
    <row r="1000">
      <c r="A1000" s="4" t="inlineStr">
        <is>
          <t>WH09</t>
        </is>
      </c>
      <c r="B1000" s="4" t="inlineStr">
        <is>
          <t>Hyderabad DC</t>
        </is>
      </c>
      <c r="C1000" s="4" t="inlineStr">
        <is>
          <t>South</t>
        </is>
      </c>
      <c r="D1000" s="4" t="inlineStr">
        <is>
          <t>SKU036</t>
        </is>
      </c>
      <c r="E1000" s="4" t="inlineStr">
        <is>
          <t>Instant Noodles 70g</t>
        </is>
      </c>
      <c r="F1000" s="4" t="inlineStr">
        <is>
          <t>Snacks &amp; Confectionery</t>
        </is>
      </c>
      <c r="G1000" s="4" t="inlineStr">
        <is>
          <t>C</t>
        </is>
      </c>
      <c r="H1000" s="11" t="n">
        <v>930</v>
      </c>
      <c r="I1000" s="4" t="n">
        <v>736.75</v>
      </c>
      <c r="J1000" s="13">
        <f>IF(I1000&gt;0,H1000/I1000,"")</f>
        <v/>
      </c>
      <c r="K1000" s="4">
        <f>IF(I1000&lt;=0,"NO DEMAND",IF(H1000=0,"STOCKOUT",IF(J1000&lt;Config!$B$5,"CRITICAL",IF(J1000&lt;Config!$B$6,"LOW",IF(J1000&gt;Config!$B$7,"EXCESS","HEALTHY")))))</f>
        <v/>
      </c>
      <c r="L1000" s="11" t="n">
        <v>19</v>
      </c>
      <c r="M1000" s="11" t="n">
        <v>24</v>
      </c>
      <c r="N1000" s="11">
        <f>H1000*L1000</f>
        <v/>
      </c>
      <c r="O1000" s="11">
        <f>IF(I1000&gt;0,I1000*(M1000-L1000),0)</f>
        <v/>
      </c>
      <c r="P1000" s="11" t="n">
        <v>3336</v>
      </c>
    </row>
    <row r="1001">
      <c r="A1001" s="4" t="inlineStr">
        <is>
          <t>WH09</t>
        </is>
      </c>
      <c r="B1001" s="4" t="inlineStr">
        <is>
          <t>Hyderabad DC</t>
        </is>
      </c>
      <c r="C1001" s="4" t="inlineStr">
        <is>
          <t>South</t>
        </is>
      </c>
      <c r="D1001" s="4" t="inlineStr">
        <is>
          <t>SKU037</t>
        </is>
      </c>
      <c r="E1001" s="4" t="inlineStr">
        <is>
          <t>Popcorn 60g</t>
        </is>
      </c>
      <c r="F1001" s="4" t="inlineStr">
        <is>
          <t>Snacks &amp; Confectionery</t>
        </is>
      </c>
      <c r="G1001" s="4" t="inlineStr">
        <is>
          <t>A</t>
        </is>
      </c>
      <c r="H1001" s="11" t="n">
        <v>706</v>
      </c>
      <c r="I1001" s="4" t="n">
        <v>483.75</v>
      </c>
      <c r="J1001" s="13">
        <f>IF(I1001&gt;0,H1001/I1001,"")</f>
        <v/>
      </c>
      <c r="K1001" s="4">
        <f>IF(I1001&lt;=0,"NO DEMAND",IF(H1001=0,"STOCKOUT",IF(J1001&lt;Config!$B$5,"CRITICAL",IF(J1001&lt;Config!$B$6,"LOW",IF(J1001&gt;Config!$B$7,"EXCESS","HEALTHY")))))</f>
        <v/>
      </c>
      <c r="L1001" s="11" t="n">
        <v>137</v>
      </c>
      <c r="M1001" s="11" t="n">
        <v>163</v>
      </c>
      <c r="N1001" s="11">
        <f>H1001*L1001</f>
        <v/>
      </c>
      <c r="O1001" s="11">
        <f>IF(I1001&gt;0,I1001*(M1001-L1001),0)</f>
        <v/>
      </c>
      <c r="P1001" s="11" t="n">
        <v>1500</v>
      </c>
    </row>
    <row r="1002">
      <c r="A1002" s="4" t="inlineStr">
        <is>
          <t>WH09</t>
        </is>
      </c>
      <c r="B1002" s="4" t="inlineStr">
        <is>
          <t>Hyderabad DC</t>
        </is>
      </c>
      <c r="C1002" s="4" t="inlineStr">
        <is>
          <t>South</t>
        </is>
      </c>
      <c r="D1002" s="4" t="inlineStr">
        <is>
          <t>SKU038</t>
        </is>
      </c>
      <c r="E1002" s="4" t="inlineStr">
        <is>
          <t>Peanut Chikki 200g</t>
        </is>
      </c>
      <c r="F1002" s="4" t="inlineStr">
        <is>
          <t>Snacks &amp; Confectionery</t>
        </is>
      </c>
      <c r="G1002" s="4" t="inlineStr">
        <is>
          <t>C</t>
        </is>
      </c>
      <c r="H1002" s="11" t="n">
        <v>7015</v>
      </c>
      <c r="I1002" s="4" t="n">
        <v>1598.25</v>
      </c>
      <c r="J1002" s="13">
        <f>IF(I1002&gt;0,H1002/I1002,"")</f>
        <v/>
      </c>
      <c r="K1002" s="4">
        <f>IF(I1002&lt;=0,"NO DEMAND",IF(H1002=0,"STOCKOUT",IF(J1002&lt;Config!$B$5,"CRITICAL",IF(J1002&lt;Config!$B$6,"LOW",IF(J1002&gt;Config!$B$7,"EXCESS","HEALTHY")))))</f>
        <v/>
      </c>
      <c r="L1002" s="11" t="n">
        <v>18</v>
      </c>
      <c r="M1002" s="11" t="n">
        <v>22</v>
      </c>
      <c r="N1002" s="11">
        <f>H1002*L1002</f>
        <v/>
      </c>
      <c r="O1002" s="11">
        <f>IF(I1002&gt;0,I1002*(M1002-L1002),0)</f>
        <v/>
      </c>
      <c r="P1002" s="11" t="n">
        <v>0</v>
      </c>
    </row>
    <row r="1003">
      <c r="A1003" s="4" t="inlineStr">
        <is>
          <t>WH09</t>
        </is>
      </c>
      <c r="B1003" s="4" t="inlineStr">
        <is>
          <t>Hyderabad DC</t>
        </is>
      </c>
      <c r="C1003" s="4" t="inlineStr">
        <is>
          <t>South</t>
        </is>
      </c>
      <c r="D1003" s="4" t="inlineStr">
        <is>
          <t>SKU039</t>
        </is>
      </c>
      <c r="E1003" s="4" t="inlineStr">
        <is>
          <t>Cookies 200g</t>
        </is>
      </c>
      <c r="F1003" s="4" t="inlineStr">
        <is>
          <t>Snacks &amp; Confectionery</t>
        </is>
      </c>
      <c r="G1003" s="4" t="inlineStr">
        <is>
          <t>A</t>
        </is>
      </c>
      <c r="H1003" s="11" t="n">
        <v>2994</v>
      </c>
      <c r="I1003" s="4" t="n">
        <v>393.5</v>
      </c>
      <c r="J1003" s="13">
        <f>IF(I1003&gt;0,H1003/I1003,"")</f>
        <v/>
      </c>
      <c r="K1003" s="4">
        <f>IF(I1003&lt;=0,"NO DEMAND",IF(H1003=0,"STOCKOUT",IF(J1003&lt;Config!$B$5,"CRITICAL",IF(J1003&lt;Config!$B$6,"LOW",IF(J1003&gt;Config!$B$7,"EXCESS","HEALTHY")))))</f>
        <v/>
      </c>
      <c r="L1003" s="11" t="n">
        <v>126</v>
      </c>
      <c r="M1003" s="11" t="n">
        <v>150</v>
      </c>
      <c r="N1003" s="11">
        <f>H1003*L1003</f>
        <v/>
      </c>
      <c r="O1003" s="11">
        <f>IF(I1003&gt;0,I1003*(M1003-L1003),0)</f>
        <v/>
      </c>
      <c r="P1003" s="11" t="n">
        <v>0</v>
      </c>
    </row>
    <row r="1004">
      <c r="A1004" s="4" t="inlineStr">
        <is>
          <t>WH09</t>
        </is>
      </c>
      <c r="B1004" s="4" t="inlineStr">
        <is>
          <t>Hyderabad DC</t>
        </is>
      </c>
      <c r="C1004" s="4" t="inlineStr">
        <is>
          <t>South</t>
        </is>
      </c>
      <c r="D1004" s="4" t="inlineStr">
        <is>
          <t>SKU040</t>
        </is>
      </c>
      <c r="E1004" s="4" t="inlineStr">
        <is>
          <t>Wafers 75g</t>
        </is>
      </c>
      <c r="F1004" s="4" t="inlineStr">
        <is>
          <t>Snacks &amp; Confectionery</t>
        </is>
      </c>
      <c r="G1004" s="4" t="inlineStr">
        <is>
          <t>A</t>
        </is>
      </c>
      <c r="H1004" s="11" t="n">
        <v>2437</v>
      </c>
      <c r="I1004" s="4" t="n">
        <v>1375.25</v>
      </c>
      <c r="J1004" s="13">
        <f>IF(I1004&gt;0,H1004/I1004,"")</f>
        <v/>
      </c>
      <c r="K1004" s="4">
        <f>IF(I1004&lt;=0,"NO DEMAND",IF(H1004=0,"STOCKOUT",IF(J1004&lt;Config!$B$5,"CRITICAL",IF(J1004&lt;Config!$B$6,"LOW",IF(J1004&gt;Config!$B$7,"EXCESS","HEALTHY")))))</f>
        <v/>
      </c>
      <c r="L1004" s="11" t="n">
        <v>90</v>
      </c>
      <c r="M1004" s="11" t="n">
        <v>109</v>
      </c>
      <c r="N1004" s="11">
        <f>H1004*L1004</f>
        <v/>
      </c>
      <c r="O1004" s="11">
        <f>IF(I1004&gt;0,I1004*(M1004-L1004),0)</f>
        <v/>
      </c>
      <c r="P1004" s="11" t="n">
        <v>0</v>
      </c>
    </row>
    <row r="1005">
      <c r="A1005" s="4" t="inlineStr">
        <is>
          <t>WH09</t>
        </is>
      </c>
      <c r="B1005" s="4" t="inlineStr">
        <is>
          <t>Hyderabad DC</t>
        </is>
      </c>
      <c r="C1005" s="4" t="inlineStr">
        <is>
          <t>South</t>
        </is>
      </c>
      <c r="D1005" s="4" t="inlineStr">
        <is>
          <t>SKU041</t>
        </is>
      </c>
      <c r="E1005" s="4" t="inlineStr">
        <is>
          <t>Mathri 250g</t>
        </is>
      </c>
      <c r="F1005" s="4" t="inlineStr">
        <is>
          <t>Snacks &amp; Confectionery</t>
        </is>
      </c>
      <c r="G1005" s="4" t="inlineStr">
        <is>
          <t>A</t>
        </is>
      </c>
      <c r="H1005" s="11" t="n">
        <v>2162</v>
      </c>
      <c r="I1005" s="4" t="n">
        <v>525.75</v>
      </c>
      <c r="J1005" s="13">
        <f>IF(I1005&gt;0,H1005/I1005,"")</f>
        <v/>
      </c>
      <c r="K1005" s="4">
        <f>IF(I1005&lt;=0,"NO DEMAND",IF(H1005=0,"STOCKOUT",IF(J1005&lt;Config!$B$5,"CRITICAL",IF(J1005&lt;Config!$B$6,"LOW",IF(J1005&gt;Config!$B$7,"EXCESS","HEALTHY")))))</f>
        <v/>
      </c>
      <c r="L1005" s="11" t="n">
        <v>100</v>
      </c>
      <c r="M1005" s="11" t="n">
        <v>125</v>
      </c>
      <c r="N1005" s="11">
        <f>H1005*L1005</f>
        <v/>
      </c>
      <c r="O1005" s="11">
        <f>IF(I1005&gt;0,I1005*(M1005-L1005),0)</f>
        <v/>
      </c>
      <c r="P1005" s="11" t="n">
        <v>0</v>
      </c>
    </row>
    <row r="1006">
      <c r="A1006" s="4" t="inlineStr">
        <is>
          <t>WH09</t>
        </is>
      </c>
      <c r="B1006" s="4" t="inlineStr">
        <is>
          <t>Hyderabad DC</t>
        </is>
      </c>
      <c r="C1006" s="4" t="inlineStr">
        <is>
          <t>South</t>
        </is>
      </c>
      <c r="D1006" s="4" t="inlineStr">
        <is>
          <t>SKU042</t>
        </is>
      </c>
      <c r="E1006" s="4" t="inlineStr">
        <is>
          <t>Dry Fruit Mix 250g</t>
        </is>
      </c>
      <c r="F1006" s="4" t="inlineStr">
        <is>
          <t>Snacks &amp; Confectionery</t>
        </is>
      </c>
      <c r="G1006" s="4" t="inlineStr">
        <is>
          <t>A</t>
        </is>
      </c>
      <c r="H1006" s="11" t="n">
        <v>2326</v>
      </c>
      <c r="I1006" s="4" t="n">
        <v>817.5</v>
      </c>
      <c r="J1006" s="13">
        <f>IF(I1006&gt;0,H1006/I1006,"")</f>
        <v/>
      </c>
      <c r="K1006" s="4">
        <f>IF(I1006&lt;=0,"NO DEMAND",IF(H1006=0,"STOCKOUT",IF(J1006&lt;Config!$B$5,"CRITICAL",IF(J1006&lt;Config!$B$6,"LOW",IF(J1006&gt;Config!$B$7,"EXCESS","HEALTHY")))))</f>
        <v/>
      </c>
      <c r="L1006" s="11" t="n">
        <v>74</v>
      </c>
      <c r="M1006" s="11" t="n">
        <v>88</v>
      </c>
      <c r="N1006" s="11">
        <f>H1006*L1006</f>
        <v/>
      </c>
      <c r="O1006" s="11">
        <f>IF(I1006&gt;0,I1006*(M1006-L1006),0)</f>
        <v/>
      </c>
      <c r="P1006" s="11" t="n">
        <v>3036</v>
      </c>
    </row>
    <row r="1007">
      <c r="A1007" s="4" t="inlineStr">
        <is>
          <t>WH09</t>
        </is>
      </c>
      <c r="B1007" s="4" t="inlineStr">
        <is>
          <t>Hyderabad DC</t>
        </is>
      </c>
      <c r="C1007" s="4" t="inlineStr">
        <is>
          <t>South</t>
        </is>
      </c>
      <c r="D1007" s="4" t="inlineStr">
        <is>
          <t>SKU043</t>
        </is>
      </c>
      <c r="E1007" s="4" t="inlineStr">
        <is>
          <t>Soan Papdi 500g</t>
        </is>
      </c>
      <c r="F1007" s="4" t="inlineStr">
        <is>
          <t>Snacks &amp; Confectionery</t>
        </is>
      </c>
      <c r="G1007" s="4" t="inlineStr">
        <is>
          <t>C</t>
        </is>
      </c>
      <c r="H1007" s="11" t="n">
        <v>1865</v>
      </c>
      <c r="I1007" s="4" t="n">
        <v>563.75</v>
      </c>
      <c r="J1007" s="13">
        <f>IF(I1007&gt;0,H1007/I1007,"")</f>
        <v/>
      </c>
      <c r="K1007" s="4">
        <f>IF(I1007&lt;=0,"NO DEMAND",IF(H1007=0,"STOCKOUT",IF(J1007&lt;Config!$B$5,"CRITICAL",IF(J1007&lt;Config!$B$6,"LOW",IF(J1007&gt;Config!$B$7,"EXCESS","HEALTHY")))))</f>
        <v/>
      </c>
      <c r="L1007" s="11" t="n">
        <v>15</v>
      </c>
      <c r="M1007" s="11" t="n">
        <v>18</v>
      </c>
      <c r="N1007" s="11">
        <f>H1007*L1007</f>
        <v/>
      </c>
      <c r="O1007" s="11">
        <f>IF(I1007&gt;0,I1007*(M1007-L1007),0)</f>
        <v/>
      </c>
      <c r="P1007" s="11" t="n">
        <v>0</v>
      </c>
    </row>
    <row r="1008">
      <c r="A1008" s="4" t="inlineStr">
        <is>
          <t>WH09</t>
        </is>
      </c>
      <c r="B1008" s="4" t="inlineStr">
        <is>
          <t>Hyderabad DC</t>
        </is>
      </c>
      <c r="C1008" s="4" t="inlineStr">
        <is>
          <t>South</t>
        </is>
      </c>
      <c r="D1008" s="4" t="inlineStr">
        <is>
          <t>SKU044</t>
        </is>
      </c>
      <c r="E1008" s="4" t="inlineStr">
        <is>
          <t>Rusk 300g</t>
        </is>
      </c>
      <c r="F1008" s="4" t="inlineStr">
        <is>
          <t>Snacks &amp; Confectionery</t>
        </is>
      </c>
      <c r="G1008" s="4" t="inlineStr">
        <is>
          <t>A</t>
        </is>
      </c>
      <c r="H1008" s="11" t="n">
        <v>1553</v>
      </c>
      <c r="I1008" s="4" t="n">
        <v>1548.75</v>
      </c>
      <c r="J1008" s="13">
        <f>IF(I1008&gt;0,H1008/I1008,"")</f>
        <v/>
      </c>
      <c r="K1008" s="4">
        <f>IF(I1008&lt;=0,"NO DEMAND",IF(H1008=0,"STOCKOUT",IF(J1008&lt;Config!$B$5,"CRITICAL",IF(J1008&lt;Config!$B$6,"LOW",IF(J1008&gt;Config!$B$7,"EXCESS","HEALTHY")))))</f>
        <v/>
      </c>
      <c r="L1008" s="11" t="n">
        <v>57</v>
      </c>
      <c r="M1008" s="11" t="n">
        <v>70</v>
      </c>
      <c r="N1008" s="11">
        <f>H1008*L1008</f>
        <v/>
      </c>
      <c r="O1008" s="11">
        <f>IF(I1008&gt;0,I1008*(M1008-L1008),0)</f>
        <v/>
      </c>
      <c r="P1008" s="11" t="n">
        <v>4980</v>
      </c>
    </row>
    <row r="1009">
      <c r="A1009" s="4" t="inlineStr">
        <is>
          <t>WH09</t>
        </is>
      </c>
      <c r="B1009" s="4" t="inlineStr">
        <is>
          <t>Hyderabad DC</t>
        </is>
      </c>
      <c r="C1009" s="4" t="inlineStr">
        <is>
          <t>South</t>
        </is>
      </c>
      <c r="D1009" s="4" t="inlineStr">
        <is>
          <t>SKU045</t>
        </is>
      </c>
      <c r="E1009" s="4" t="inlineStr">
        <is>
          <t>Candy Pack 150g</t>
        </is>
      </c>
      <c r="F1009" s="4" t="inlineStr">
        <is>
          <t>Snacks &amp; Confectionery</t>
        </is>
      </c>
      <c r="G1009" s="4" t="inlineStr">
        <is>
          <t>C</t>
        </is>
      </c>
      <c r="H1009" s="11" t="n">
        <v>3734</v>
      </c>
      <c r="I1009" s="4" t="n">
        <v>1153.25</v>
      </c>
      <c r="J1009" s="13">
        <f>IF(I1009&gt;0,H1009/I1009,"")</f>
        <v/>
      </c>
      <c r="K1009" s="4">
        <f>IF(I1009&lt;=0,"NO DEMAND",IF(H1009=0,"STOCKOUT",IF(J1009&lt;Config!$B$5,"CRITICAL",IF(J1009&lt;Config!$B$6,"LOW",IF(J1009&gt;Config!$B$7,"EXCESS","HEALTHY")))))</f>
        <v/>
      </c>
      <c r="L1009" s="11" t="n">
        <v>22</v>
      </c>
      <c r="M1009" s="11" t="n">
        <v>27</v>
      </c>
      <c r="N1009" s="11">
        <f>H1009*L1009</f>
        <v/>
      </c>
      <c r="O1009" s="11">
        <f>IF(I1009&gt;0,I1009*(M1009-L1009),0)</f>
        <v/>
      </c>
      <c r="P1009" s="11" t="n">
        <v>0</v>
      </c>
    </row>
    <row r="1010">
      <c r="A1010" s="4" t="inlineStr">
        <is>
          <t>WH09</t>
        </is>
      </c>
      <c r="B1010" s="4" t="inlineStr">
        <is>
          <t>Hyderabad DC</t>
        </is>
      </c>
      <c r="C1010" s="4" t="inlineStr">
        <is>
          <t>South</t>
        </is>
      </c>
      <c r="D1010" s="4" t="inlineStr">
        <is>
          <t>SKU046</t>
        </is>
      </c>
      <c r="E1010" s="4" t="inlineStr">
        <is>
          <t>Shampoo 340ml</t>
        </is>
      </c>
      <c r="F1010" s="4" t="inlineStr">
        <is>
          <t>Personal Care</t>
        </is>
      </c>
      <c r="G1010" s="4" t="inlineStr">
        <is>
          <t>C</t>
        </is>
      </c>
      <c r="H1010" s="11" t="n">
        <v>3523</v>
      </c>
      <c r="I1010" s="4" t="n">
        <v>722</v>
      </c>
      <c r="J1010" s="13">
        <f>IF(I1010&gt;0,H1010/I1010,"")</f>
        <v/>
      </c>
      <c r="K1010" s="4">
        <f>IF(I1010&lt;=0,"NO DEMAND",IF(H1010=0,"STOCKOUT",IF(J1010&lt;Config!$B$5,"CRITICAL",IF(J1010&lt;Config!$B$6,"LOW",IF(J1010&gt;Config!$B$7,"EXCESS","HEALTHY")))))</f>
        <v/>
      </c>
      <c r="L1010" s="11" t="n">
        <v>51</v>
      </c>
      <c r="M1010" s="11" t="n">
        <v>67</v>
      </c>
      <c r="N1010" s="11">
        <f>H1010*L1010</f>
        <v/>
      </c>
      <c r="O1010" s="11">
        <f>IF(I1010&gt;0,I1010*(M1010-L1010),0)</f>
        <v/>
      </c>
      <c r="P1010" s="11" t="n">
        <v>0</v>
      </c>
    </row>
    <row r="1011">
      <c r="A1011" s="4" t="inlineStr">
        <is>
          <t>WH09</t>
        </is>
      </c>
      <c r="B1011" s="4" t="inlineStr">
        <is>
          <t>Hyderabad DC</t>
        </is>
      </c>
      <c r="C1011" s="4" t="inlineStr">
        <is>
          <t>South</t>
        </is>
      </c>
      <c r="D1011" s="4" t="inlineStr">
        <is>
          <t>SKU047</t>
        </is>
      </c>
      <c r="E1011" s="4" t="inlineStr">
        <is>
          <t>Soap 4-pack</t>
        </is>
      </c>
      <c r="F1011" s="4" t="inlineStr">
        <is>
          <t>Personal Care</t>
        </is>
      </c>
      <c r="G1011" s="4" t="inlineStr">
        <is>
          <t>C</t>
        </is>
      </c>
      <c r="H1011" s="11" t="n">
        <v>3198</v>
      </c>
      <c r="I1011" s="4" t="n">
        <v>1032</v>
      </c>
      <c r="J1011" s="13">
        <f>IF(I1011&gt;0,H1011/I1011,"")</f>
        <v/>
      </c>
      <c r="K1011" s="4">
        <f>IF(I1011&lt;=0,"NO DEMAND",IF(H1011=0,"STOCKOUT",IF(J1011&lt;Config!$B$5,"CRITICAL",IF(J1011&lt;Config!$B$6,"LOW",IF(J1011&gt;Config!$B$7,"EXCESS","HEALTHY")))))</f>
        <v/>
      </c>
      <c r="L1011" s="11" t="n">
        <v>37</v>
      </c>
      <c r="M1011" s="11" t="n">
        <v>47</v>
      </c>
      <c r="N1011" s="11">
        <f>H1011*L1011</f>
        <v/>
      </c>
      <c r="O1011" s="11">
        <f>IF(I1011&gt;0,I1011*(M1011-L1011),0)</f>
        <v/>
      </c>
      <c r="P1011" s="11" t="n">
        <v>0</v>
      </c>
    </row>
    <row r="1012">
      <c r="A1012" s="4" t="inlineStr">
        <is>
          <t>WH09</t>
        </is>
      </c>
      <c r="B1012" s="4" t="inlineStr">
        <is>
          <t>Hyderabad DC</t>
        </is>
      </c>
      <c r="C1012" s="4" t="inlineStr">
        <is>
          <t>South</t>
        </is>
      </c>
      <c r="D1012" s="4" t="inlineStr">
        <is>
          <t>SKU048</t>
        </is>
      </c>
      <c r="E1012" s="4" t="inlineStr">
        <is>
          <t>Toothpaste 150g</t>
        </is>
      </c>
      <c r="F1012" s="4" t="inlineStr">
        <is>
          <t>Personal Care</t>
        </is>
      </c>
      <c r="G1012" s="4" t="inlineStr">
        <is>
          <t>C</t>
        </is>
      </c>
      <c r="H1012" s="11" t="n">
        <v>274</v>
      </c>
      <c r="I1012" s="4" t="n">
        <v>307.25</v>
      </c>
      <c r="J1012" s="13">
        <f>IF(I1012&gt;0,H1012/I1012,"")</f>
        <v/>
      </c>
      <c r="K1012" s="4">
        <f>IF(I1012&lt;=0,"NO DEMAND",IF(H1012=0,"STOCKOUT",IF(J1012&lt;Config!$B$5,"CRITICAL",IF(J1012&lt;Config!$B$6,"LOW",IF(J1012&gt;Config!$B$7,"EXCESS","HEALTHY")))))</f>
        <v/>
      </c>
      <c r="L1012" s="11" t="n">
        <v>51</v>
      </c>
      <c r="M1012" s="11" t="n">
        <v>67</v>
      </c>
      <c r="N1012" s="11">
        <f>H1012*L1012</f>
        <v/>
      </c>
      <c r="O1012" s="11">
        <f>IF(I1012&gt;0,I1012*(M1012-L1012),0)</f>
        <v/>
      </c>
      <c r="P1012" s="11" t="n">
        <v>1152</v>
      </c>
    </row>
    <row r="1013">
      <c r="A1013" s="4" t="inlineStr">
        <is>
          <t>WH09</t>
        </is>
      </c>
      <c r="B1013" s="4" t="inlineStr">
        <is>
          <t>Hyderabad DC</t>
        </is>
      </c>
      <c r="C1013" s="4" t="inlineStr">
        <is>
          <t>South</t>
        </is>
      </c>
      <c r="D1013" s="4" t="inlineStr">
        <is>
          <t>SKU049</t>
        </is>
      </c>
      <c r="E1013" s="4" t="inlineStr">
        <is>
          <t>Face Wash 100ml</t>
        </is>
      </c>
      <c r="F1013" s="4" t="inlineStr">
        <is>
          <t>Personal Care</t>
        </is>
      </c>
      <c r="G1013" s="4" t="inlineStr">
        <is>
          <t>C</t>
        </is>
      </c>
      <c r="H1013" s="11" t="n">
        <v>641</v>
      </c>
      <c r="I1013" s="4" t="n">
        <v>309.75</v>
      </c>
      <c r="J1013" s="13">
        <f>IF(I1013&gt;0,H1013/I1013,"")</f>
        <v/>
      </c>
      <c r="K1013" s="4">
        <f>IF(I1013&lt;=0,"NO DEMAND",IF(H1013=0,"STOCKOUT",IF(J1013&lt;Config!$B$5,"CRITICAL",IF(J1013&lt;Config!$B$6,"LOW",IF(J1013&gt;Config!$B$7,"EXCESS","HEALTHY")))))</f>
        <v/>
      </c>
      <c r="L1013" s="11" t="n">
        <v>32</v>
      </c>
      <c r="M1013" s="11" t="n">
        <v>41</v>
      </c>
      <c r="N1013" s="11">
        <f>H1013*L1013</f>
        <v/>
      </c>
      <c r="O1013" s="11">
        <f>IF(I1013&gt;0,I1013*(M1013-L1013),0)</f>
        <v/>
      </c>
      <c r="P1013" s="11" t="n">
        <v>0</v>
      </c>
    </row>
    <row r="1014">
      <c r="A1014" s="4" t="inlineStr">
        <is>
          <t>WH09</t>
        </is>
      </c>
      <c r="B1014" s="4" t="inlineStr">
        <is>
          <t>Hyderabad DC</t>
        </is>
      </c>
      <c r="C1014" s="4" t="inlineStr">
        <is>
          <t>South</t>
        </is>
      </c>
      <c r="D1014" s="4" t="inlineStr">
        <is>
          <t>SKU050</t>
        </is>
      </c>
      <c r="E1014" s="4" t="inlineStr">
        <is>
          <t>Body Lotion 400ml</t>
        </is>
      </c>
      <c r="F1014" s="4" t="inlineStr">
        <is>
          <t>Personal Care</t>
        </is>
      </c>
      <c r="G1014" s="4" t="inlineStr">
        <is>
          <t>B</t>
        </is>
      </c>
      <c r="H1014" s="11" t="n">
        <v>1143</v>
      </c>
      <c r="I1014" s="4" t="n">
        <v>411.5</v>
      </c>
      <c r="J1014" s="13">
        <f>IF(I1014&gt;0,H1014/I1014,"")</f>
        <v/>
      </c>
      <c r="K1014" s="4">
        <f>IF(I1014&lt;=0,"NO DEMAND",IF(H1014=0,"STOCKOUT",IF(J1014&lt;Config!$B$5,"CRITICAL",IF(J1014&lt;Config!$B$6,"LOW",IF(J1014&gt;Config!$B$7,"EXCESS","HEALTHY")))))</f>
        <v/>
      </c>
      <c r="L1014" s="11" t="n">
        <v>138</v>
      </c>
      <c r="M1014" s="11" t="n">
        <v>175</v>
      </c>
      <c r="N1014" s="11">
        <f>H1014*L1014</f>
        <v/>
      </c>
      <c r="O1014" s="11">
        <f>IF(I1014&gt;0,I1014*(M1014-L1014),0)</f>
        <v/>
      </c>
      <c r="P1014" s="11" t="n">
        <v>0</v>
      </c>
    </row>
    <row r="1015">
      <c r="A1015" s="4" t="inlineStr">
        <is>
          <t>WH09</t>
        </is>
      </c>
      <c r="B1015" s="4" t="inlineStr">
        <is>
          <t>Hyderabad DC</t>
        </is>
      </c>
      <c r="C1015" s="4" t="inlineStr">
        <is>
          <t>South</t>
        </is>
      </c>
      <c r="D1015" s="4" t="inlineStr">
        <is>
          <t>SKU051</t>
        </is>
      </c>
      <c r="E1015" s="4" t="inlineStr">
        <is>
          <t>Hair Oil 200ml</t>
        </is>
      </c>
      <c r="F1015" s="4" t="inlineStr">
        <is>
          <t>Personal Care</t>
        </is>
      </c>
      <c r="G1015" s="4" t="inlineStr">
        <is>
          <t>B</t>
        </is>
      </c>
      <c r="H1015" s="11" t="n">
        <v>834</v>
      </c>
      <c r="I1015" s="4" t="n">
        <v>137</v>
      </c>
      <c r="J1015" s="13">
        <f>IF(I1015&gt;0,H1015/I1015,"")</f>
        <v/>
      </c>
      <c r="K1015" s="4">
        <f>IF(I1015&lt;=0,"NO DEMAND",IF(H1015=0,"STOCKOUT",IF(J1015&lt;Config!$B$5,"CRITICAL",IF(J1015&lt;Config!$B$6,"LOW",IF(J1015&gt;Config!$B$7,"EXCESS","HEALTHY")))))</f>
        <v/>
      </c>
      <c r="L1015" s="11" t="n">
        <v>156</v>
      </c>
      <c r="M1015" s="11" t="n">
        <v>203</v>
      </c>
      <c r="N1015" s="11">
        <f>H1015*L1015</f>
        <v/>
      </c>
      <c r="O1015" s="11">
        <f>IF(I1015&gt;0,I1015*(M1015-L1015),0)</f>
        <v/>
      </c>
      <c r="P1015" s="11" t="n">
        <v>0</v>
      </c>
    </row>
    <row r="1016">
      <c r="A1016" s="4" t="inlineStr">
        <is>
          <t>WH09</t>
        </is>
      </c>
      <c r="B1016" s="4" t="inlineStr">
        <is>
          <t>Hyderabad DC</t>
        </is>
      </c>
      <c r="C1016" s="4" t="inlineStr">
        <is>
          <t>South</t>
        </is>
      </c>
      <c r="D1016" s="4" t="inlineStr">
        <is>
          <t>SKU052</t>
        </is>
      </c>
      <c r="E1016" s="4" t="inlineStr">
        <is>
          <t>Deodorant 150ml</t>
        </is>
      </c>
      <c r="F1016" s="4" t="inlineStr">
        <is>
          <t>Personal Care</t>
        </is>
      </c>
      <c r="G1016" s="4" t="inlineStr">
        <is>
          <t>B</t>
        </is>
      </c>
      <c r="H1016" s="11" t="n">
        <v>442</v>
      </c>
      <c r="I1016" s="4" t="n">
        <v>725.75</v>
      </c>
      <c r="J1016" s="13">
        <f>IF(I1016&gt;0,H1016/I1016,"")</f>
        <v/>
      </c>
      <c r="K1016" s="4">
        <f>IF(I1016&lt;=0,"NO DEMAND",IF(H1016=0,"STOCKOUT",IF(J1016&lt;Config!$B$5,"CRITICAL",IF(J1016&lt;Config!$B$6,"LOW",IF(J1016&gt;Config!$B$7,"EXCESS","HEALTHY")))))</f>
        <v/>
      </c>
      <c r="L1016" s="11" t="n">
        <v>133</v>
      </c>
      <c r="M1016" s="11" t="n">
        <v>179</v>
      </c>
      <c r="N1016" s="11">
        <f>H1016*L1016</f>
        <v/>
      </c>
      <c r="O1016" s="11">
        <f>IF(I1016&gt;0,I1016*(M1016-L1016),0)</f>
        <v/>
      </c>
      <c r="P1016" s="11" t="n">
        <v>2184</v>
      </c>
    </row>
    <row r="1017">
      <c r="A1017" s="4" t="inlineStr">
        <is>
          <t>WH09</t>
        </is>
      </c>
      <c r="B1017" s="4" t="inlineStr">
        <is>
          <t>Hyderabad DC</t>
        </is>
      </c>
      <c r="C1017" s="4" t="inlineStr">
        <is>
          <t>South</t>
        </is>
      </c>
      <c r="D1017" s="4" t="inlineStr">
        <is>
          <t>SKU053</t>
        </is>
      </c>
      <c r="E1017" s="4" t="inlineStr">
        <is>
          <t>Sanitary Pads 20pk</t>
        </is>
      </c>
      <c r="F1017" s="4" t="inlineStr">
        <is>
          <t>Personal Care</t>
        </is>
      </c>
      <c r="G1017" s="4" t="inlineStr">
        <is>
          <t>C</t>
        </is>
      </c>
      <c r="H1017" s="11" t="n">
        <v>2011</v>
      </c>
      <c r="I1017" s="4" t="n">
        <v>643.25</v>
      </c>
      <c r="J1017" s="13">
        <f>IF(I1017&gt;0,H1017/I1017,"")</f>
        <v/>
      </c>
      <c r="K1017" s="4">
        <f>IF(I1017&lt;=0,"NO DEMAND",IF(H1017=0,"STOCKOUT",IF(J1017&lt;Config!$B$5,"CRITICAL",IF(J1017&lt;Config!$B$6,"LOW",IF(J1017&gt;Config!$B$7,"EXCESS","HEALTHY")))))</f>
        <v/>
      </c>
      <c r="L1017" s="11" t="n">
        <v>31</v>
      </c>
      <c r="M1017" s="11" t="n">
        <v>39</v>
      </c>
      <c r="N1017" s="11">
        <f>H1017*L1017</f>
        <v/>
      </c>
      <c r="O1017" s="11">
        <f>IF(I1017&gt;0,I1017*(M1017-L1017),0)</f>
        <v/>
      </c>
      <c r="P1017" s="11" t="n">
        <v>0</v>
      </c>
    </row>
    <row r="1018">
      <c r="A1018" s="4" t="inlineStr">
        <is>
          <t>WH09</t>
        </is>
      </c>
      <c r="B1018" s="4" t="inlineStr">
        <is>
          <t>Hyderabad DC</t>
        </is>
      </c>
      <c r="C1018" s="4" t="inlineStr">
        <is>
          <t>South</t>
        </is>
      </c>
      <c r="D1018" s="4" t="inlineStr">
        <is>
          <t>SKU054</t>
        </is>
      </c>
      <c r="E1018" s="4" t="inlineStr">
        <is>
          <t>Razor 5pk</t>
        </is>
      </c>
      <c r="F1018" s="4" t="inlineStr">
        <is>
          <t>Personal Care</t>
        </is>
      </c>
      <c r="G1018" s="4" t="inlineStr">
        <is>
          <t>B</t>
        </is>
      </c>
      <c r="H1018" s="11" t="n">
        <v>0</v>
      </c>
      <c r="I1018" s="4" t="n">
        <v>446.25</v>
      </c>
      <c r="J1018" s="13">
        <f>IF(I1018&gt;0,H1018/I1018,"")</f>
        <v/>
      </c>
      <c r="K1018" s="4">
        <f>IF(I1018&lt;=0,"NO DEMAND",IF(H1018=0,"STOCKOUT",IF(J1018&lt;Config!$B$5,"CRITICAL",IF(J1018&lt;Config!$B$6,"LOW",IF(J1018&gt;Config!$B$7,"EXCESS","HEALTHY")))))</f>
        <v/>
      </c>
      <c r="L1018" s="11" t="n">
        <v>106</v>
      </c>
      <c r="M1018" s="11" t="n">
        <v>137</v>
      </c>
      <c r="N1018" s="11">
        <f>H1018*L1018</f>
        <v/>
      </c>
      <c r="O1018" s="11">
        <f>IF(I1018&gt;0,I1018*(M1018-L1018),0)</f>
        <v/>
      </c>
      <c r="P1018" s="11" t="n">
        <v>2640</v>
      </c>
    </row>
    <row r="1019">
      <c r="A1019" s="4" t="inlineStr">
        <is>
          <t>WH09</t>
        </is>
      </c>
      <c r="B1019" s="4" t="inlineStr">
        <is>
          <t>Hyderabad DC</t>
        </is>
      </c>
      <c r="C1019" s="4" t="inlineStr">
        <is>
          <t>South</t>
        </is>
      </c>
      <c r="D1019" s="4" t="inlineStr">
        <is>
          <t>SKU055</t>
        </is>
      </c>
      <c r="E1019" s="4" t="inlineStr">
        <is>
          <t>Talc 300g</t>
        </is>
      </c>
      <c r="F1019" s="4" t="inlineStr">
        <is>
          <t>Personal Care</t>
        </is>
      </c>
      <c r="G1019" s="4" t="inlineStr">
        <is>
          <t>B</t>
        </is>
      </c>
      <c r="H1019" s="11" t="n">
        <v>2056</v>
      </c>
      <c r="I1019" s="4" t="n">
        <v>712.75</v>
      </c>
      <c r="J1019" s="13">
        <f>IF(I1019&gt;0,H1019/I1019,"")</f>
        <v/>
      </c>
      <c r="K1019" s="4">
        <f>IF(I1019&lt;=0,"NO DEMAND",IF(H1019=0,"STOCKOUT",IF(J1019&lt;Config!$B$5,"CRITICAL",IF(J1019&lt;Config!$B$6,"LOW",IF(J1019&gt;Config!$B$7,"EXCESS","HEALTHY")))))</f>
        <v/>
      </c>
      <c r="L1019" s="11" t="n">
        <v>77</v>
      </c>
      <c r="M1019" s="11" t="n">
        <v>100</v>
      </c>
      <c r="N1019" s="11">
        <f>H1019*L1019</f>
        <v/>
      </c>
      <c r="O1019" s="11">
        <f>IF(I1019&gt;0,I1019*(M1019-L1019),0)</f>
        <v/>
      </c>
      <c r="P1019" s="11" t="n">
        <v>0</v>
      </c>
    </row>
    <row r="1020">
      <c r="A1020" s="4" t="inlineStr">
        <is>
          <t>WH09</t>
        </is>
      </c>
      <c r="B1020" s="4" t="inlineStr">
        <is>
          <t>Hyderabad DC</t>
        </is>
      </c>
      <c r="C1020" s="4" t="inlineStr">
        <is>
          <t>South</t>
        </is>
      </c>
      <c r="D1020" s="4" t="inlineStr">
        <is>
          <t>SKU056</t>
        </is>
      </c>
      <c r="E1020" s="4" t="inlineStr">
        <is>
          <t>Sunscreen 50g</t>
        </is>
      </c>
      <c r="F1020" s="4" t="inlineStr">
        <is>
          <t>Personal Care</t>
        </is>
      </c>
      <c r="G1020" s="4" t="inlineStr">
        <is>
          <t>A</t>
        </is>
      </c>
      <c r="H1020" s="11" t="n">
        <v>1256</v>
      </c>
      <c r="I1020" s="4" t="n">
        <v>350.25</v>
      </c>
      <c r="J1020" s="13">
        <f>IF(I1020&gt;0,H1020/I1020,"")</f>
        <v/>
      </c>
      <c r="K1020" s="4">
        <f>IF(I1020&lt;=0,"NO DEMAND",IF(H1020=0,"STOCKOUT",IF(J1020&lt;Config!$B$5,"CRITICAL",IF(J1020&lt;Config!$B$6,"LOW",IF(J1020&gt;Config!$B$7,"EXCESS","HEALTHY")))))</f>
        <v/>
      </c>
      <c r="L1020" s="11" t="n">
        <v>393</v>
      </c>
      <c r="M1020" s="11" t="n">
        <v>510</v>
      </c>
      <c r="N1020" s="11">
        <f>H1020*L1020</f>
        <v/>
      </c>
      <c r="O1020" s="11">
        <f>IF(I1020&gt;0,I1020*(M1020-L1020),0)</f>
        <v/>
      </c>
      <c r="P1020" s="11" t="n">
        <v>0</v>
      </c>
    </row>
    <row r="1021">
      <c r="A1021" s="4" t="inlineStr">
        <is>
          <t>WH09</t>
        </is>
      </c>
      <c r="B1021" s="4" t="inlineStr">
        <is>
          <t>Hyderabad DC</t>
        </is>
      </c>
      <c r="C1021" s="4" t="inlineStr">
        <is>
          <t>South</t>
        </is>
      </c>
      <c r="D1021" s="4" t="inlineStr">
        <is>
          <t>SKU057</t>
        </is>
      </c>
      <c r="E1021" s="4" t="inlineStr">
        <is>
          <t>Hand Wash 250ml</t>
        </is>
      </c>
      <c r="F1021" s="4" t="inlineStr">
        <is>
          <t>Personal Care</t>
        </is>
      </c>
      <c r="G1021" s="4" t="inlineStr">
        <is>
          <t>C</t>
        </is>
      </c>
      <c r="H1021" s="11" t="n">
        <v>1475</v>
      </c>
      <c r="I1021" s="4" t="n">
        <v>503</v>
      </c>
      <c r="J1021" s="13">
        <f>IF(I1021&gt;0,H1021/I1021,"")</f>
        <v/>
      </c>
      <c r="K1021" s="4">
        <f>IF(I1021&lt;=0,"NO DEMAND",IF(H1021=0,"STOCKOUT",IF(J1021&lt;Config!$B$5,"CRITICAL",IF(J1021&lt;Config!$B$6,"LOW",IF(J1021&gt;Config!$B$7,"EXCESS","HEALTHY")))))</f>
        <v/>
      </c>
      <c r="L1021" s="11" t="n">
        <v>108</v>
      </c>
      <c r="M1021" s="11" t="n">
        <v>136</v>
      </c>
      <c r="N1021" s="11">
        <f>H1021*L1021</f>
        <v/>
      </c>
      <c r="O1021" s="11">
        <f>IF(I1021&gt;0,I1021*(M1021-L1021),0)</f>
        <v/>
      </c>
      <c r="P1021" s="11" t="n">
        <v>0</v>
      </c>
    </row>
    <row r="1022">
      <c r="A1022" s="4" t="inlineStr">
        <is>
          <t>WH09</t>
        </is>
      </c>
      <c r="B1022" s="4" t="inlineStr">
        <is>
          <t>Hyderabad DC</t>
        </is>
      </c>
      <c r="C1022" s="4" t="inlineStr">
        <is>
          <t>South</t>
        </is>
      </c>
      <c r="D1022" s="4" t="inlineStr">
        <is>
          <t>SKU058</t>
        </is>
      </c>
      <c r="E1022" s="4" t="inlineStr">
        <is>
          <t>Kajal Pack</t>
        </is>
      </c>
      <c r="F1022" s="4" t="inlineStr">
        <is>
          <t>Personal Care</t>
        </is>
      </c>
      <c r="G1022" s="4" t="inlineStr">
        <is>
          <t>A</t>
        </is>
      </c>
      <c r="H1022" s="11" t="n">
        <v>764</v>
      </c>
      <c r="I1022" s="4" t="n">
        <v>240</v>
      </c>
      <c r="J1022" s="13">
        <f>IF(I1022&gt;0,H1022/I1022,"")</f>
        <v/>
      </c>
      <c r="K1022" s="4">
        <f>IF(I1022&lt;=0,"NO DEMAND",IF(H1022=0,"STOCKOUT",IF(J1022&lt;Config!$B$5,"CRITICAL",IF(J1022&lt;Config!$B$6,"LOW",IF(J1022&gt;Config!$B$7,"EXCESS","HEALTHY")))))</f>
        <v/>
      </c>
      <c r="L1022" s="11" t="n">
        <v>392</v>
      </c>
      <c r="M1022" s="11" t="n">
        <v>498</v>
      </c>
      <c r="N1022" s="11">
        <f>H1022*L1022</f>
        <v/>
      </c>
      <c r="O1022" s="11">
        <f>IF(I1022&gt;0,I1022*(M1022-L1022),0)</f>
        <v/>
      </c>
      <c r="P1022" s="11" t="n">
        <v>0</v>
      </c>
    </row>
    <row r="1023">
      <c r="A1023" s="4" t="inlineStr">
        <is>
          <t>WH09</t>
        </is>
      </c>
      <c r="B1023" s="4" t="inlineStr">
        <is>
          <t>Hyderabad DC</t>
        </is>
      </c>
      <c r="C1023" s="4" t="inlineStr">
        <is>
          <t>South</t>
        </is>
      </c>
      <c r="D1023" s="4" t="inlineStr">
        <is>
          <t>SKU059</t>
        </is>
      </c>
      <c r="E1023" s="4" t="inlineStr">
        <is>
          <t>Lip Balm</t>
        </is>
      </c>
      <c r="F1023" s="4" t="inlineStr">
        <is>
          <t>Personal Care</t>
        </is>
      </c>
      <c r="G1023" s="4" t="inlineStr">
        <is>
          <t>B</t>
        </is>
      </c>
      <c r="H1023" s="11" t="n">
        <v>563</v>
      </c>
      <c r="I1023" s="4" t="n">
        <v>564.25</v>
      </c>
      <c r="J1023" s="13">
        <f>IF(I1023&gt;0,H1023/I1023,"")</f>
        <v/>
      </c>
      <c r="K1023" s="4">
        <f>IF(I1023&lt;=0,"NO DEMAND",IF(H1023=0,"STOCKOUT",IF(J1023&lt;Config!$B$5,"CRITICAL",IF(J1023&lt;Config!$B$6,"LOW",IF(J1023&gt;Config!$B$7,"EXCESS","HEALTHY")))))</f>
        <v/>
      </c>
      <c r="L1023" s="11" t="n">
        <v>150</v>
      </c>
      <c r="M1023" s="11" t="n">
        <v>198</v>
      </c>
      <c r="N1023" s="11">
        <f>H1023*L1023</f>
        <v/>
      </c>
      <c r="O1023" s="11">
        <f>IF(I1023&gt;0,I1023*(M1023-L1023),0)</f>
        <v/>
      </c>
      <c r="P1023" s="11" t="n">
        <v>1884</v>
      </c>
    </row>
    <row r="1024">
      <c r="A1024" s="4" t="inlineStr">
        <is>
          <t>WH09</t>
        </is>
      </c>
      <c r="B1024" s="4" t="inlineStr">
        <is>
          <t>Hyderabad DC</t>
        </is>
      </c>
      <c r="C1024" s="4" t="inlineStr">
        <is>
          <t>South</t>
        </is>
      </c>
      <c r="D1024" s="4" t="inlineStr">
        <is>
          <t>SKU060</t>
        </is>
      </c>
      <c r="E1024" s="4" t="inlineStr">
        <is>
          <t>Mouthwash 250ml</t>
        </is>
      </c>
      <c r="F1024" s="4" t="inlineStr">
        <is>
          <t>Personal Care</t>
        </is>
      </c>
      <c r="G1024" s="4" t="inlineStr">
        <is>
          <t>A</t>
        </is>
      </c>
      <c r="H1024" s="11" t="n">
        <v>681</v>
      </c>
      <c r="I1024" s="4" t="n">
        <v>187</v>
      </c>
      <c r="J1024" s="13">
        <f>IF(I1024&gt;0,H1024/I1024,"")</f>
        <v/>
      </c>
      <c r="K1024" s="4">
        <f>IF(I1024&lt;=0,"NO DEMAND",IF(H1024=0,"STOCKOUT",IF(J1024&lt;Config!$B$5,"CRITICAL",IF(J1024&lt;Config!$B$6,"LOW",IF(J1024&gt;Config!$B$7,"EXCESS","HEALTHY")))))</f>
        <v/>
      </c>
      <c r="L1024" s="11" t="n">
        <v>376</v>
      </c>
      <c r="M1024" s="11" t="n">
        <v>491</v>
      </c>
      <c r="N1024" s="11">
        <f>H1024*L1024</f>
        <v/>
      </c>
      <c r="O1024" s="11">
        <f>IF(I1024&gt;0,I1024*(M1024-L1024),0)</f>
        <v/>
      </c>
      <c r="P1024" s="11" t="n">
        <v>0</v>
      </c>
    </row>
    <row r="1025">
      <c r="A1025" s="4" t="inlineStr">
        <is>
          <t>WH09</t>
        </is>
      </c>
      <c r="B1025" s="4" t="inlineStr">
        <is>
          <t>Hyderabad DC</t>
        </is>
      </c>
      <c r="C1025" s="4" t="inlineStr">
        <is>
          <t>South</t>
        </is>
      </c>
      <c r="D1025" s="4" t="inlineStr">
        <is>
          <t>SKU061</t>
        </is>
      </c>
      <c r="E1025" s="4" t="inlineStr">
        <is>
          <t>Detergent Powder 2kg</t>
        </is>
      </c>
      <c r="F1025" s="4" t="inlineStr">
        <is>
          <t>Home Care</t>
        </is>
      </c>
      <c r="G1025" s="4" t="inlineStr">
        <is>
          <t>B</t>
        </is>
      </c>
      <c r="H1025" s="11" t="n">
        <v>526</v>
      </c>
      <c r="I1025" s="4" t="n">
        <v>885.75</v>
      </c>
      <c r="J1025" s="13">
        <f>IF(I1025&gt;0,H1025/I1025,"")</f>
        <v/>
      </c>
      <c r="K1025" s="4">
        <f>IF(I1025&lt;=0,"NO DEMAND",IF(H1025=0,"STOCKOUT",IF(J1025&lt;Config!$B$5,"CRITICAL",IF(J1025&lt;Config!$B$6,"LOW",IF(J1025&gt;Config!$B$7,"EXCESS","HEALTHY")))))</f>
        <v/>
      </c>
      <c r="L1025" s="11" t="n">
        <v>104</v>
      </c>
      <c r="M1025" s="11" t="n">
        <v>132</v>
      </c>
      <c r="N1025" s="11">
        <f>H1025*L1025</f>
        <v/>
      </c>
      <c r="O1025" s="11">
        <f>IF(I1025&gt;0,I1025*(M1025-L1025),0)</f>
        <v/>
      </c>
      <c r="P1025" s="11" t="n">
        <v>3228</v>
      </c>
    </row>
    <row r="1026">
      <c r="A1026" s="4" t="inlineStr">
        <is>
          <t>WH09</t>
        </is>
      </c>
      <c r="B1026" s="4" t="inlineStr">
        <is>
          <t>Hyderabad DC</t>
        </is>
      </c>
      <c r="C1026" s="4" t="inlineStr">
        <is>
          <t>South</t>
        </is>
      </c>
      <c r="D1026" s="4" t="inlineStr">
        <is>
          <t>SKU062</t>
        </is>
      </c>
      <c r="E1026" s="4" t="inlineStr">
        <is>
          <t>Dishwash Liquid 750ml</t>
        </is>
      </c>
      <c r="F1026" s="4" t="inlineStr">
        <is>
          <t>Home Care</t>
        </is>
      </c>
      <c r="G1026" s="4" t="inlineStr">
        <is>
          <t>A</t>
        </is>
      </c>
      <c r="H1026" s="11" t="n">
        <v>3615</v>
      </c>
      <c r="I1026" s="4" t="n">
        <v>709</v>
      </c>
      <c r="J1026" s="13">
        <f>IF(I1026&gt;0,H1026/I1026,"")</f>
        <v/>
      </c>
      <c r="K1026" s="4">
        <f>IF(I1026&lt;=0,"NO DEMAND",IF(H1026=0,"STOCKOUT",IF(J1026&lt;Config!$B$5,"CRITICAL",IF(J1026&lt;Config!$B$6,"LOW",IF(J1026&gt;Config!$B$7,"EXCESS","HEALTHY")))))</f>
        <v/>
      </c>
      <c r="L1026" s="11" t="n">
        <v>122</v>
      </c>
      <c r="M1026" s="11" t="n">
        <v>148</v>
      </c>
      <c r="N1026" s="11">
        <f>H1026*L1026</f>
        <v/>
      </c>
      <c r="O1026" s="11">
        <f>IF(I1026&gt;0,I1026*(M1026-L1026),0)</f>
        <v/>
      </c>
      <c r="P1026" s="11" t="n">
        <v>0</v>
      </c>
    </row>
    <row r="1027">
      <c r="A1027" s="4" t="inlineStr">
        <is>
          <t>WH09</t>
        </is>
      </c>
      <c r="B1027" s="4" t="inlineStr">
        <is>
          <t>Hyderabad DC</t>
        </is>
      </c>
      <c r="C1027" s="4" t="inlineStr">
        <is>
          <t>South</t>
        </is>
      </c>
      <c r="D1027" s="4" t="inlineStr">
        <is>
          <t>SKU063</t>
        </is>
      </c>
      <c r="E1027" s="4" t="inlineStr">
        <is>
          <t>Floor Cleaner 1L</t>
        </is>
      </c>
      <c r="F1027" s="4" t="inlineStr">
        <is>
          <t>Home Care</t>
        </is>
      </c>
      <c r="G1027" s="4" t="inlineStr">
        <is>
          <t>C</t>
        </is>
      </c>
      <c r="H1027" s="11" t="n">
        <v>3186</v>
      </c>
      <c r="I1027" s="4" t="n">
        <v>703.75</v>
      </c>
      <c r="J1027" s="13">
        <f>IF(I1027&gt;0,H1027/I1027,"")</f>
        <v/>
      </c>
      <c r="K1027" s="4">
        <f>IF(I1027&lt;=0,"NO DEMAND",IF(H1027=0,"STOCKOUT",IF(J1027&lt;Config!$B$5,"CRITICAL",IF(J1027&lt;Config!$B$6,"LOW",IF(J1027&gt;Config!$B$7,"EXCESS","HEALTHY")))))</f>
        <v/>
      </c>
      <c r="L1027" s="11" t="n">
        <v>44</v>
      </c>
      <c r="M1027" s="11" t="n">
        <v>56</v>
      </c>
      <c r="N1027" s="11">
        <f>H1027*L1027</f>
        <v/>
      </c>
      <c r="O1027" s="11">
        <f>IF(I1027&gt;0,I1027*(M1027-L1027),0)</f>
        <v/>
      </c>
      <c r="P1027" s="11" t="n">
        <v>0</v>
      </c>
    </row>
    <row r="1028">
      <c r="A1028" s="4" t="inlineStr">
        <is>
          <t>WH09</t>
        </is>
      </c>
      <c r="B1028" s="4" t="inlineStr">
        <is>
          <t>Hyderabad DC</t>
        </is>
      </c>
      <c r="C1028" s="4" t="inlineStr">
        <is>
          <t>South</t>
        </is>
      </c>
      <c r="D1028" s="4" t="inlineStr">
        <is>
          <t>SKU064</t>
        </is>
      </c>
      <c r="E1028" s="4" t="inlineStr">
        <is>
          <t>Toilet Cleaner 500ml</t>
        </is>
      </c>
      <c r="F1028" s="4" t="inlineStr">
        <is>
          <t>Home Care</t>
        </is>
      </c>
      <c r="G1028" s="4" t="inlineStr">
        <is>
          <t>C</t>
        </is>
      </c>
      <c r="H1028" s="11" t="n">
        <v>87</v>
      </c>
      <c r="I1028" s="4" t="n">
        <v>80.5</v>
      </c>
      <c r="J1028" s="13">
        <f>IF(I1028&gt;0,H1028/I1028,"")</f>
        <v/>
      </c>
      <c r="K1028" s="4">
        <f>IF(I1028&lt;=0,"NO DEMAND",IF(H1028=0,"STOCKOUT",IF(J1028&lt;Config!$B$5,"CRITICAL",IF(J1028&lt;Config!$B$6,"LOW",IF(J1028&gt;Config!$B$7,"EXCESS","HEALTHY")))))</f>
        <v/>
      </c>
      <c r="L1028" s="11" t="n">
        <v>102</v>
      </c>
      <c r="M1028" s="11" t="n">
        <v>128</v>
      </c>
      <c r="N1028" s="11">
        <f>H1028*L1028</f>
        <v/>
      </c>
      <c r="O1028" s="11">
        <f>IF(I1028&gt;0,I1028*(M1028-L1028),0)</f>
        <v/>
      </c>
      <c r="P1028" s="11" t="n">
        <v>468</v>
      </c>
    </row>
    <row r="1029">
      <c r="A1029" s="4" t="inlineStr">
        <is>
          <t>WH09</t>
        </is>
      </c>
      <c r="B1029" s="4" t="inlineStr">
        <is>
          <t>Hyderabad DC</t>
        </is>
      </c>
      <c r="C1029" s="4" t="inlineStr">
        <is>
          <t>South</t>
        </is>
      </c>
      <c r="D1029" s="4" t="inlineStr">
        <is>
          <t>SKU065</t>
        </is>
      </c>
      <c r="E1029" s="4" t="inlineStr">
        <is>
          <t>Glass Cleaner 500ml</t>
        </is>
      </c>
      <c r="F1029" s="4" t="inlineStr">
        <is>
          <t>Home Care</t>
        </is>
      </c>
      <c r="G1029" s="4" t="inlineStr">
        <is>
          <t>B</t>
        </is>
      </c>
      <c r="H1029" s="11" t="n">
        <v>2207</v>
      </c>
      <c r="I1029" s="4" t="n">
        <v>960</v>
      </c>
      <c r="J1029" s="13">
        <f>IF(I1029&gt;0,H1029/I1029,"")</f>
        <v/>
      </c>
      <c r="K1029" s="4">
        <f>IF(I1029&lt;=0,"NO DEMAND",IF(H1029=0,"STOCKOUT",IF(J1029&lt;Config!$B$5,"CRITICAL",IF(J1029&lt;Config!$B$6,"LOW",IF(J1029&gt;Config!$B$7,"EXCESS","HEALTHY")))))</f>
        <v/>
      </c>
      <c r="L1029" s="11" t="n">
        <v>82</v>
      </c>
      <c r="M1029" s="11" t="n">
        <v>102</v>
      </c>
      <c r="N1029" s="11">
        <f>H1029*L1029</f>
        <v/>
      </c>
      <c r="O1029" s="11">
        <f>IF(I1029&gt;0,I1029*(M1029-L1029),0)</f>
        <v/>
      </c>
      <c r="P1029" s="11" t="n">
        <v>0</v>
      </c>
    </row>
    <row r="1030">
      <c r="A1030" s="4" t="inlineStr">
        <is>
          <t>WH09</t>
        </is>
      </c>
      <c r="B1030" s="4" t="inlineStr">
        <is>
          <t>Hyderabad DC</t>
        </is>
      </c>
      <c r="C1030" s="4" t="inlineStr">
        <is>
          <t>South</t>
        </is>
      </c>
      <c r="D1030" s="4" t="inlineStr">
        <is>
          <t>SKU066</t>
        </is>
      </c>
      <c r="E1030" s="4" t="inlineStr">
        <is>
          <t>Fabric Softener 1L</t>
        </is>
      </c>
      <c r="F1030" s="4" t="inlineStr">
        <is>
          <t>Home Care</t>
        </is>
      </c>
      <c r="G1030" s="4" t="inlineStr">
        <is>
          <t>B</t>
        </is>
      </c>
      <c r="H1030" s="11" t="n">
        <v>3800</v>
      </c>
      <c r="I1030" s="4" t="n">
        <v>1111</v>
      </c>
      <c r="J1030" s="13">
        <f>IF(I1030&gt;0,H1030/I1030,"")</f>
        <v/>
      </c>
      <c r="K1030" s="4">
        <f>IF(I1030&lt;=0,"NO DEMAND",IF(H1030=0,"STOCKOUT",IF(J1030&lt;Config!$B$5,"CRITICAL",IF(J1030&lt;Config!$B$6,"LOW",IF(J1030&gt;Config!$B$7,"EXCESS","HEALTHY")))))</f>
        <v/>
      </c>
      <c r="L1030" s="11" t="n">
        <v>51</v>
      </c>
      <c r="M1030" s="11" t="n">
        <v>65</v>
      </c>
      <c r="N1030" s="11">
        <f>H1030*L1030</f>
        <v/>
      </c>
      <c r="O1030" s="11">
        <f>IF(I1030&gt;0,I1030*(M1030-L1030),0)</f>
        <v/>
      </c>
      <c r="P1030" s="11" t="n">
        <v>0</v>
      </c>
    </row>
    <row r="1031">
      <c r="A1031" s="4" t="inlineStr">
        <is>
          <t>WH09</t>
        </is>
      </c>
      <c r="B1031" s="4" t="inlineStr">
        <is>
          <t>Hyderabad DC</t>
        </is>
      </c>
      <c r="C1031" s="4" t="inlineStr">
        <is>
          <t>South</t>
        </is>
      </c>
      <c r="D1031" s="4" t="inlineStr">
        <is>
          <t>SKU067</t>
        </is>
      </c>
      <c r="E1031" s="4" t="inlineStr">
        <is>
          <t>Mosquito Coil 10pk</t>
        </is>
      </c>
      <c r="F1031" s="4" t="inlineStr">
        <is>
          <t>Home Care</t>
        </is>
      </c>
      <c r="G1031" s="4" t="inlineStr">
        <is>
          <t>A</t>
        </is>
      </c>
      <c r="H1031" s="11" t="n">
        <v>1800</v>
      </c>
      <c r="I1031" s="4" t="n">
        <v>781.75</v>
      </c>
      <c r="J1031" s="13">
        <f>IF(I1031&gt;0,H1031/I1031,"")</f>
        <v/>
      </c>
      <c r="K1031" s="4">
        <f>IF(I1031&lt;=0,"NO DEMAND",IF(H1031=0,"STOCKOUT",IF(J1031&lt;Config!$B$5,"CRITICAL",IF(J1031&lt;Config!$B$6,"LOW",IF(J1031&gt;Config!$B$7,"EXCESS","HEALTHY")))))</f>
        <v/>
      </c>
      <c r="L1031" s="11" t="n">
        <v>200</v>
      </c>
      <c r="M1031" s="11" t="n">
        <v>257</v>
      </c>
      <c r="N1031" s="11">
        <f>H1031*L1031</f>
        <v/>
      </c>
      <c r="O1031" s="11">
        <f>IF(I1031&gt;0,I1031*(M1031-L1031),0)</f>
        <v/>
      </c>
      <c r="P1031" s="11" t="n">
        <v>0</v>
      </c>
    </row>
    <row r="1032">
      <c r="A1032" s="4" t="inlineStr">
        <is>
          <t>WH09</t>
        </is>
      </c>
      <c r="B1032" s="4" t="inlineStr">
        <is>
          <t>Hyderabad DC</t>
        </is>
      </c>
      <c r="C1032" s="4" t="inlineStr">
        <is>
          <t>South</t>
        </is>
      </c>
      <c r="D1032" s="4" t="inlineStr">
        <is>
          <t>SKU068</t>
        </is>
      </c>
      <c r="E1032" s="4" t="inlineStr">
        <is>
          <t>Air Freshener 250ml</t>
        </is>
      </c>
      <c r="F1032" s="4" t="inlineStr">
        <is>
          <t>Home Care</t>
        </is>
      </c>
      <c r="G1032" s="4" t="inlineStr">
        <is>
          <t>A</t>
        </is>
      </c>
      <c r="H1032" s="11" t="n">
        <v>1303</v>
      </c>
      <c r="I1032" s="4" t="n">
        <v>533.5</v>
      </c>
      <c r="J1032" s="13">
        <f>IF(I1032&gt;0,H1032/I1032,"")</f>
        <v/>
      </c>
      <c r="K1032" s="4">
        <f>IF(I1032&lt;=0,"NO DEMAND",IF(H1032=0,"STOCKOUT",IF(J1032&lt;Config!$B$5,"CRITICAL",IF(J1032&lt;Config!$B$6,"LOW",IF(J1032&gt;Config!$B$7,"EXCESS","HEALTHY")))))</f>
        <v/>
      </c>
      <c r="L1032" s="11" t="n">
        <v>99</v>
      </c>
      <c r="M1032" s="11" t="n">
        <v>123</v>
      </c>
      <c r="N1032" s="11">
        <f>H1032*L1032</f>
        <v/>
      </c>
      <c r="O1032" s="11">
        <f>IF(I1032&gt;0,I1032*(M1032-L1032),0)</f>
        <v/>
      </c>
      <c r="P1032" s="11" t="n">
        <v>2304</v>
      </c>
    </row>
    <row r="1033">
      <c r="A1033" s="4" t="inlineStr">
        <is>
          <t>WH09</t>
        </is>
      </c>
      <c r="B1033" s="4" t="inlineStr">
        <is>
          <t>Hyderabad DC</t>
        </is>
      </c>
      <c r="C1033" s="4" t="inlineStr">
        <is>
          <t>South</t>
        </is>
      </c>
      <c r="D1033" s="4" t="inlineStr">
        <is>
          <t>SKU069</t>
        </is>
      </c>
      <c r="E1033" s="4" t="inlineStr">
        <is>
          <t>Garbage Bags 30pk</t>
        </is>
      </c>
      <c r="F1033" s="4" t="inlineStr">
        <is>
          <t>Home Care</t>
        </is>
      </c>
      <c r="G1033" s="4" t="inlineStr">
        <is>
          <t>B</t>
        </is>
      </c>
      <c r="H1033" s="11" t="n">
        <v>991</v>
      </c>
      <c r="I1033" s="4" t="n">
        <v>257</v>
      </c>
      <c r="J1033" s="13">
        <f>IF(I1033&gt;0,H1033/I1033,"")</f>
        <v/>
      </c>
      <c r="K1033" s="4">
        <f>IF(I1033&lt;=0,"NO DEMAND",IF(H1033=0,"STOCKOUT",IF(J1033&lt;Config!$B$5,"CRITICAL",IF(J1033&lt;Config!$B$6,"LOW",IF(J1033&gt;Config!$B$7,"EXCESS","HEALTHY")))))</f>
        <v/>
      </c>
      <c r="L1033" s="11" t="n">
        <v>202</v>
      </c>
      <c r="M1033" s="11" t="n">
        <v>252</v>
      </c>
      <c r="N1033" s="11">
        <f>H1033*L1033</f>
        <v/>
      </c>
      <c r="O1033" s="11">
        <f>IF(I1033&gt;0,I1033*(M1033-L1033),0)</f>
        <v/>
      </c>
      <c r="P1033" s="11" t="n">
        <v>0</v>
      </c>
    </row>
    <row r="1034">
      <c r="A1034" s="4" t="inlineStr">
        <is>
          <t>WH09</t>
        </is>
      </c>
      <c r="B1034" s="4" t="inlineStr">
        <is>
          <t>Hyderabad DC</t>
        </is>
      </c>
      <c r="C1034" s="4" t="inlineStr">
        <is>
          <t>South</t>
        </is>
      </c>
      <c r="D1034" s="4" t="inlineStr">
        <is>
          <t>SKU070</t>
        </is>
      </c>
      <c r="E1034" s="4" t="inlineStr">
        <is>
          <t>Scrub Pad 3pk</t>
        </is>
      </c>
      <c r="F1034" s="4" t="inlineStr">
        <is>
          <t>Home Care</t>
        </is>
      </c>
      <c r="G1034" s="4" t="inlineStr">
        <is>
          <t>A</t>
        </is>
      </c>
      <c r="H1034" s="11" t="n">
        <v>2673</v>
      </c>
      <c r="I1034" s="4" t="n">
        <v>873.25</v>
      </c>
      <c r="J1034" s="13">
        <f>IF(I1034&gt;0,H1034/I1034,"")</f>
        <v/>
      </c>
      <c r="K1034" s="4">
        <f>IF(I1034&lt;=0,"NO DEMAND",IF(H1034=0,"STOCKOUT",IF(J1034&lt;Config!$B$5,"CRITICAL",IF(J1034&lt;Config!$B$6,"LOW",IF(J1034&gt;Config!$B$7,"EXCESS","HEALTHY")))))</f>
        <v/>
      </c>
      <c r="L1034" s="11" t="n">
        <v>121</v>
      </c>
      <c r="M1034" s="11" t="n">
        <v>153</v>
      </c>
      <c r="N1034" s="11">
        <f>H1034*L1034</f>
        <v/>
      </c>
      <c r="O1034" s="11">
        <f>IF(I1034&gt;0,I1034*(M1034-L1034),0)</f>
        <v/>
      </c>
      <c r="P1034" s="11" t="n">
        <v>0</v>
      </c>
    </row>
    <row r="1035">
      <c r="A1035" s="4" t="inlineStr">
        <is>
          <t>WH09</t>
        </is>
      </c>
      <c r="B1035" s="4" t="inlineStr">
        <is>
          <t>Hyderabad DC</t>
        </is>
      </c>
      <c r="C1035" s="4" t="inlineStr">
        <is>
          <t>South</t>
        </is>
      </c>
      <c r="D1035" s="4" t="inlineStr">
        <is>
          <t>SKU071</t>
        </is>
      </c>
      <c r="E1035" s="4" t="inlineStr">
        <is>
          <t>Bleach 500ml</t>
        </is>
      </c>
      <c r="F1035" s="4" t="inlineStr">
        <is>
          <t>Home Care</t>
        </is>
      </c>
      <c r="G1035" s="4" t="inlineStr">
        <is>
          <t>C</t>
        </is>
      </c>
      <c r="H1035" s="11" t="n">
        <v>1132</v>
      </c>
      <c r="I1035" s="4" t="n">
        <v>326.75</v>
      </c>
      <c r="J1035" s="13">
        <f>IF(I1035&gt;0,H1035/I1035,"")</f>
        <v/>
      </c>
      <c r="K1035" s="4">
        <f>IF(I1035&lt;=0,"NO DEMAND",IF(H1035=0,"STOCKOUT",IF(J1035&lt;Config!$B$5,"CRITICAL",IF(J1035&lt;Config!$B$6,"LOW",IF(J1035&gt;Config!$B$7,"EXCESS","HEALTHY")))))</f>
        <v/>
      </c>
      <c r="L1035" s="11" t="n">
        <v>41</v>
      </c>
      <c r="M1035" s="11" t="n">
        <v>51</v>
      </c>
      <c r="N1035" s="11">
        <f>H1035*L1035</f>
        <v/>
      </c>
      <c r="O1035" s="11">
        <f>IF(I1035&gt;0,I1035*(M1035-L1035),0)</f>
        <v/>
      </c>
      <c r="P1035" s="11" t="n">
        <v>0</v>
      </c>
    </row>
    <row r="1036">
      <c r="A1036" s="4" t="inlineStr">
        <is>
          <t>WH09</t>
        </is>
      </c>
      <c r="B1036" s="4" t="inlineStr">
        <is>
          <t>Hyderabad DC</t>
        </is>
      </c>
      <c r="C1036" s="4" t="inlineStr">
        <is>
          <t>South</t>
        </is>
      </c>
      <c r="D1036" s="4" t="inlineStr">
        <is>
          <t>SKU072</t>
        </is>
      </c>
      <c r="E1036" s="4" t="inlineStr">
        <is>
          <t>Phenyl 1L</t>
        </is>
      </c>
      <c r="F1036" s="4" t="inlineStr">
        <is>
          <t>Home Care</t>
        </is>
      </c>
      <c r="G1036" s="4" t="inlineStr">
        <is>
          <t>B</t>
        </is>
      </c>
      <c r="H1036" s="11" t="n">
        <v>1220</v>
      </c>
      <c r="I1036" s="4" t="n">
        <v>369</v>
      </c>
      <c r="J1036" s="13">
        <f>IF(I1036&gt;0,H1036/I1036,"")</f>
        <v/>
      </c>
      <c r="K1036" s="4">
        <f>IF(I1036&lt;=0,"NO DEMAND",IF(H1036=0,"STOCKOUT",IF(J1036&lt;Config!$B$5,"CRITICAL",IF(J1036&lt;Config!$B$6,"LOW",IF(J1036&gt;Config!$B$7,"EXCESS","HEALTHY")))))</f>
        <v/>
      </c>
      <c r="L1036" s="11" t="n">
        <v>137</v>
      </c>
      <c r="M1036" s="11" t="n">
        <v>170</v>
      </c>
      <c r="N1036" s="11">
        <f>H1036*L1036</f>
        <v/>
      </c>
      <c r="O1036" s="11">
        <f>IF(I1036&gt;0,I1036*(M1036-L1036),0)</f>
        <v/>
      </c>
      <c r="P1036" s="11" t="n">
        <v>0</v>
      </c>
    </row>
    <row r="1037">
      <c r="A1037" s="4" t="inlineStr">
        <is>
          <t>WH09</t>
        </is>
      </c>
      <c r="B1037" s="4" t="inlineStr">
        <is>
          <t>Hyderabad DC</t>
        </is>
      </c>
      <c r="C1037" s="4" t="inlineStr">
        <is>
          <t>South</t>
        </is>
      </c>
      <c r="D1037" s="4" t="inlineStr">
        <is>
          <t>SKU073</t>
        </is>
      </c>
      <c r="E1037" s="4" t="inlineStr">
        <is>
          <t>Agarbatti 100pk</t>
        </is>
      </c>
      <c r="F1037" s="4" t="inlineStr">
        <is>
          <t>Home Care</t>
        </is>
      </c>
      <c r="G1037" s="4" t="inlineStr">
        <is>
          <t>C</t>
        </is>
      </c>
      <c r="H1037" s="11" t="n">
        <v>872</v>
      </c>
      <c r="I1037" s="4" t="n">
        <v>456.5</v>
      </c>
      <c r="J1037" s="13">
        <f>IF(I1037&gt;0,H1037/I1037,"")</f>
        <v/>
      </c>
      <c r="K1037" s="4">
        <f>IF(I1037&lt;=0,"NO DEMAND",IF(H1037=0,"STOCKOUT",IF(J1037&lt;Config!$B$5,"CRITICAL",IF(J1037&lt;Config!$B$6,"LOW",IF(J1037&gt;Config!$B$7,"EXCESS","HEALTHY")))))</f>
        <v/>
      </c>
      <c r="L1037" s="11" t="n">
        <v>59</v>
      </c>
      <c r="M1037" s="11" t="n">
        <v>75</v>
      </c>
      <c r="N1037" s="11">
        <f>H1037*L1037</f>
        <v/>
      </c>
      <c r="O1037" s="11">
        <f>IF(I1037&gt;0,I1037*(M1037-L1037),0)</f>
        <v/>
      </c>
      <c r="P1037" s="11" t="n">
        <v>0</v>
      </c>
    </row>
    <row r="1038">
      <c r="A1038" s="4" t="inlineStr">
        <is>
          <t>WH09</t>
        </is>
      </c>
      <c r="B1038" s="4" t="inlineStr">
        <is>
          <t>Hyderabad DC</t>
        </is>
      </c>
      <c r="C1038" s="4" t="inlineStr">
        <is>
          <t>South</t>
        </is>
      </c>
      <c r="D1038" s="4" t="inlineStr">
        <is>
          <t>SKU074</t>
        </is>
      </c>
      <c r="E1038" s="4" t="inlineStr">
        <is>
          <t>Matchbox 10pk</t>
        </is>
      </c>
      <c r="F1038" s="4" t="inlineStr">
        <is>
          <t>Home Care</t>
        </is>
      </c>
      <c r="G1038" s="4" t="inlineStr">
        <is>
          <t>A</t>
        </is>
      </c>
      <c r="H1038" s="11" t="n">
        <v>223</v>
      </c>
      <c r="I1038" s="4" t="n">
        <v>148.25</v>
      </c>
      <c r="J1038" s="13">
        <f>IF(I1038&gt;0,H1038/I1038,"")</f>
        <v/>
      </c>
      <c r="K1038" s="4">
        <f>IF(I1038&lt;=0,"NO DEMAND",IF(H1038=0,"STOCKOUT",IF(J1038&lt;Config!$B$5,"CRITICAL",IF(J1038&lt;Config!$B$6,"LOW",IF(J1038&gt;Config!$B$7,"EXCESS","HEALTHY")))))</f>
        <v/>
      </c>
      <c r="L1038" s="11" t="n">
        <v>257</v>
      </c>
      <c r="M1038" s="11" t="n">
        <v>315</v>
      </c>
      <c r="N1038" s="11">
        <f>H1038*L1038</f>
        <v/>
      </c>
      <c r="O1038" s="11">
        <f>IF(I1038&gt;0,I1038*(M1038-L1038),0)</f>
        <v/>
      </c>
      <c r="P1038" s="11" t="n">
        <v>816</v>
      </c>
    </row>
    <row r="1039">
      <c r="A1039" s="4" t="inlineStr">
        <is>
          <t>WH09</t>
        </is>
      </c>
      <c r="B1039" s="4" t="inlineStr">
        <is>
          <t>Hyderabad DC</t>
        </is>
      </c>
      <c r="C1039" s="4" t="inlineStr">
        <is>
          <t>South</t>
        </is>
      </c>
      <c r="D1039" s="4" t="inlineStr">
        <is>
          <t>SKU075</t>
        </is>
      </c>
      <c r="E1039" s="4" t="inlineStr">
        <is>
          <t>Naphthalene Balls 200g</t>
        </is>
      </c>
      <c r="F1039" s="4" t="inlineStr">
        <is>
          <t>Home Care</t>
        </is>
      </c>
      <c r="G1039" s="4" t="inlineStr">
        <is>
          <t>C</t>
        </is>
      </c>
      <c r="H1039" s="11" t="n">
        <v>157</v>
      </c>
      <c r="I1039" s="4" t="n">
        <v>693.5</v>
      </c>
      <c r="J1039" s="13">
        <f>IF(I1039&gt;0,H1039/I1039,"")</f>
        <v/>
      </c>
      <c r="K1039" s="4">
        <f>IF(I1039&lt;=0,"NO DEMAND",IF(H1039=0,"STOCKOUT",IF(J1039&lt;Config!$B$5,"CRITICAL",IF(J1039&lt;Config!$B$6,"LOW",IF(J1039&gt;Config!$B$7,"EXCESS","HEALTHY")))))</f>
        <v/>
      </c>
      <c r="L1039" s="11" t="n">
        <v>49</v>
      </c>
      <c r="M1039" s="11" t="n">
        <v>60</v>
      </c>
      <c r="N1039" s="11">
        <f>H1039*L1039</f>
        <v/>
      </c>
      <c r="O1039" s="11">
        <f>IF(I1039&gt;0,I1039*(M1039-L1039),0)</f>
        <v/>
      </c>
      <c r="P1039" s="11" t="n">
        <v>2340</v>
      </c>
    </row>
    <row r="1040">
      <c r="A1040" s="4" t="inlineStr">
        <is>
          <t>WH09</t>
        </is>
      </c>
      <c r="B1040" s="4" t="inlineStr">
        <is>
          <t>Hyderabad DC</t>
        </is>
      </c>
      <c r="C1040" s="4" t="inlineStr">
        <is>
          <t>South</t>
        </is>
      </c>
      <c r="D1040" s="4" t="inlineStr">
        <is>
          <t>SKU076</t>
        </is>
      </c>
      <c r="E1040" s="4" t="inlineStr">
        <is>
          <t>USB-C Cable 1m</t>
        </is>
      </c>
      <c r="F1040" s="4" t="inlineStr">
        <is>
          <t>Electronics Accessories</t>
        </is>
      </c>
      <c r="G1040" s="4" t="inlineStr">
        <is>
          <t>A</t>
        </is>
      </c>
      <c r="H1040" s="11" t="n">
        <v>484</v>
      </c>
      <c r="I1040" s="4" t="n">
        <v>142.25</v>
      </c>
      <c r="J1040" s="13">
        <f>IF(I1040&gt;0,H1040/I1040,"")</f>
        <v/>
      </c>
      <c r="K1040" s="4">
        <f>IF(I1040&lt;=0,"NO DEMAND",IF(H1040=0,"STOCKOUT",IF(J1040&lt;Config!$B$5,"CRITICAL",IF(J1040&lt;Config!$B$6,"LOW",IF(J1040&gt;Config!$B$7,"EXCESS","HEALTHY")))))</f>
        <v/>
      </c>
      <c r="L1040" s="11" t="n">
        <v>441</v>
      </c>
      <c r="M1040" s="11" t="n">
        <v>572</v>
      </c>
      <c r="N1040" s="11">
        <f>H1040*L1040</f>
        <v/>
      </c>
      <c r="O1040" s="11">
        <f>IF(I1040&gt;0,I1040*(M1040-L1040),0)</f>
        <v/>
      </c>
      <c r="P1040" s="11" t="n">
        <v>620</v>
      </c>
    </row>
    <row r="1041">
      <c r="A1041" s="4" t="inlineStr">
        <is>
          <t>WH09</t>
        </is>
      </c>
      <c r="B1041" s="4" t="inlineStr">
        <is>
          <t>Hyderabad DC</t>
        </is>
      </c>
      <c r="C1041" s="4" t="inlineStr">
        <is>
          <t>South</t>
        </is>
      </c>
      <c r="D1041" s="4" t="inlineStr">
        <is>
          <t>SKU077</t>
        </is>
      </c>
      <c r="E1041" s="4" t="inlineStr">
        <is>
          <t>Fast Charger 25W</t>
        </is>
      </c>
      <c r="F1041" s="4" t="inlineStr">
        <is>
          <t>Electronics Accessories</t>
        </is>
      </c>
      <c r="G1041" s="4" t="inlineStr">
        <is>
          <t>B</t>
        </is>
      </c>
      <c r="H1041" s="11" t="n">
        <v>430</v>
      </c>
      <c r="I1041" s="4" t="n">
        <v>44</v>
      </c>
      <c r="J1041" s="13">
        <f>IF(I1041&gt;0,H1041/I1041,"")</f>
        <v/>
      </c>
      <c r="K1041" s="4">
        <f>IF(I1041&lt;=0,"NO DEMAND",IF(H1041=0,"STOCKOUT",IF(J1041&lt;Config!$B$5,"CRITICAL",IF(J1041&lt;Config!$B$6,"LOW",IF(J1041&gt;Config!$B$7,"EXCESS","HEALTHY")))))</f>
        <v/>
      </c>
      <c r="L1041" s="11" t="n">
        <v>364</v>
      </c>
      <c r="M1041" s="11" t="n">
        <v>465</v>
      </c>
      <c r="N1041" s="11">
        <f>H1041*L1041</f>
        <v/>
      </c>
      <c r="O1041" s="11">
        <f>IF(I1041&gt;0,I1041*(M1041-L1041),0)</f>
        <v/>
      </c>
      <c r="P1041" s="11" t="n">
        <v>0</v>
      </c>
    </row>
    <row r="1042">
      <c r="A1042" s="4" t="inlineStr">
        <is>
          <t>WH09</t>
        </is>
      </c>
      <c r="B1042" s="4" t="inlineStr">
        <is>
          <t>Hyderabad DC</t>
        </is>
      </c>
      <c r="C1042" s="4" t="inlineStr">
        <is>
          <t>South</t>
        </is>
      </c>
      <c r="D1042" s="4" t="inlineStr">
        <is>
          <t>SKU078</t>
        </is>
      </c>
      <c r="E1042" s="4" t="inlineStr">
        <is>
          <t>Power Bank 10000mAh</t>
        </is>
      </c>
      <c r="F1042" s="4" t="inlineStr">
        <is>
          <t>Electronics Accessories</t>
        </is>
      </c>
      <c r="G1042" s="4" t="inlineStr">
        <is>
          <t>B</t>
        </is>
      </c>
      <c r="H1042" s="11" t="n">
        <v>270</v>
      </c>
      <c r="I1042" s="4" t="n">
        <v>61.25</v>
      </c>
      <c r="J1042" s="13">
        <f>IF(I1042&gt;0,H1042/I1042,"")</f>
        <v/>
      </c>
      <c r="K1042" s="4">
        <f>IF(I1042&lt;=0,"NO DEMAND",IF(H1042=0,"STOCKOUT",IF(J1042&lt;Config!$B$5,"CRITICAL",IF(J1042&lt;Config!$B$6,"LOW",IF(J1042&gt;Config!$B$7,"EXCESS","HEALTHY")))))</f>
        <v/>
      </c>
      <c r="L1042" s="11" t="n">
        <v>359</v>
      </c>
      <c r="M1042" s="11" t="n">
        <v>471</v>
      </c>
      <c r="N1042" s="11">
        <f>H1042*L1042</f>
        <v/>
      </c>
      <c r="O1042" s="11">
        <f>IF(I1042&gt;0,I1042*(M1042-L1042),0)</f>
        <v/>
      </c>
      <c r="P1042" s="11" t="n">
        <v>400</v>
      </c>
    </row>
    <row r="1043">
      <c r="A1043" s="4" t="inlineStr">
        <is>
          <t>WH09</t>
        </is>
      </c>
      <c r="B1043" s="4" t="inlineStr">
        <is>
          <t>Hyderabad DC</t>
        </is>
      </c>
      <c r="C1043" s="4" t="inlineStr">
        <is>
          <t>South</t>
        </is>
      </c>
      <c r="D1043" s="4" t="inlineStr">
        <is>
          <t>SKU079</t>
        </is>
      </c>
      <c r="E1043" s="4" t="inlineStr">
        <is>
          <t>Wired Earphones</t>
        </is>
      </c>
      <c r="F1043" s="4" t="inlineStr">
        <is>
          <t>Electronics Accessories</t>
        </is>
      </c>
      <c r="G1043" s="4" t="inlineStr">
        <is>
          <t>A</t>
        </is>
      </c>
      <c r="H1043" s="11" t="n">
        <v>653</v>
      </c>
      <c r="I1043" s="4" t="n">
        <v>190</v>
      </c>
      <c r="J1043" s="13">
        <f>IF(I1043&gt;0,H1043/I1043,"")</f>
        <v/>
      </c>
      <c r="K1043" s="4">
        <f>IF(I1043&lt;=0,"NO DEMAND",IF(H1043=0,"STOCKOUT",IF(J1043&lt;Config!$B$5,"CRITICAL",IF(J1043&lt;Config!$B$6,"LOW",IF(J1043&gt;Config!$B$7,"EXCESS","HEALTHY")))))</f>
        <v/>
      </c>
      <c r="L1043" s="11" t="n">
        <v>1110</v>
      </c>
      <c r="M1043" s="11" t="n">
        <v>1412</v>
      </c>
      <c r="N1043" s="11">
        <f>H1043*L1043</f>
        <v/>
      </c>
      <c r="O1043" s="11">
        <f>IF(I1043&gt;0,I1043*(M1043-L1043),0)</f>
        <v/>
      </c>
      <c r="P1043" s="11" t="n">
        <v>770</v>
      </c>
    </row>
    <row r="1044">
      <c r="A1044" s="4" t="inlineStr">
        <is>
          <t>WH09</t>
        </is>
      </c>
      <c r="B1044" s="4" t="inlineStr">
        <is>
          <t>Hyderabad DC</t>
        </is>
      </c>
      <c r="C1044" s="4" t="inlineStr">
        <is>
          <t>South</t>
        </is>
      </c>
      <c r="D1044" s="4" t="inlineStr">
        <is>
          <t>SKU080</t>
        </is>
      </c>
      <c r="E1044" s="4" t="inlineStr">
        <is>
          <t>TWS Earbuds</t>
        </is>
      </c>
      <c r="F1044" s="4" t="inlineStr">
        <is>
          <t>Electronics Accessories</t>
        </is>
      </c>
      <c r="G1044" s="4" t="inlineStr">
        <is>
          <t>A</t>
        </is>
      </c>
      <c r="H1044" s="11" t="n">
        <v>1352</v>
      </c>
      <c r="I1044" s="4" t="n">
        <v>171.5</v>
      </c>
      <c r="J1044" s="13">
        <f>IF(I1044&gt;0,H1044/I1044,"")</f>
        <v/>
      </c>
      <c r="K1044" s="4">
        <f>IF(I1044&lt;=0,"NO DEMAND",IF(H1044=0,"STOCKOUT",IF(J1044&lt;Config!$B$5,"CRITICAL",IF(J1044&lt;Config!$B$6,"LOW",IF(J1044&gt;Config!$B$7,"EXCESS","HEALTHY")))))</f>
        <v/>
      </c>
      <c r="L1044" s="11" t="n">
        <v>2238</v>
      </c>
      <c r="M1044" s="11" t="n">
        <v>2947</v>
      </c>
      <c r="N1044" s="11">
        <f>H1044*L1044</f>
        <v/>
      </c>
      <c r="O1044" s="11">
        <f>IF(I1044&gt;0,I1044*(M1044-L1044),0)</f>
        <v/>
      </c>
      <c r="P1044" s="11" t="n">
        <v>0</v>
      </c>
    </row>
    <row r="1045">
      <c r="A1045" s="4" t="inlineStr">
        <is>
          <t>WH09</t>
        </is>
      </c>
      <c r="B1045" s="4" t="inlineStr">
        <is>
          <t>Hyderabad DC</t>
        </is>
      </c>
      <c r="C1045" s="4" t="inlineStr">
        <is>
          <t>South</t>
        </is>
      </c>
      <c r="D1045" s="4" t="inlineStr">
        <is>
          <t>SKU081</t>
        </is>
      </c>
      <c r="E1045" s="4" t="inlineStr">
        <is>
          <t>Bluetooth Speaker</t>
        </is>
      </c>
      <c r="F1045" s="4" t="inlineStr">
        <is>
          <t>Electronics Accessories</t>
        </is>
      </c>
      <c r="G1045" s="4" t="inlineStr">
        <is>
          <t>B</t>
        </is>
      </c>
      <c r="H1045" s="11" t="n">
        <v>0</v>
      </c>
      <c r="I1045" s="4" t="n">
        <v>161</v>
      </c>
      <c r="J1045" s="13">
        <f>IF(I1045&gt;0,H1045/I1045,"")</f>
        <v/>
      </c>
      <c r="K1045" s="4">
        <f>IF(I1045&lt;=0,"NO DEMAND",IF(H1045=0,"STOCKOUT",IF(J1045&lt;Config!$B$5,"CRITICAL",IF(J1045&lt;Config!$B$6,"LOW",IF(J1045&gt;Config!$B$7,"EXCESS","HEALTHY")))))</f>
        <v/>
      </c>
      <c r="L1045" s="11" t="n">
        <v>227</v>
      </c>
      <c r="M1045" s="11" t="n">
        <v>293</v>
      </c>
      <c r="N1045" s="11">
        <f>H1045*L1045</f>
        <v/>
      </c>
      <c r="O1045" s="11">
        <f>IF(I1045&gt;0,I1045*(M1045-L1045),0)</f>
        <v/>
      </c>
      <c r="P1045" s="11" t="n">
        <v>1650</v>
      </c>
    </row>
    <row r="1046">
      <c r="A1046" s="4" t="inlineStr">
        <is>
          <t>WH09</t>
        </is>
      </c>
      <c r="B1046" s="4" t="inlineStr">
        <is>
          <t>Hyderabad DC</t>
        </is>
      </c>
      <c r="C1046" s="4" t="inlineStr">
        <is>
          <t>South</t>
        </is>
      </c>
      <c r="D1046" s="4" t="inlineStr">
        <is>
          <t>SKU082</t>
        </is>
      </c>
      <c r="E1046" s="4" t="inlineStr">
        <is>
          <t>Phone Case</t>
        </is>
      </c>
      <c r="F1046" s="4" t="inlineStr">
        <is>
          <t>Electronics Accessories</t>
        </is>
      </c>
      <c r="G1046" s="4" t="inlineStr">
        <is>
          <t>B</t>
        </is>
      </c>
      <c r="H1046" s="11" t="n">
        <v>173</v>
      </c>
      <c r="I1046" s="4" t="n">
        <v>54.5</v>
      </c>
      <c r="J1046" s="13">
        <f>IF(I1046&gt;0,H1046/I1046,"")</f>
        <v/>
      </c>
      <c r="K1046" s="4">
        <f>IF(I1046&lt;=0,"NO DEMAND",IF(H1046=0,"STOCKOUT",IF(J1046&lt;Config!$B$5,"CRITICAL",IF(J1046&lt;Config!$B$6,"LOW",IF(J1046&gt;Config!$B$7,"EXCESS","HEALTHY")))))</f>
        <v/>
      </c>
      <c r="L1046" s="11" t="n">
        <v>665</v>
      </c>
      <c r="M1046" s="11" t="n">
        <v>835</v>
      </c>
      <c r="N1046" s="11">
        <f>H1046*L1046</f>
        <v/>
      </c>
      <c r="O1046" s="11">
        <f>IF(I1046&gt;0,I1046*(M1046-L1046),0)</f>
        <v/>
      </c>
      <c r="P1046" s="11" t="n">
        <v>280</v>
      </c>
    </row>
    <row r="1047">
      <c r="A1047" s="4" t="inlineStr">
        <is>
          <t>WH09</t>
        </is>
      </c>
      <c r="B1047" s="4" t="inlineStr">
        <is>
          <t>Hyderabad DC</t>
        </is>
      </c>
      <c r="C1047" s="4" t="inlineStr">
        <is>
          <t>South</t>
        </is>
      </c>
      <c r="D1047" s="4" t="inlineStr">
        <is>
          <t>SKU083</t>
        </is>
      </c>
      <c r="E1047" s="4" t="inlineStr">
        <is>
          <t>Screen Guard</t>
        </is>
      </c>
      <c r="F1047" s="4" t="inlineStr">
        <is>
          <t>Electronics Accessories</t>
        </is>
      </c>
      <c r="G1047" s="4" t="inlineStr">
        <is>
          <t>C</t>
        </is>
      </c>
      <c r="H1047" s="11" t="n">
        <v>0</v>
      </c>
      <c r="I1047" s="4" t="n">
        <v>136</v>
      </c>
      <c r="J1047" s="13">
        <f>IF(I1047&gt;0,H1047/I1047,"")</f>
        <v/>
      </c>
      <c r="K1047" s="4">
        <f>IF(I1047&lt;=0,"NO DEMAND",IF(H1047=0,"STOCKOUT",IF(J1047&lt;Config!$B$5,"CRITICAL",IF(J1047&lt;Config!$B$6,"LOW",IF(J1047&gt;Config!$B$7,"EXCESS","HEALTHY")))))</f>
        <v/>
      </c>
      <c r="L1047" s="11" t="n">
        <v>229</v>
      </c>
      <c r="M1047" s="11" t="n">
        <v>298</v>
      </c>
      <c r="N1047" s="11">
        <f>H1047*L1047</f>
        <v/>
      </c>
      <c r="O1047" s="11">
        <f>IF(I1047&gt;0,I1047*(M1047-L1047),0)</f>
        <v/>
      </c>
      <c r="P1047" s="11" t="n">
        <v>860</v>
      </c>
    </row>
    <row r="1048">
      <c r="A1048" s="4" t="inlineStr">
        <is>
          <t>WH09</t>
        </is>
      </c>
      <c r="B1048" s="4" t="inlineStr">
        <is>
          <t>Hyderabad DC</t>
        </is>
      </c>
      <c r="C1048" s="4" t="inlineStr">
        <is>
          <t>South</t>
        </is>
      </c>
      <c r="D1048" s="4" t="inlineStr">
        <is>
          <t>SKU084</t>
        </is>
      </c>
      <c r="E1048" s="4" t="inlineStr">
        <is>
          <t>LED Bulb 9W</t>
        </is>
      </c>
      <c r="F1048" s="4" t="inlineStr">
        <is>
          <t>Electronics Accessories</t>
        </is>
      </c>
      <c r="G1048" s="4" t="inlineStr">
        <is>
          <t>C</t>
        </is>
      </c>
      <c r="H1048" s="11" t="n">
        <v>365</v>
      </c>
      <c r="I1048" s="4" t="n">
        <v>67</v>
      </c>
      <c r="J1048" s="13">
        <f>IF(I1048&gt;0,H1048/I1048,"")</f>
        <v/>
      </c>
      <c r="K1048" s="4">
        <f>IF(I1048&lt;=0,"NO DEMAND",IF(H1048=0,"STOCKOUT",IF(J1048&lt;Config!$B$5,"CRITICAL",IF(J1048&lt;Config!$B$6,"LOW",IF(J1048&gt;Config!$B$7,"EXCESS","HEALTHY")))))</f>
        <v/>
      </c>
      <c r="L1048" s="11" t="n">
        <v>160</v>
      </c>
      <c r="M1048" s="11" t="n">
        <v>207</v>
      </c>
      <c r="N1048" s="11">
        <f>H1048*L1048</f>
        <v/>
      </c>
      <c r="O1048" s="11">
        <f>IF(I1048&gt;0,I1048*(M1048-L1048),0)</f>
        <v/>
      </c>
      <c r="P1048" s="11" t="n">
        <v>0</v>
      </c>
    </row>
    <row r="1049">
      <c r="A1049" s="4" t="inlineStr">
        <is>
          <t>WH09</t>
        </is>
      </c>
      <c r="B1049" s="4" t="inlineStr">
        <is>
          <t>Hyderabad DC</t>
        </is>
      </c>
      <c r="C1049" s="4" t="inlineStr">
        <is>
          <t>South</t>
        </is>
      </c>
      <c r="D1049" s="4" t="inlineStr">
        <is>
          <t>SKU085</t>
        </is>
      </c>
      <c r="E1049" s="4" t="inlineStr">
        <is>
          <t>Extension Board 4-socket</t>
        </is>
      </c>
      <c r="F1049" s="4" t="inlineStr">
        <is>
          <t>Electronics Accessories</t>
        </is>
      </c>
      <c r="G1049" s="4" t="inlineStr">
        <is>
          <t>B</t>
        </is>
      </c>
      <c r="H1049" s="11" t="n">
        <v>436</v>
      </c>
      <c r="I1049" s="4" t="n">
        <v>68</v>
      </c>
      <c r="J1049" s="13">
        <f>IF(I1049&gt;0,H1049/I1049,"")</f>
        <v/>
      </c>
      <c r="K1049" s="4">
        <f>IF(I1049&lt;=0,"NO DEMAND",IF(H1049=0,"STOCKOUT",IF(J1049&lt;Config!$B$5,"CRITICAL",IF(J1049&lt;Config!$B$6,"LOW",IF(J1049&gt;Config!$B$7,"EXCESS","HEALTHY")))))</f>
        <v/>
      </c>
      <c r="L1049" s="11" t="n">
        <v>336</v>
      </c>
      <c r="M1049" s="11" t="n">
        <v>431</v>
      </c>
      <c r="N1049" s="11">
        <f>H1049*L1049</f>
        <v/>
      </c>
      <c r="O1049" s="11">
        <f>IF(I1049&gt;0,I1049*(M1049-L1049),0)</f>
        <v/>
      </c>
      <c r="P1049" s="11" t="n">
        <v>0</v>
      </c>
    </row>
    <row r="1050">
      <c r="A1050" s="4" t="inlineStr">
        <is>
          <t>WH09</t>
        </is>
      </c>
      <c r="B1050" s="4" t="inlineStr">
        <is>
          <t>Hyderabad DC</t>
        </is>
      </c>
      <c r="C1050" s="4" t="inlineStr">
        <is>
          <t>South</t>
        </is>
      </c>
      <c r="D1050" s="4" t="inlineStr">
        <is>
          <t>SKU086</t>
        </is>
      </c>
      <c r="E1050" s="4" t="inlineStr">
        <is>
          <t>AA Batteries 10pk</t>
        </is>
      </c>
      <c r="F1050" s="4" t="inlineStr">
        <is>
          <t>Electronics Accessories</t>
        </is>
      </c>
      <c r="G1050" s="4" t="inlineStr">
        <is>
          <t>A</t>
        </is>
      </c>
      <c r="H1050" s="11" t="n">
        <v>627</v>
      </c>
      <c r="I1050" s="4" t="n">
        <v>246.5</v>
      </c>
      <c r="J1050" s="13">
        <f>IF(I1050&gt;0,H1050/I1050,"")</f>
        <v/>
      </c>
      <c r="K1050" s="4">
        <f>IF(I1050&lt;=0,"NO DEMAND",IF(H1050=0,"STOCKOUT",IF(J1050&lt;Config!$B$5,"CRITICAL",IF(J1050&lt;Config!$B$6,"LOW",IF(J1050&gt;Config!$B$7,"EXCESS","HEALTHY")))))</f>
        <v/>
      </c>
      <c r="L1050" s="11" t="n">
        <v>1335</v>
      </c>
      <c r="M1050" s="11" t="n">
        <v>1740</v>
      </c>
      <c r="N1050" s="11">
        <f>H1050*L1050</f>
        <v/>
      </c>
      <c r="O1050" s="11">
        <f>IF(I1050&gt;0,I1050*(M1050-L1050),0)</f>
        <v/>
      </c>
      <c r="P1050" s="11" t="n">
        <v>800</v>
      </c>
    </row>
    <row r="1051">
      <c r="A1051" s="4" t="inlineStr">
        <is>
          <t>WH09</t>
        </is>
      </c>
      <c r="B1051" s="4" t="inlineStr">
        <is>
          <t>Hyderabad DC</t>
        </is>
      </c>
      <c r="C1051" s="4" t="inlineStr">
        <is>
          <t>South</t>
        </is>
      </c>
      <c r="D1051" s="4" t="inlineStr">
        <is>
          <t>SKU087</t>
        </is>
      </c>
      <c r="E1051" s="4" t="inlineStr">
        <is>
          <t>SD Card 64GB</t>
        </is>
      </c>
      <c r="F1051" s="4" t="inlineStr">
        <is>
          <t>Electronics Accessories</t>
        </is>
      </c>
      <c r="G1051" s="4" t="inlineStr">
        <is>
          <t>A</t>
        </is>
      </c>
      <c r="H1051" s="11" t="n">
        <v>1137</v>
      </c>
      <c r="I1051" s="4" t="n">
        <v>184.25</v>
      </c>
      <c r="J1051" s="13">
        <f>IF(I1051&gt;0,H1051/I1051,"")</f>
        <v/>
      </c>
      <c r="K1051" s="4">
        <f>IF(I1051&lt;=0,"NO DEMAND",IF(H1051=0,"STOCKOUT",IF(J1051&lt;Config!$B$5,"CRITICAL",IF(J1051&lt;Config!$B$6,"LOW",IF(J1051&gt;Config!$B$7,"EXCESS","HEALTHY")))))</f>
        <v/>
      </c>
      <c r="L1051" s="11" t="n">
        <v>1750</v>
      </c>
      <c r="M1051" s="11" t="n">
        <v>2180</v>
      </c>
      <c r="N1051" s="11">
        <f>H1051*L1051</f>
        <v/>
      </c>
      <c r="O1051" s="11">
        <f>IF(I1051&gt;0,I1051*(M1051-L1051),0)</f>
        <v/>
      </c>
      <c r="P1051" s="11" t="n">
        <v>0</v>
      </c>
    </row>
    <row r="1052">
      <c r="A1052" s="4" t="inlineStr">
        <is>
          <t>WH09</t>
        </is>
      </c>
      <c r="B1052" s="4" t="inlineStr">
        <is>
          <t>Hyderabad DC</t>
        </is>
      </c>
      <c r="C1052" s="4" t="inlineStr">
        <is>
          <t>South</t>
        </is>
      </c>
      <c r="D1052" s="4" t="inlineStr">
        <is>
          <t>SKU088</t>
        </is>
      </c>
      <c r="E1052" s="4" t="inlineStr">
        <is>
          <t>Wireless Mouse</t>
        </is>
      </c>
      <c r="F1052" s="4" t="inlineStr">
        <is>
          <t>Electronics Accessories</t>
        </is>
      </c>
      <c r="G1052" s="4" t="inlineStr">
        <is>
          <t>A</t>
        </is>
      </c>
      <c r="H1052" s="11" t="n">
        <v>280</v>
      </c>
      <c r="I1052" s="4" t="n">
        <v>300.5</v>
      </c>
      <c r="J1052" s="13">
        <f>IF(I1052&gt;0,H1052/I1052,"")</f>
        <v/>
      </c>
      <c r="K1052" s="4">
        <f>IF(I1052&lt;=0,"NO DEMAND",IF(H1052=0,"STOCKOUT",IF(J1052&lt;Config!$B$5,"CRITICAL",IF(J1052&lt;Config!$B$6,"LOW",IF(J1052&gt;Config!$B$7,"EXCESS","HEALTHY")))))</f>
        <v/>
      </c>
      <c r="L1052" s="11" t="n">
        <v>429</v>
      </c>
      <c r="M1052" s="11" t="n">
        <v>534</v>
      </c>
      <c r="N1052" s="11">
        <f>H1052*L1052</f>
        <v/>
      </c>
      <c r="O1052" s="11">
        <f>IF(I1052&gt;0,I1052*(M1052-L1052),0)</f>
        <v/>
      </c>
      <c r="P1052" s="11" t="n">
        <v>1150</v>
      </c>
    </row>
    <row r="1053">
      <c r="A1053" s="4" t="inlineStr">
        <is>
          <t>WH09</t>
        </is>
      </c>
      <c r="B1053" s="4" t="inlineStr">
        <is>
          <t>Hyderabad DC</t>
        </is>
      </c>
      <c r="C1053" s="4" t="inlineStr">
        <is>
          <t>South</t>
        </is>
      </c>
      <c r="D1053" s="4" t="inlineStr">
        <is>
          <t>SKU089</t>
        </is>
      </c>
      <c r="E1053" s="4" t="inlineStr">
        <is>
          <t>USB Keyboard</t>
        </is>
      </c>
      <c r="F1053" s="4" t="inlineStr">
        <is>
          <t>Electronics Accessories</t>
        </is>
      </c>
      <c r="G1053" s="4" t="inlineStr">
        <is>
          <t>A</t>
        </is>
      </c>
      <c r="H1053" s="11" t="n">
        <v>468</v>
      </c>
      <c r="I1053" s="4" t="n">
        <v>183</v>
      </c>
      <c r="J1053" s="13">
        <f>IF(I1053&gt;0,H1053/I1053,"")</f>
        <v/>
      </c>
      <c r="K1053" s="4">
        <f>IF(I1053&lt;=0,"NO DEMAND",IF(H1053=0,"STOCKOUT",IF(J1053&lt;Config!$B$5,"CRITICAL",IF(J1053&lt;Config!$B$6,"LOW",IF(J1053&gt;Config!$B$7,"EXCESS","HEALTHY")))))</f>
        <v/>
      </c>
      <c r="L1053" s="11" t="n">
        <v>2249</v>
      </c>
      <c r="M1053" s="11" t="n">
        <v>2812</v>
      </c>
      <c r="N1053" s="11">
        <f>H1053*L1053</f>
        <v/>
      </c>
      <c r="O1053" s="11">
        <f>IF(I1053&gt;0,I1053*(M1053-L1053),0)</f>
        <v/>
      </c>
      <c r="P1053" s="11" t="n">
        <v>880</v>
      </c>
    </row>
    <row r="1054">
      <c r="A1054" s="4" t="inlineStr">
        <is>
          <t>WH09</t>
        </is>
      </c>
      <c r="B1054" s="4" t="inlineStr">
        <is>
          <t>Hyderabad DC</t>
        </is>
      </c>
      <c r="C1054" s="4" t="inlineStr">
        <is>
          <t>South</t>
        </is>
      </c>
      <c r="D1054" s="4" t="inlineStr">
        <is>
          <t>SKU090</t>
        </is>
      </c>
      <c r="E1054" s="4" t="inlineStr">
        <is>
          <t>HDMI Cable 2m</t>
        </is>
      </c>
      <c r="F1054" s="4" t="inlineStr">
        <is>
          <t>Electronics Accessories</t>
        </is>
      </c>
      <c r="G1054" s="4" t="inlineStr">
        <is>
          <t>C</t>
        </is>
      </c>
      <c r="H1054" s="11" t="n">
        <v>205</v>
      </c>
      <c r="I1054" s="4" t="n">
        <v>46</v>
      </c>
      <c r="J1054" s="13">
        <f>IF(I1054&gt;0,H1054/I1054,"")</f>
        <v/>
      </c>
      <c r="K1054" s="4">
        <f>IF(I1054&lt;=0,"NO DEMAND",IF(H1054=0,"STOCKOUT",IF(J1054&lt;Config!$B$5,"CRITICAL",IF(J1054&lt;Config!$B$6,"LOW",IF(J1054&gt;Config!$B$7,"EXCESS","HEALTHY")))))</f>
        <v/>
      </c>
      <c r="L1054" s="11" t="n">
        <v>292</v>
      </c>
      <c r="M1054" s="11" t="n">
        <v>378</v>
      </c>
      <c r="N1054" s="11">
        <f>H1054*L1054</f>
        <v/>
      </c>
      <c r="O1054" s="11">
        <f>IF(I1054&gt;0,I1054*(M1054-L1054),0)</f>
        <v/>
      </c>
      <c r="P1054" s="11" t="n">
        <v>200</v>
      </c>
    </row>
    <row r="1055">
      <c r="A1055" s="4" t="inlineStr">
        <is>
          <t>WH09</t>
        </is>
      </c>
      <c r="B1055" s="4" t="inlineStr">
        <is>
          <t>Hyderabad DC</t>
        </is>
      </c>
      <c r="C1055" s="4" t="inlineStr">
        <is>
          <t>South</t>
        </is>
      </c>
      <c r="D1055" s="4" t="inlineStr">
        <is>
          <t>SKU091</t>
        </is>
      </c>
      <c r="E1055" s="4" t="inlineStr">
        <is>
          <t>Paracetamol 500mg 15s</t>
        </is>
      </c>
      <c r="F1055" s="4" t="inlineStr">
        <is>
          <t>OTC Pharma &amp; Wellness</t>
        </is>
      </c>
      <c r="G1055" s="4" t="inlineStr">
        <is>
          <t>C</t>
        </is>
      </c>
      <c r="H1055" s="11" t="n">
        <v>2217</v>
      </c>
      <c r="I1055" s="4" t="n">
        <v>233</v>
      </c>
      <c r="J1055" s="13">
        <f>IF(I1055&gt;0,H1055/I1055,"")</f>
        <v/>
      </c>
      <c r="K1055" s="4">
        <f>IF(I1055&lt;=0,"NO DEMAND",IF(H1055=0,"STOCKOUT",IF(J1055&lt;Config!$B$5,"CRITICAL",IF(J1055&lt;Config!$B$6,"LOW",IF(J1055&gt;Config!$B$7,"EXCESS","HEALTHY")))))</f>
        <v/>
      </c>
      <c r="L1055" s="11" t="n">
        <v>113</v>
      </c>
      <c r="M1055" s="11" t="n">
        <v>144</v>
      </c>
      <c r="N1055" s="11">
        <f>H1055*L1055</f>
        <v/>
      </c>
      <c r="O1055" s="11">
        <f>IF(I1055&gt;0,I1055*(M1055-L1055),0)</f>
        <v/>
      </c>
      <c r="P1055" s="11" t="n">
        <v>0</v>
      </c>
    </row>
    <row r="1056">
      <c r="A1056" s="4" t="inlineStr">
        <is>
          <t>WH09</t>
        </is>
      </c>
      <c r="B1056" s="4" t="inlineStr">
        <is>
          <t>Hyderabad DC</t>
        </is>
      </c>
      <c r="C1056" s="4" t="inlineStr">
        <is>
          <t>South</t>
        </is>
      </c>
      <c r="D1056" s="4" t="inlineStr">
        <is>
          <t>SKU092</t>
        </is>
      </c>
      <c r="E1056" s="4" t="inlineStr">
        <is>
          <t>ORS Sachets 10pk</t>
        </is>
      </c>
      <c r="F1056" s="4" t="inlineStr">
        <is>
          <t>OTC Pharma &amp; Wellness</t>
        </is>
      </c>
      <c r="G1056" s="4" t="inlineStr">
        <is>
          <t>C</t>
        </is>
      </c>
      <c r="H1056" s="11" t="n">
        <v>861</v>
      </c>
      <c r="I1056" s="4" t="n">
        <v>353.5</v>
      </c>
      <c r="J1056" s="13">
        <f>IF(I1056&gt;0,H1056/I1056,"")</f>
        <v/>
      </c>
      <c r="K1056" s="4">
        <f>IF(I1056&lt;=0,"NO DEMAND",IF(H1056=0,"STOCKOUT",IF(J1056&lt;Config!$B$5,"CRITICAL",IF(J1056&lt;Config!$B$6,"LOW",IF(J1056&gt;Config!$B$7,"EXCESS","HEALTHY")))))</f>
        <v/>
      </c>
      <c r="L1056" s="11" t="n">
        <v>55</v>
      </c>
      <c r="M1056" s="11" t="n">
        <v>75</v>
      </c>
      <c r="N1056" s="11">
        <f>H1056*L1056</f>
        <v/>
      </c>
      <c r="O1056" s="11">
        <f>IF(I1056&gt;0,I1056*(M1056-L1056),0)</f>
        <v/>
      </c>
      <c r="P1056" s="11" t="n">
        <v>1284</v>
      </c>
    </row>
    <row r="1057">
      <c r="A1057" s="4" t="inlineStr">
        <is>
          <t>WH09</t>
        </is>
      </c>
      <c r="B1057" s="4" t="inlineStr">
        <is>
          <t>Hyderabad DC</t>
        </is>
      </c>
      <c r="C1057" s="4" t="inlineStr">
        <is>
          <t>South</t>
        </is>
      </c>
      <c r="D1057" s="4" t="inlineStr">
        <is>
          <t>SKU093</t>
        </is>
      </c>
      <c r="E1057" s="4" t="inlineStr">
        <is>
          <t>Antacid Syrup 200ml</t>
        </is>
      </c>
      <c r="F1057" s="4" t="inlineStr">
        <is>
          <t>OTC Pharma &amp; Wellness</t>
        </is>
      </c>
      <c r="G1057" s="4" t="inlineStr">
        <is>
          <t>A</t>
        </is>
      </c>
      <c r="H1057" s="11" t="n">
        <v>775</v>
      </c>
      <c r="I1057" s="4" t="n">
        <v>335.5</v>
      </c>
      <c r="J1057" s="13">
        <f>IF(I1057&gt;0,H1057/I1057,"")</f>
        <v/>
      </c>
      <c r="K1057" s="4">
        <f>IF(I1057&lt;=0,"NO DEMAND",IF(H1057=0,"STOCKOUT",IF(J1057&lt;Config!$B$5,"CRITICAL",IF(J1057&lt;Config!$B$6,"LOW",IF(J1057&gt;Config!$B$7,"EXCESS","HEALTHY")))))</f>
        <v/>
      </c>
      <c r="L1057" s="11" t="n">
        <v>277</v>
      </c>
      <c r="M1057" s="11" t="n">
        <v>362</v>
      </c>
      <c r="N1057" s="11">
        <f>H1057*L1057</f>
        <v/>
      </c>
      <c r="O1057" s="11">
        <f>IF(I1057&gt;0,I1057*(M1057-L1057),0)</f>
        <v/>
      </c>
      <c r="P1057" s="11" t="n">
        <v>0</v>
      </c>
    </row>
    <row r="1058">
      <c r="A1058" s="4" t="inlineStr">
        <is>
          <t>WH09</t>
        </is>
      </c>
      <c r="B1058" s="4" t="inlineStr">
        <is>
          <t>Hyderabad DC</t>
        </is>
      </c>
      <c r="C1058" s="4" t="inlineStr">
        <is>
          <t>South</t>
        </is>
      </c>
      <c r="D1058" s="4" t="inlineStr">
        <is>
          <t>SKU094</t>
        </is>
      </c>
      <c r="E1058" s="4" t="inlineStr">
        <is>
          <t>Cough Syrup 100ml</t>
        </is>
      </c>
      <c r="F1058" s="4" t="inlineStr">
        <is>
          <t>OTC Pharma &amp; Wellness</t>
        </is>
      </c>
      <c r="G1058" s="4" t="inlineStr">
        <is>
          <t>B</t>
        </is>
      </c>
      <c r="H1058" s="11" t="n">
        <v>432</v>
      </c>
      <c r="I1058" s="4" t="n">
        <v>357.25</v>
      </c>
      <c r="J1058" s="13">
        <f>IF(I1058&gt;0,H1058/I1058,"")</f>
        <v/>
      </c>
      <c r="K1058" s="4">
        <f>IF(I1058&lt;=0,"NO DEMAND",IF(H1058=0,"STOCKOUT",IF(J1058&lt;Config!$B$5,"CRITICAL",IF(J1058&lt;Config!$B$6,"LOW",IF(J1058&gt;Config!$B$7,"EXCESS","HEALTHY")))))</f>
        <v/>
      </c>
      <c r="L1058" s="11" t="n">
        <v>190</v>
      </c>
      <c r="M1058" s="11" t="n">
        <v>254</v>
      </c>
      <c r="N1058" s="11">
        <f>H1058*L1058</f>
        <v/>
      </c>
      <c r="O1058" s="11">
        <f>IF(I1058&gt;0,I1058*(M1058-L1058),0)</f>
        <v/>
      </c>
      <c r="P1058" s="11" t="n">
        <v>1308</v>
      </c>
    </row>
    <row r="1059">
      <c r="A1059" s="4" t="inlineStr">
        <is>
          <t>WH09</t>
        </is>
      </c>
      <c r="B1059" s="4" t="inlineStr">
        <is>
          <t>Hyderabad DC</t>
        </is>
      </c>
      <c r="C1059" s="4" t="inlineStr">
        <is>
          <t>South</t>
        </is>
      </c>
      <c r="D1059" s="4" t="inlineStr">
        <is>
          <t>SKU095</t>
        </is>
      </c>
      <c r="E1059" s="4" t="inlineStr">
        <is>
          <t>Multivitamin 30s</t>
        </is>
      </c>
      <c r="F1059" s="4" t="inlineStr">
        <is>
          <t>OTC Pharma &amp; Wellness</t>
        </is>
      </c>
      <c r="G1059" s="4" t="inlineStr">
        <is>
          <t>B</t>
        </is>
      </c>
      <c r="H1059" s="11" t="n">
        <v>284</v>
      </c>
      <c r="I1059" s="4" t="n">
        <v>189.25</v>
      </c>
      <c r="J1059" s="13">
        <f>IF(I1059&gt;0,H1059/I1059,"")</f>
        <v/>
      </c>
      <c r="K1059" s="4">
        <f>IF(I1059&lt;=0,"NO DEMAND",IF(H1059=0,"STOCKOUT",IF(J1059&lt;Config!$B$5,"CRITICAL",IF(J1059&lt;Config!$B$6,"LOW",IF(J1059&gt;Config!$B$7,"EXCESS","HEALTHY")))))</f>
        <v/>
      </c>
      <c r="L1059" s="11" t="n">
        <v>178</v>
      </c>
      <c r="M1059" s="11" t="n">
        <v>237</v>
      </c>
      <c r="N1059" s="11">
        <f>H1059*L1059</f>
        <v/>
      </c>
      <c r="O1059" s="11">
        <f>IF(I1059&gt;0,I1059*(M1059-L1059),0)</f>
        <v/>
      </c>
      <c r="P1059" s="11" t="n">
        <v>600</v>
      </c>
    </row>
    <row r="1060">
      <c r="A1060" s="4" t="inlineStr">
        <is>
          <t>WH09</t>
        </is>
      </c>
      <c r="B1060" s="4" t="inlineStr">
        <is>
          <t>Hyderabad DC</t>
        </is>
      </c>
      <c r="C1060" s="4" t="inlineStr">
        <is>
          <t>South</t>
        </is>
      </c>
      <c r="D1060" s="4" t="inlineStr">
        <is>
          <t>SKU096</t>
        </is>
      </c>
      <c r="E1060" s="4" t="inlineStr">
        <is>
          <t>Antiseptic Liquid 250ml</t>
        </is>
      </c>
      <c r="F1060" s="4" t="inlineStr">
        <is>
          <t>OTC Pharma &amp; Wellness</t>
        </is>
      </c>
      <c r="G1060" s="4" t="inlineStr">
        <is>
          <t>C</t>
        </is>
      </c>
      <c r="H1060" s="11" t="n">
        <v>879</v>
      </c>
      <c r="I1060" s="4" t="n">
        <v>155.25</v>
      </c>
      <c r="J1060" s="13">
        <f>IF(I1060&gt;0,H1060/I1060,"")</f>
        <v/>
      </c>
      <c r="K1060" s="4">
        <f>IF(I1060&lt;=0,"NO DEMAND",IF(H1060=0,"STOCKOUT",IF(J1060&lt;Config!$B$5,"CRITICAL",IF(J1060&lt;Config!$B$6,"LOW",IF(J1060&gt;Config!$B$7,"EXCESS","HEALTHY")))))</f>
        <v/>
      </c>
      <c r="L1060" s="11" t="n">
        <v>88</v>
      </c>
      <c r="M1060" s="11" t="n">
        <v>112</v>
      </c>
      <c r="N1060" s="11">
        <f>H1060*L1060</f>
        <v/>
      </c>
      <c r="O1060" s="11">
        <f>IF(I1060&gt;0,I1060*(M1060-L1060),0)</f>
        <v/>
      </c>
      <c r="P1060" s="11" t="n">
        <v>0</v>
      </c>
    </row>
    <row r="1061">
      <c r="A1061" s="4" t="inlineStr">
        <is>
          <t>WH09</t>
        </is>
      </c>
      <c r="B1061" s="4" t="inlineStr">
        <is>
          <t>Hyderabad DC</t>
        </is>
      </c>
      <c r="C1061" s="4" t="inlineStr">
        <is>
          <t>South</t>
        </is>
      </c>
      <c r="D1061" s="4" t="inlineStr">
        <is>
          <t>SKU097</t>
        </is>
      </c>
      <c r="E1061" s="4" t="inlineStr">
        <is>
          <t>Pain Balm 50g</t>
        </is>
      </c>
      <c r="F1061" s="4" t="inlineStr">
        <is>
          <t>OTC Pharma &amp; Wellness</t>
        </is>
      </c>
      <c r="G1061" s="4" t="inlineStr">
        <is>
          <t>C</t>
        </is>
      </c>
      <c r="H1061" s="11" t="n">
        <v>375</v>
      </c>
      <c r="I1061" s="4" t="n">
        <v>26.5</v>
      </c>
      <c r="J1061" s="13">
        <f>IF(I1061&gt;0,H1061/I1061,"")</f>
        <v/>
      </c>
      <c r="K1061" s="4">
        <f>IF(I1061&lt;=0,"NO DEMAND",IF(H1061=0,"STOCKOUT",IF(J1061&lt;Config!$B$5,"CRITICAL",IF(J1061&lt;Config!$B$6,"LOW",IF(J1061&gt;Config!$B$7,"EXCESS","HEALTHY")))))</f>
        <v/>
      </c>
      <c r="L1061" s="11" t="n">
        <v>68</v>
      </c>
      <c r="M1061" s="11" t="n">
        <v>91</v>
      </c>
      <c r="N1061" s="11">
        <f>H1061*L1061</f>
        <v/>
      </c>
      <c r="O1061" s="11">
        <f>IF(I1061&gt;0,I1061*(M1061-L1061),0)</f>
        <v/>
      </c>
      <c r="P1061" s="11" t="n">
        <v>0</v>
      </c>
    </row>
    <row r="1062">
      <c r="A1062" s="4" t="inlineStr">
        <is>
          <t>WH09</t>
        </is>
      </c>
      <c r="B1062" s="4" t="inlineStr">
        <is>
          <t>Hyderabad DC</t>
        </is>
      </c>
      <c r="C1062" s="4" t="inlineStr">
        <is>
          <t>South</t>
        </is>
      </c>
      <c r="D1062" s="4" t="inlineStr">
        <is>
          <t>SKU098</t>
        </is>
      </c>
      <c r="E1062" s="4" t="inlineStr">
        <is>
          <t>Bandage Pack</t>
        </is>
      </c>
      <c r="F1062" s="4" t="inlineStr">
        <is>
          <t>OTC Pharma &amp; Wellness</t>
        </is>
      </c>
      <c r="G1062" s="4" t="inlineStr">
        <is>
          <t>C</t>
        </is>
      </c>
      <c r="H1062" s="11" t="n">
        <v>888</v>
      </c>
      <c r="I1062" s="4" t="n">
        <v>303.75</v>
      </c>
      <c r="J1062" s="13">
        <f>IF(I1062&gt;0,H1062/I1062,"")</f>
        <v/>
      </c>
      <c r="K1062" s="4">
        <f>IF(I1062&lt;=0,"NO DEMAND",IF(H1062=0,"STOCKOUT",IF(J1062&lt;Config!$B$5,"CRITICAL",IF(J1062&lt;Config!$B$6,"LOW",IF(J1062&gt;Config!$B$7,"EXCESS","HEALTHY")))))</f>
        <v/>
      </c>
      <c r="L1062" s="11" t="n">
        <v>49</v>
      </c>
      <c r="M1062" s="11" t="n">
        <v>66</v>
      </c>
      <c r="N1062" s="11">
        <f>H1062*L1062</f>
        <v/>
      </c>
      <c r="O1062" s="11">
        <f>IF(I1062&gt;0,I1062*(M1062-L1062),0)</f>
        <v/>
      </c>
      <c r="P1062" s="11" t="n">
        <v>1140</v>
      </c>
    </row>
    <row r="1063">
      <c r="A1063" s="4" t="inlineStr">
        <is>
          <t>WH09</t>
        </is>
      </c>
      <c r="B1063" s="4" t="inlineStr">
        <is>
          <t>Hyderabad DC</t>
        </is>
      </c>
      <c r="C1063" s="4" t="inlineStr">
        <is>
          <t>South</t>
        </is>
      </c>
      <c r="D1063" s="4" t="inlineStr">
        <is>
          <t>SKU099</t>
        </is>
      </c>
      <c r="E1063" s="4" t="inlineStr">
        <is>
          <t>Digital Thermometer</t>
        </is>
      </c>
      <c r="F1063" s="4" t="inlineStr">
        <is>
          <t>OTC Pharma &amp; Wellness</t>
        </is>
      </c>
      <c r="G1063" s="4" t="inlineStr">
        <is>
          <t>B</t>
        </is>
      </c>
      <c r="H1063" s="11" t="n">
        <v>2388</v>
      </c>
      <c r="I1063" s="4" t="n">
        <v>522.25</v>
      </c>
      <c r="J1063" s="13">
        <f>IF(I1063&gt;0,H1063/I1063,"")</f>
        <v/>
      </c>
      <c r="K1063" s="4">
        <f>IF(I1063&lt;=0,"NO DEMAND",IF(H1063=0,"STOCKOUT",IF(J1063&lt;Config!$B$5,"CRITICAL",IF(J1063&lt;Config!$B$6,"LOW",IF(J1063&gt;Config!$B$7,"EXCESS","HEALTHY")))))</f>
        <v/>
      </c>
      <c r="L1063" s="11" t="n">
        <v>88</v>
      </c>
      <c r="M1063" s="11" t="n">
        <v>112</v>
      </c>
      <c r="N1063" s="11">
        <f>H1063*L1063</f>
        <v/>
      </c>
      <c r="O1063" s="11">
        <f>IF(I1063&gt;0,I1063*(M1063-L1063),0)</f>
        <v/>
      </c>
      <c r="P1063" s="11" t="n">
        <v>0</v>
      </c>
    </row>
    <row r="1064">
      <c r="A1064" s="4" t="inlineStr">
        <is>
          <t>WH09</t>
        </is>
      </c>
      <c r="B1064" s="4" t="inlineStr">
        <is>
          <t>Hyderabad DC</t>
        </is>
      </c>
      <c r="C1064" s="4" t="inlineStr">
        <is>
          <t>South</t>
        </is>
      </c>
      <c r="D1064" s="4" t="inlineStr">
        <is>
          <t>SKU100</t>
        </is>
      </c>
      <c r="E1064" s="4" t="inlineStr">
        <is>
          <t>Glucose Powder 500g</t>
        </is>
      </c>
      <c r="F1064" s="4" t="inlineStr">
        <is>
          <t>OTC Pharma &amp; Wellness</t>
        </is>
      </c>
      <c r="G1064" s="4" t="inlineStr">
        <is>
          <t>C</t>
        </is>
      </c>
      <c r="H1064" s="11" t="n">
        <v>102</v>
      </c>
      <c r="I1064" s="4" t="n">
        <v>21.25</v>
      </c>
      <c r="J1064" s="13">
        <f>IF(I1064&gt;0,H1064/I1064,"")</f>
        <v/>
      </c>
      <c r="K1064" s="4">
        <f>IF(I1064&lt;=0,"NO DEMAND",IF(H1064=0,"STOCKOUT",IF(J1064&lt;Config!$B$5,"CRITICAL",IF(J1064&lt;Config!$B$6,"LOW",IF(J1064&gt;Config!$B$7,"EXCESS","HEALTHY")))))</f>
        <v/>
      </c>
      <c r="L1064" s="11" t="n">
        <v>32</v>
      </c>
      <c r="M1064" s="11" t="n">
        <v>42</v>
      </c>
      <c r="N1064" s="11">
        <f>H1064*L1064</f>
        <v/>
      </c>
      <c r="O1064" s="11">
        <f>IF(I1064&gt;0,I1064*(M1064-L1064),0)</f>
        <v/>
      </c>
      <c r="P1064" s="11" t="n">
        <v>0</v>
      </c>
    </row>
    <row r="1065">
      <c r="A1065" s="4" t="inlineStr">
        <is>
          <t>WH09</t>
        </is>
      </c>
      <c r="B1065" s="4" t="inlineStr">
        <is>
          <t>Hyderabad DC</t>
        </is>
      </c>
      <c r="C1065" s="4" t="inlineStr">
        <is>
          <t>South</t>
        </is>
      </c>
      <c r="D1065" s="4" t="inlineStr">
        <is>
          <t>SKU101</t>
        </is>
      </c>
      <c r="E1065" s="4" t="inlineStr">
        <is>
          <t>Vitamin C 30s</t>
        </is>
      </c>
      <c r="F1065" s="4" t="inlineStr">
        <is>
          <t>OTC Pharma &amp; Wellness</t>
        </is>
      </c>
      <c r="G1065" s="4" t="inlineStr">
        <is>
          <t>B</t>
        </is>
      </c>
      <c r="H1065" s="11" t="n">
        <v>544</v>
      </c>
      <c r="I1065" s="4" t="n">
        <v>226</v>
      </c>
      <c r="J1065" s="13">
        <f>IF(I1065&gt;0,H1065/I1065,"")</f>
        <v/>
      </c>
      <c r="K1065" s="4">
        <f>IF(I1065&lt;=0,"NO DEMAND",IF(H1065=0,"STOCKOUT",IF(J1065&lt;Config!$B$5,"CRITICAL",IF(J1065&lt;Config!$B$6,"LOW",IF(J1065&gt;Config!$B$7,"EXCESS","HEALTHY")))))</f>
        <v/>
      </c>
      <c r="L1065" s="11" t="n">
        <v>176</v>
      </c>
      <c r="M1065" s="11" t="n">
        <v>237</v>
      </c>
      <c r="N1065" s="11">
        <f>H1065*L1065</f>
        <v/>
      </c>
      <c r="O1065" s="11">
        <f>IF(I1065&gt;0,I1065*(M1065-L1065),0)</f>
        <v/>
      </c>
      <c r="P1065" s="11" t="n">
        <v>960</v>
      </c>
    </row>
    <row r="1066">
      <c r="A1066" s="4" t="inlineStr">
        <is>
          <t>WH09</t>
        </is>
      </c>
      <c r="B1066" s="4" t="inlineStr">
        <is>
          <t>Hyderabad DC</t>
        </is>
      </c>
      <c r="C1066" s="4" t="inlineStr">
        <is>
          <t>South</t>
        </is>
      </c>
      <c r="D1066" s="4" t="inlineStr">
        <is>
          <t>SKU102</t>
        </is>
      </c>
      <c r="E1066" s="4" t="inlineStr">
        <is>
          <t>Eye Drops 10ml</t>
        </is>
      </c>
      <c r="F1066" s="4" t="inlineStr">
        <is>
          <t>OTC Pharma &amp; Wellness</t>
        </is>
      </c>
      <c r="G1066" s="4" t="inlineStr">
        <is>
          <t>C</t>
        </is>
      </c>
      <c r="H1066" s="11" t="n">
        <v>1437</v>
      </c>
      <c r="I1066" s="4" t="n">
        <v>454.5</v>
      </c>
      <c r="J1066" s="13">
        <f>IF(I1066&gt;0,H1066/I1066,"")</f>
        <v/>
      </c>
      <c r="K1066" s="4">
        <f>IF(I1066&lt;=0,"NO DEMAND",IF(H1066=0,"STOCKOUT",IF(J1066&lt;Config!$B$5,"CRITICAL",IF(J1066&lt;Config!$B$6,"LOW",IF(J1066&gt;Config!$B$7,"EXCESS","HEALTHY")))))</f>
        <v/>
      </c>
      <c r="L1066" s="11" t="n">
        <v>72</v>
      </c>
      <c r="M1066" s="11" t="n">
        <v>92</v>
      </c>
      <c r="N1066" s="11">
        <f>H1066*L1066</f>
        <v/>
      </c>
      <c r="O1066" s="11">
        <f>IF(I1066&gt;0,I1066*(M1066-L1066),0)</f>
        <v/>
      </c>
      <c r="P1066" s="11" t="n">
        <v>0</v>
      </c>
    </row>
    <row r="1067">
      <c r="A1067" s="4" t="inlineStr">
        <is>
          <t>WH09</t>
        </is>
      </c>
      <c r="B1067" s="4" t="inlineStr">
        <is>
          <t>Hyderabad DC</t>
        </is>
      </c>
      <c r="C1067" s="4" t="inlineStr">
        <is>
          <t>South</t>
        </is>
      </c>
      <c r="D1067" s="4" t="inlineStr">
        <is>
          <t>SKU103</t>
        </is>
      </c>
      <c r="E1067" s="4" t="inlineStr">
        <is>
          <t>Zinc Tablets 20s</t>
        </is>
      </c>
      <c r="F1067" s="4" t="inlineStr">
        <is>
          <t>OTC Pharma &amp; Wellness</t>
        </is>
      </c>
      <c r="G1067" s="4" t="inlineStr">
        <is>
          <t>C</t>
        </is>
      </c>
      <c r="H1067" s="11" t="n">
        <v>263</v>
      </c>
      <c r="I1067" s="4" t="n">
        <v>107</v>
      </c>
      <c r="J1067" s="13">
        <f>IF(I1067&gt;0,H1067/I1067,"")</f>
        <v/>
      </c>
      <c r="K1067" s="4">
        <f>IF(I1067&lt;=0,"NO DEMAND",IF(H1067=0,"STOCKOUT",IF(J1067&lt;Config!$B$5,"CRITICAL",IF(J1067&lt;Config!$B$6,"LOW",IF(J1067&gt;Config!$B$7,"EXCESS","HEALTHY")))))</f>
        <v/>
      </c>
      <c r="L1067" s="11" t="n">
        <v>169</v>
      </c>
      <c r="M1067" s="11" t="n">
        <v>216</v>
      </c>
      <c r="N1067" s="11">
        <f>H1067*L1067</f>
        <v/>
      </c>
      <c r="O1067" s="11">
        <f>IF(I1067&gt;0,I1067*(M1067-L1067),0)</f>
        <v/>
      </c>
      <c r="P1067" s="11" t="n">
        <v>0</v>
      </c>
    </row>
    <row r="1068">
      <c r="A1068" s="4" t="inlineStr">
        <is>
          <t>WH09</t>
        </is>
      </c>
      <c r="B1068" s="4" t="inlineStr">
        <is>
          <t>Hyderabad DC</t>
        </is>
      </c>
      <c r="C1068" s="4" t="inlineStr">
        <is>
          <t>South</t>
        </is>
      </c>
      <c r="D1068" s="4" t="inlineStr">
        <is>
          <t>SKU104</t>
        </is>
      </c>
      <c r="E1068" s="4" t="inlineStr">
        <is>
          <t>Hand Sanitizer 500ml</t>
        </is>
      </c>
      <c r="F1068" s="4" t="inlineStr">
        <is>
          <t>OTC Pharma &amp; Wellness</t>
        </is>
      </c>
      <c r="G1068" s="4" t="inlineStr">
        <is>
          <t>C</t>
        </is>
      </c>
      <c r="H1068" s="11" t="n">
        <v>847</v>
      </c>
      <c r="I1068" s="4" t="n">
        <v>149.75</v>
      </c>
      <c r="J1068" s="13">
        <f>IF(I1068&gt;0,H1068/I1068,"")</f>
        <v/>
      </c>
      <c r="K1068" s="4">
        <f>IF(I1068&lt;=0,"NO DEMAND",IF(H1068=0,"STOCKOUT",IF(J1068&lt;Config!$B$5,"CRITICAL",IF(J1068&lt;Config!$B$6,"LOW",IF(J1068&gt;Config!$B$7,"EXCESS","HEALTHY")))))</f>
        <v/>
      </c>
      <c r="L1068" s="11" t="n">
        <v>37</v>
      </c>
      <c r="M1068" s="11" t="n">
        <v>48</v>
      </c>
      <c r="N1068" s="11">
        <f>H1068*L1068</f>
        <v/>
      </c>
      <c r="O1068" s="11">
        <f>IF(I1068&gt;0,I1068*(M1068-L1068),0)</f>
        <v/>
      </c>
      <c r="P1068" s="11" t="n">
        <v>0</v>
      </c>
    </row>
    <row r="1069">
      <c r="A1069" s="4" t="inlineStr">
        <is>
          <t>WH09</t>
        </is>
      </c>
      <c r="B1069" s="4" t="inlineStr">
        <is>
          <t>Hyderabad DC</t>
        </is>
      </c>
      <c r="C1069" s="4" t="inlineStr">
        <is>
          <t>South</t>
        </is>
      </c>
      <c r="D1069" s="4" t="inlineStr">
        <is>
          <t>SKU105</t>
        </is>
      </c>
      <c r="E1069" s="4" t="inlineStr">
        <is>
          <t>Face Masks 50pk</t>
        </is>
      </c>
      <c r="F1069" s="4" t="inlineStr">
        <is>
          <t>OTC Pharma &amp; Wellness</t>
        </is>
      </c>
      <c r="G1069" s="4" t="inlineStr">
        <is>
          <t>C</t>
        </is>
      </c>
      <c r="H1069" s="11" t="n">
        <v>207</v>
      </c>
      <c r="I1069" s="4" t="n">
        <v>246.75</v>
      </c>
      <c r="J1069" s="13">
        <f>IF(I1069&gt;0,H1069/I1069,"")</f>
        <v/>
      </c>
      <c r="K1069" s="4">
        <f>IF(I1069&lt;=0,"NO DEMAND",IF(H1069=0,"STOCKOUT",IF(J1069&lt;Config!$B$5,"CRITICAL",IF(J1069&lt;Config!$B$6,"LOW",IF(J1069&gt;Config!$B$7,"EXCESS","HEALTHY")))))</f>
        <v/>
      </c>
      <c r="L1069" s="11" t="n">
        <v>92</v>
      </c>
      <c r="M1069" s="11" t="n">
        <v>121</v>
      </c>
      <c r="N1069" s="11">
        <f>H1069*L1069</f>
        <v/>
      </c>
      <c r="O1069" s="11">
        <f>IF(I1069&gt;0,I1069*(M1069-L1069),0)</f>
        <v/>
      </c>
      <c r="P1069" s="11" t="n">
        <v>1116</v>
      </c>
    </row>
    <row r="1070">
      <c r="A1070" s="4" t="inlineStr">
        <is>
          <t>WH09</t>
        </is>
      </c>
      <c r="B1070" s="4" t="inlineStr">
        <is>
          <t>Hyderabad DC</t>
        </is>
      </c>
      <c r="C1070" s="4" t="inlineStr">
        <is>
          <t>South</t>
        </is>
      </c>
      <c r="D1070" s="4" t="inlineStr">
        <is>
          <t>SKU106</t>
        </is>
      </c>
      <c r="E1070" s="4" t="inlineStr">
        <is>
          <t>Corrugated Box 12x12</t>
        </is>
      </c>
      <c r="F1070" s="4" t="inlineStr">
        <is>
          <t>Packaging &amp; Supplies</t>
        </is>
      </c>
      <c r="G1070" s="4" t="inlineStr">
        <is>
          <t>B</t>
        </is>
      </c>
      <c r="H1070" s="11" t="n">
        <v>30</v>
      </c>
      <c r="I1070" s="4" t="n">
        <v>32</v>
      </c>
      <c r="J1070" s="13">
        <f>IF(I1070&gt;0,H1070/I1070,"")</f>
        <v/>
      </c>
      <c r="K1070" s="4">
        <f>IF(I1070&lt;=0,"NO DEMAND",IF(H1070=0,"STOCKOUT",IF(J1070&lt;Config!$B$5,"CRITICAL",IF(J1070&lt;Config!$B$6,"LOW",IF(J1070&gt;Config!$B$7,"EXCESS","HEALTHY")))))</f>
        <v/>
      </c>
      <c r="L1070" s="11" t="n">
        <v>400</v>
      </c>
      <c r="M1070" s="11" t="n">
        <v>480</v>
      </c>
      <c r="N1070" s="11">
        <f>H1070*L1070</f>
        <v/>
      </c>
      <c r="O1070" s="11">
        <f>IF(I1070&gt;0,I1070*(M1070-L1070),0)</f>
        <v/>
      </c>
      <c r="P1070" s="11" t="n">
        <v>360</v>
      </c>
    </row>
    <row r="1071">
      <c r="A1071" s="4" t="inlineStr">
        <is>
          <t>WH09</t>
        </is>
      </c>
      <c r="B1071" s="4" t="inlineStr">
        <is>
          <t>Hyderabad DC</t>
        </is>
      </c>
      <c r="C1071" s="4" t="inlineStr">
        <is>
          <t>South</t>
        </is>
      </c>
      <c r="D1071" s="4" t="inlineStr">
        <is>
          <t>SKU107</t>
        </is>
      </c>
      <c r="E1071" s="4" t="inlineStr">
        <is>
          <t>Stretch Film 500mm</t>
        </is>
      </c>
      <c r="F1071" s="4" t="inlineStr">
        <is>
          <t>Packaging &amp; Supplies</t>
        </is>
      </c>
      <c r="G1071" s="4" t="inlineStr">
        <is>
          <t>A</t>
        </is>
      </c>
      <c r="H1071" s="11" t="n">
        <v>220</v>
      </c>
      <c r="I1071" s="4" t="n">
        <v>69.75</v>
      </c>
      <c r="J1071" s="13">
        <f>IF(I1071&gt;0,H1071/I1071,"")</f>
        <v/>
      </c>
      <c r="K1071" s="4">
        <f>IF(I1071&lt;=0,"NO DEMAND",IF(H1071=0,"STOCKOUT",IF(J1071&lt;Config!$B$5,"CRITICAL",IF(J1071&lt;Config!$B$6,"LOW",IF(J1071&gt;Config!$B$7,"EXCESS","HEALTHY")))))</f>
        <v/>
      </c>
      <c r="L1071" s="11" t="n">
        <v>324</v>
      </c>
      <c r="M1071" s="11" t="n">
        <v>383</v>
      </c>
      <c r="N1071" s="11">
        <f>H1071*L1071</f>
        <v/>
      </c>
      <c r="O1071" s="11">
        <f>IF(I1071&gt;0,I1071*(M1071-L1071),0)</f>
        <v/>
      </c>
      <c r="P1071" s="11" t="n">
        <v>0</v>
      </c>
    </row>
    <row r="1072">
      <c r="A1072" s="4" t="inlineStr">
        <is>
          <t>WH09</t>
        </is>
      </c>
      <c r="B1072" s="4" t="inlineStr">
        <is>
          <t>Hyderabad DC</t>
        </is>
      </c>
      <c r="C1072" s="4" t="inlineStr">
        <is>
          <t>South</t>
        </is>
      </c>
      <c r="D1072" s="4" t="inlineStr">
        <is>
          <t>SKU108</t>
        </is>
      </c>
      <c r="E1072" s="4" t="inlineStr">
        <is>
          <t>BOPP Tape 48mm</t>
        </is>
      </c>
      <c r="F1072" s="4" t="inlineStr">
        <is>
          <t>Packaging &amp; Supplies</t>
        </is>
      </c>
      <c r="G1072" s="4" t="inlineStr">
        <is>
          <t>A</t>
        </is>
      </c>
      <c r="H1072" s="11" t="n">
        <v>234</v>
      </c>
      <c r="I1072" s="4" t="n">
        <v>139</v>
      </c>
      <c r="J1072" s="13">
        <f>IF(I1072&gt;0,H1072/I1072,"")</f>
        <v/>
      </c>
      <c r="K1072" s="4">
        <f>IF(I1072&lt;=0,"NO DEMAND",IF(H1072=0,"STOCKOUT",IF(J1072&lt;Config!$B$5,"CRITICAL",IF(J1072&lt;Config!$B$6,"LOW",IF(J1072&gt;Config!$B$7,"EXCESS","HEALTHY")))))</f>
        <v/>
      </c>
      <c r="L1072" s="11" t="n">
        <v>699</v>
      </c>
      <c r="M1072" s="11" t="n">
        <v>822</v>
      </c>
      <c r="N1072" s="11">
        <f>H1072*L1072</f>
        <v/>
      </c>
      <c r="O1072" s="11">
        <f>IF(I1072&gt;0,I1072*(M1072-L1072),0)</f>
        <v/>
      </c>
      <c r="P1072" s="11" t="n">
        <v>0</v>
      </c>
    </row>
    <row r="1073">
      <c r="A1073" s="4" t="inlineStr">
        <is>
          <t>WH09</t>
        </is>
      </c>
      <c r="B1073" s="4" t="inlineStr">
        <is>
          <t>Hyderabad DC</t>
        </is>
      </c>
      <c r="C1073" s="4" t="inlineStr">
        <is>
          <t>South</t>
        </is>
      </c>
      <c r="D1073" s="4" t="inlineStr">
        <is>
          <t>SKU109</t>
        </is>
      </c>
      <c r="E1073" s="4" t="inlineStr">
        <is>
          <t>Bubble Wrap Roll</t>
        </is>
      </c>
      <c r="F1073" s="4" t="inlineStr">
        <is>
          <t>Packaging &amp; Supplies</t>
        </is>
      </c>
      <c r="G1073" s="4" t="inlineStr">
        <is>
          <t>C</t>
        </is>
      </c>
      <c r="H1073" s="11" t="n">
        <v>537</v>
      </c>
      <c r="I1073" s="4" t="n">
        <v>430</v>
      </c>
      <c r="J1073" s="13">
        <f>IF(I1073&gt;0,H1073/I1073,"")</f>
        <v/>
      </c>
      <c r="K1073" s="4">
        <f>IF(I1073&lt;=0,"NO DEMAND",IF(H1073=0,"STOCKOUT",IF(J1073&lt;Config!$B$5,"CRITICAL",IF(J1073&lt;Config!$B$6,"LOW",IF(J1073&gt;Config!$B$7,"EXCESS","HEALTHY")))))</f>
        <v/>
      </c>
      <c r="L1073" s="11" t="n">
        <v>68</v>
      </c>
      <c r="M1073" s="11" t="n">
        <v>80</v>
      </c>
      <c r="N1073" s="11">
        <f>H1073*L1073</f>
        <v/>
      </c>
      <c r="O1073" s="11">
        <f>IF(I1073&gt;0,I1073*(M1073-L1073),0)</f>
        <v/>
      </c>
      <c r="P1073" s="11" t="n">
        <v>1520</v>
      </c>
    </row>
    <row r="1074">
      <c r="A1074" s="4" t="inlineStr">
        <is>
          <t>WH09</t>
        </is>
      </c>
      <c r="B1074" s="4" t="inlineStr">
        <is>
          <t>Hyderabad DC</t>
        </is>
      </c>
      <c r="C1074" s="4" t="inlineStr">
        <is>
          <t>South</t>
        </is>
      </c>
      <c r="D1074" s="4" t="inlineStr">
        <is>
          <t>SKU110</t>
        </is>
      </c>
      <c r="E1074" s="4" t="inlineStr">
        <is>
          <t>Pallet Strapping Roll</t>
        </is>
      </c>
      <c r="F1074" s="4" t="inlineStr">
        <is>
          <t>Packaging &amp; Supplies</t>
        </is>
      </c>
      <c r="G1074" s="4" t="inlineStr">
        <is>
          <t>C</t>
        </is>
      </c>
      <c r="H1074" s="11" t="n">
        <v>176</v>
      </c>
      <c r="I1074" s="4" t="n">
        <v>275.25</v>
      </c>
      <c r="J1074" s="13">
        <f>IF(I1074&gt;0,H1074/I1074,"")</f>
        <v/>
      </c>
      <c r="K1074" s="4">
        <f>IF(I1074&lt;=0,"NO DEMAND",IF(H1074=0,"STOCKOUT",IF(J1074&lt;Config!$B$5,"CRITICAL",IF(J1074&lt;Config!$B$6,"LOW",IF(J1074&gt;Config!$B$7,"EXCESS","HEALTHY")))))</f>
        <v/>
      </c>
      <c r="L1074" s="11" t="n">
        <v>45</v>
      </c>
      <c r="M1074" s="11" t="n">
        <v>53</v>
      </c>
      <c r="N1074" s="11">
        <f>H1074*L1074</f>
        <v/>
      </c>
      <c r="O1074" s="11">
        <f>IF(I1074&gt;0,I1074*(M1074-L1074),0)</f>
        <v/>
      </c>
      <c r="P1074" s="11" t="n">
        <v>860</v>
      </c>
    </row>
    <row r="1075">
      <c r="A1075" s="4" t="inlineStr">
        <is>
          <t>WH09</t>
        </is>
      </c>
      <c r="B1075" s="4" t="inlineStr">
        <is>
          <t>Hyderabad DC</t>
        </is>
      </c>
      <c r="C1075" s="4" t="inlineStr">
        <is>
          <t>South</t>
        </is>
      </c>
      <c r="D1075" s="4" t="inlineStr">
        <is>
          <t>SKU111</t>
        </is>
      </c>
      <c r="E1075" s="4" t="inlineStr">
        <is>
          <t>Shipping Labels 1000</t>
        </is>
      </c>
      <c r="F1075" s="4" t="inlineStr">
        <is>
          <t>Packaging &amp; Supplies</t>
        </is>
      </c>
      <c r="G1075" s="4" t="inlineStr">
        <is>
          <t>A</t>
        </is>
      </c>
      <c r="H1075" s="11" t="n">
        <v>76</v>
      </c>
      <c r="I1075" s="4" t="n">
        <v>129</v>
      </c>
      <c r="J1075" s="13">
        <f>IF(I1075&gt;0,H1075/I1075,"")</f>
        <v/>
      </c>
      <c r="K1075" s="4">
        <f>IF(I1075&lt;=0,"NO DEMAND",IF(H1075=0,"STOCKOUT",IF(J1075&lt;Config!$B$5,"CRITICAL",IF(J1075&lt;Config!$B$6,"LOW",IF(J1075&gt;Config!$B$7,"EXCESS","HEALTHY")))))</f>
        <v/>
      </c>
      <c r="L1075" s="11" t="n">
        <v>617</v>
      </c>
      <c r="M1075" s="11" t="n">
        <v>741</v>
      </c>
      <c r="N1075" s="11">
        <f>H1075*L1075</f>
        <v/>
      </c>
      <c r="O1075" s="11">
        <f>IF(I1075&gt;0,I1075*(M1075-L1075),0)</f>
        <v/>
      </c>
      <c r="P1075" s="11" t="n">
        <v>420</v>
      </c>
    </row>
    <row r="1076">
      <c r="A1076" s="4" t="inlineStr">
        <is>
          <t>WH09</t>
        </is>
      </c>
      <c r="B1076" s="4" t="inlineStr">
        <is>
          <t>Hyderabad DC</t>
        </is>
      </c>
      <c r="C1076" s="4" t="inlineStr">
        <is>
          <t>South</t>
        </is>
      </c>
      <c r="D1076" s="4" t="inlineStr">
        <is>
          <t>SKU112</t>
        </is>
      </c>
      <c r="E1076" s="4" t="inlineStr">
        <is>
          <t>Poly Mailer 100pk</t>
        </is>
      </c>
      <c r="F1076" s="4" t="inlineStr">
        <is>
          <t>Packaging &amp; Supplies</t>
        </is>
      </c>
      <c r="G1076" s="4" t="inlineStr">
        <is>
          <t>C</t>
        </is>
      </c>
      <c r="H1076" s="11" t="n">
        <v>87</v>
      </c>
      <c r="I1076" s="4" t="n">
        <v>83</v>
      </c>
      <c r="J1076" s="13">
        <f>IF(I1076&gt;0,H1076/I1076,"")</f>
        <v/>
      </c>
      <c r="K1076" s="4">
        <f>IF(I1076&lt;=0,"NO DEMAND",IF(H1076=0,"STOCKOUT",IF(J1076&lt;Config!$B$5,"CRITICAL",IF(J1076&lt;Config!$B$6,"LOW",IF(J1076&gt;Config!$B$7,"EXCESS","HEALTHY")))))</f>
        <v/>
      </c>
      <c r="L1076" s="11" t="n">
        <v>93</v>
      </c>
      <c r="M1076" s="11" t="n">
        <v>113</v>
      </c>
      <c r="N1076" s="11">
        <f>H1076*L1076</f>
        <v/>
      </c>
      <c r="O1076" s="11">
        <f>IF(I1076&gt;0,I1076*(M1076-L1076),0)</f>
        <v/>
      </c>
      <c r="P1076" s="11" t="n">
        <v>260</v>
      </c>
    </row>
    <row r="1077">
      <c r="A1077" s="4" t="inlineStr">
        <is>
          <t>WH09</t>
        </is>
      </c>
      <c r="B1077" s="4" t="inlineStr">
        <is>
          <t>Hyderabad DC</t>
        </is>
      </c>
      <c r="C1077" s="4" t="inlineStr">
        <is>
          <t>South</t>
        </is>
      </c>
      <c r="D1077" s="4" t="inlineStr">
        <is>
          <t>SKU113</t>
        </is>
      </c>
      <c r="E1077" s="4" t="inlineStr">
        <is>
          <t>Void Fill Paper</t>
        </is>
      </c>
      <c r="F1077" s="4" t="inlineStr">
        <is>
          <t>Packaging &amp; Supplies</t>
        </is>
      </c>
      <c r="G1077" s="4" t="inlineStr">
        <is>
          <t>C</t>
        </is>
      </c>
      <c r="H1077" s="11" t="n">
        <v>349</v>
      </c>
      <c r="I1077" s="4" t="n">
        <v>162.75</v>
      </c>
      <c r="J1077" s="13">
        <f>IF(I1077&gt;0,H1077/I1077,"")</f>
        <v/>
      </c>
      <c r="K1077" s="4">
        <f>IF(I1077&lt;=0,"NO DEMAND",IF(H1077=0,"STOCKOUT",IF(J1077&lt;Config!$B$5,"CRITICAL",IF(J1077&lt;Config!$B$6,"LOW",IF(J1077&gt;Config!$B$7,"EXCESS","HEALTHY")))))</f>
        <v/>
      </c>
      <c r="L1077" s="11" t="n">
        <v>89</v>
      </c>
      <c r="M1077" s="11" t="n">
        <v>108</v>
      </c>
      <c r="N1077" s="11">
        <f>H1077*L1077</f>
        <v/>
      </c>
      <c r="O1077" s="11">
        <f>IF(I1077&gt;0,I1077*(M1077-L1077),0)</f>
        <v/>
      </c>
      <c r="P1077" s="11" t="n">
        <v>480</v>
      </c>
    </row>
    <row r="1078">
      <c r="A1078" s="4" t="inlineStr">
        <is>
          <t>WH09</t>
        </is>
      </c>
      <c r="B1078" s="4" t="inlineStr">
        <is>
          <t>Hyderabad DC</t>
        </is>
      </c>
      <c r="C1078" s="4" t="inlineStr">
        <is>
          <t>South</t>
        </is>
      </c>
      <c r="D1078" s="4" t="inlineStr">
        <is>
          <t>SKU114</t>
        </is>
      </c>
      <c r="E1078" s="4" t="inlineStr">
        <is>
          <t>Cable Ties 100pk</t>
        </is>
      </c>
      <c r="F1078" s="4" t="inlineStr">
        <is>
          <t>Packaging &amp; Supplies</t>
        </is>
      </c>
      <c r="G1078" s="4" t="inlineStr">
        <is>
          <t>C</t>
        </is>
      </c>
      <c r="H1078" s="11" t="n">
        <v>578</v>
      </c>
      <c r="I1078" s="4" t="n">
        <v>387.25</v>
      </c>
      <c r="J1078" s="13">
        <f>IF(I1078&gt;0,H1078/I1078,"")</f>
        <v/>
      </c>
      <c r="K1078" s="4">
        <f>IF(I1078&lt;=0,"NO DEMAND",IF(H1078=0,"STOCKOUT",IF(J1078&lt;Config!$B$5,"CRITICAL",IF(J1078&lt;Config!$B$6,"LOW",IF(J1078&gt;Config!$B$7,"EXCESS","HEALTHY")))))</f>
        <v/>
      </c>
      <c r="L1078" s="11" t="n">
        <v>66</v>
      </c>
      <c r="M1078" s="11" t="n">
        <v>80</v>
      </c>
      <c r="N1078" s="11">
        <f>H1078*L1078</f>
        <v/>
      </c>
      <c r="O1078" s="11">
        <f>IF(I1078&gt;0,I1078*(M1078-L1078),0)</f>
        <v/>
      </c>
      <c r="P1078" s="11" t="n">
        <v>1700</v>
      </c>
    </row>
    <row r="1079">
      <c r="A1079" s="4" t="inlineStr">
        <is>
          <t>WH09</t>
        </is>
      </c>
      <c r="B1079" s="4" t="inlineStr">
        <is>
          <t>Hyderabad DC</t>
        </is>
      </c>
      <c r="C1079" s="4" t="inlineStr">
        <is>
          <t>South</t>
        </is>
      </c>
      <c r="D1079" s="4" t="inlineStr">
        <is>
          <t>SKU115</t>
        </is>
      </c>
      <c r="E1079" s="4" t="inlineStr">
        <is>
          <t>Edge Protectors 50pk</t>
        </is>
      </c>
      <c r="F1079" s="4" t="inlineStr">
        <is>
          <t>Packaging &amp; Supplies</t>
        </is>
      </c>
      <c r="G1079" s="4" t="inlineStr">
        <is>
          <t>C</t>
        </is>
      </c>
      <c r="H1079" s="11" t="n">
        <v>997</v>
      </c>
      <c r="I1079" s="4" t="n">
        <v>211.25</v>
      </c>
      <c r="J1079" s="13">
        <f>IF(I1079&gt;0,H1079/I1079,"")</f>
        <v/>
      </c>
      <c r="K1079" s="4">
        <f>IF(I1079&lt;=0,"NO DEMAND",IF(H1079=0,"STOCKOUT",IF(J1079&lt;Config!$B$5,"CRITICAL",IF(J1079&lt;Config!$B$6,"LOW",IF(J1079&gt;Config!$B$7,"EXCESS","HEALTHY")))))</f>
        <v/>
      </c>
      <c r="L1079" s="11" t="n">
        <v>52</v>
      </c>
      <c r="M1079" s="11" t="n">
        <v>63</v>
      </c>
      <c r="N1079" s="11">
        <f>H1079*L1079</f>
        <v/>
      </c>
      <c r="O1079" s="11">
        <f>IF(I1079&gt;0,I1079*(M1079-L1079),0)</f>
        <v/>
      </c>
      <c r="P1079" s="11" t="n">
        <v>0</v>
      </c>
    </row>
    <row r="1080">
      <c r="A1080" s="4" t="inlineStr">
        <is>
          <t>WH09</t>
        </is>
      </c>
      <c r="B1080" s="4" t="inlineStr">
        <is>
          <t>Hyderabad DC</t>
        </is>
      </c>
      <c r="C1080" s="4" t="inlineStr">
        <is>
          <t>South</t>
        </is>
      </c>
      <c r="D1080" s="4" t="inlineStr">
        <is>
          <t>SKU116</t>
        </is>
      </c>
      <c r="E1080" s="4" t="inlineStr">
        <is>
          <t>Pallet Wrap Hand</t>
        </is>
      </c>
      <c r="F1080" s="4" t="inlineStr">
        <is>
          <t>Packaging &amp; Supplies</t>
        </is>
      </c>
      <c r="G1080" s="4" t="inlineStr">
        <is>
          <t>C</t>
        </is>
      </c>
      <c r="H1080" s="11" t="n">
        <v>295</v>
      </c>
      <c r="I1080" s="4" t="n">
        <v>136.25</v>
      </c>
      <c r="J1080" s="13">
        <f>IF(I1080&gt;0,H1080/I1080,"")</f>
        <v/>
      </c>
      <c r="K1080" s="4">
        <f>IF(I1080&lt;=0,"NO DEMAND",IF(H1080=0,"STOCKOUT",IF(J1080&lt;Config!$B$5,"CRITICAL",IF(J1080&lt;Config!$B$6,"LOW",IF(J1080&gt;Config!$B$7,"EXCESS","HEALTHY")))))</f>
        <v/>
      </c>
      <c r="L1080" s="11" t="n">
        <v>39</v>
      </c>
      <c r="M1080" s="11" t="n">
        <v>47</v>
      </c>
      <c r="N1080" s="11">
        <f>H1080*L1080</f>
        <v/>
      </c>
      <c r="O1080" s="11">
        <f>IF(I1080&gt;0,I1080*(M1080-L1080),0)</f>
        <v/>
      </c>
      <c r="P1080" s="11" t="n">
        <v>520</v>
      </c>
    </row>
    <row r="1081">
      <c r="A1081" s="4" t="inlineStr">
        <is>
          <t>WH09</t>
        </is>
      </c>
      <c r="B1081" s="4" t="inlineStr">
        <is>
          <t>Hyderabad DC</t>
        </is>
      </c>
      <c r="C1081" s="4" t="inlineStr">
        <is>
          <t>South</t>
        </is>
      </c>
      <c r="D1081" s="4" t="inlineStr">
        <is>
          <t>SKU117</t>
        </is>
      </c>
      <c r="E1081" s="4" t="inlineStr">
        <is>
          <t>Courier Bags 100pk</t>
        </is>
      </c>
      <c r="F1081" s="4" t="inlineStr">
        <is>
          <t>Packaging &amp; Supplies</t>
        </is>
      </c>
      <c r="G1081" s="4" t="inlineStr">
        <is>
          <t>C</t>
        </is>
      </c>
      <c r="H1081" s="11" t="n">
        <v>1148</v>
      </c>
      <c r="I1081" s="4" t="n">
        <v>365.5</v>
      </c>
      <c r="J1081" s="13">
        <f>IF(I1081&gt;0,H1081/I1081,"")</f>
        <v/>
      </c>
      <c r="K1081" s="4">
        <f>IF(I1081&lt;=0,"NO DEMAND",IF(H1081=0,"STOCKOUT",IF(J1081&lt;Config!$B$5,"CRITICAL",IF(J1081&lt;Config!$B$6,"LOW",IF(J1081&gt;Config!$B$7,"EXCESS","HEALTHY")))))</f>
        <v/>
      </c>
      <c r="L1081" s="11" t="n">
        <v>21</v>
      </c>
      <c r="M1081" s="11" t="n">
        <v>25</v>
      </c>
      <c r="N1081" s="11">
        <f>H1081*L1081</f>
        <v/>
      </c>
      <c r="O1081" s="11">
        <f>IF(I1081&gt;0,I1081*(M1081-L1081),0)</f>
        <v/>
      </c>
      <c r="P1081" s="11" t="n">
        <v>0</v>
      </c>
    </row>
    <row r="1082">
      <c r="A1082" s="4" t="inlineStr">
        <is>
          <t>WH09</t>
        </is>
      </c>
      <c r="B1082" s="4" t="inlineStr">
        <is>
          <t>Hyderabad DC</t>
        </is>
      </c>
      <c r="C1082" s="4" t="inlineStr">
        <is>
          <t>South</t>
        </is>
      </c>
      <c r="D1082" s="4" t="inlineStr">
        <is>
          <t>SKU118</t>
        </is>
      </c>
      <c r="E1082" s="4" t="inlineStr">
        <is>
          <t>Thermal Paper Roll 20pk</t>
        </is>
      </c>
      <c r="F1082" s="4" t="inlineStr">
        <is>
          <t>Packaging &amp; Supplies</t>
        </is>
      </c>
      <c r="G1082" s="4" t="inlineStr">
        <is>
          <t>B</t>
        </is>
      </c>
      <c r="H1082" s="11" t="n">
        <v>238</v>
      </c>
      <c r="I1082" s="4" t="n">
        <v>251</v>
      </c>
      <c r="J1082" s="13">
        <f>IF(I1082&gt;0,H1082/I1082,"")</f>
        <v/>
      </c>
      <c r="K1082" s="4">
        <f>IF(I1082&lt;=0,"NO DEMAND",IF(H1082=0,"STOCKOUT",IF(J1082&lt;Config!$B$5,"CRITICAL",IF(J1082&lt;Config!$B$6,"LOW",IF(J1082&gt;Config!$B$7,"EXCESS","HEALTHY")))))</f>
        <v/>
      </c>
      <c r="L1082" s="11" t="n">
        <v>181</v>
      </c>
      <c r="M1082" s="11" t="n">
        <v>218</v>
      </c>
      <c r="N1082" s="11">
        <f>H1082*L1082</f>
        <v/>
      </c>
      <c r="O1082" s="11">
        <f>IF(I1082&gt;0,I1082*(M1082-L1082),0)</f>
        <v/>
      </c>
      <c r="P1082" s="11" t="n">
        <v>940</v>
      </c>
    </row>
    <row r="1083">
      <c r="A1083" s="4" t="inlineStr">
        <is>
          <t>WH09</t>
        </is>
      </c>
      <c r="B1083" s="4" t="inlineStr">
        <is>
          <t>Hyderabad DC</t>
        </is>
      </c>
      <c r="C1083" s="4" t="inlineStr">
        <is>
          <t>South</t>
        </is>
      </c>
      <c r="D1083" s="4" t="inlineStr">
        <is>
          <t>SKU119</t>
        </is>
      </c>
      <c r="E1083" s="4" t="inlineStr">
        <is>
          <t>Safety Gloves 12pk</t>
        </is>
      </c>
      <c r="F1083" s="4" t="inlineStr">
        <is>
          <t>Packaging &amp; Supplies</t>
        </is>
      </c>
      <c r="G1083" s="4" t="inlineStr">
        <is>
          <t>A</t>
        </is>
      </c>
      <c r="H1083" s="11" t="n">
        <v>258</v>
      </c>
      <c r="I1083" s="4" t="n">
        <v>200.75</v>
      </c>
      <c r="J1083" s="13">
        <f>IF(I1083&gt;0,H1083/I1083,"")</f>
        <v/>
      </c>
      <c r="K1083" s="4">
        <f>IF(I1083&lt;=0,"NO DEMAND",IF(H1083=0,"STOCKOUT",IF(J1083&lt;Config!$B$5,"CRITICAL",IF(J1083&lt;Config!$B$6,"LOW",IF(J1083&gt;Config!$B$7,"EXCESS","HEALTHY")))))</f>
        <v/>
      </c>
      <c r="L1083" s="11" t="n">
        <v>420</v>
      </c>
      <c r="M1083" s="11" t="n">
        <v>511</v>
      </c>
      <c r="N1083" s="11">
        <f>H1083*L1083</f>
        <v/>
      </c>
      <c r="O1083" s="11">
        <f>IF(I1083&gt;0,I1083*(M1083-L1083),0)</f>
        <v/>
      </c>
      <c r="P1083" s="11" t="n">
        <v>660</v>
      </c>
    </row>
    <row r="1084">
      <c r="A1084" s="4" t="inlineStr">
        <is>
          <t>WH09</t>
        </is>
      </c>
      <c r="B1084" s="4" t="inlineStr">
        <is>
          <t>Hyderabad DC</t>
        </is>
      </c>
      <c r="C1084" s="4" t="inlineStr">
        <is>
          <t>South</t>
        </is>
      </c>
      <c r="D1084" s="4" t="inlineStr">
        <is>
          <t>SKU120</t>
        </is>
      </c>
      <c r="E1084" s="4" t="inlineStr">
        <is>
          <t>Cutter Blades 10pk</t>
        </is>
      </c>
      <c r="F1084" s="4" t="inlineStr">
        <is>
          <t>Packaging &amp; Supplies</t>
        </is>
      </c>
      <c r="G1084" s="4" t="inlineStr">
        <is>
          <t>C</t>
        </is>
      </c>
      <c r="H1084" s="11" t="n">
        <v>126</v>
      </c>
      <c r="I1084" s="4" t="n">
        <v>67</v>
      </c>
      <c r="J1084" s="13">
        <f>IF(I1084&gt;0,H1084/I1084,"")</f>
        <v/>
      </c>
      <c r="K1084" s="4">
        <f>IF(I1084&lt;=0,"NO DEMAND",IF(H1084=0,"STOCKOUT",IF(J1084&lt;Config!$B$5,"CRITICAL",IF(J1084&lt;Config!$B$6,"LOW",IF(J1084&gt;Config!$B$7,"EXCESS","HEALTHY")))))</f>
        <v/>
      </c>
      <c r="L1084" s="11" t="n">
        <v>30</v>
      </c>
      <c r="M1084" s="11" t="n">
        <v>35</v>
      </c>
      <c r="N1084" s="11">
        <f>H1084*L1084</f>
        <v/>
      </c>
      <c r="O1084" s="11">
        <f>IF(I1084&gt;0,I1084*(M1084-L1084),0)</f>
        <v/>
      </c>
      <c r="P1084" s="11" t="n">
        <v>680</v>
      </c>
    </row>
    <row r="1085">
      <c r="A1085" s="4" t="inlineStr">
        <is>
          <t>WH10</t>
        </is>
      </c>
      <c r="B1085" s="4" t="inlineStr">
        <is>
          <t>Kolkata DC</t>
        </is>
      </c>
      <c r="C1085" s="4" t="inlineStr">
        <is>
          <t>East</t>
        </is>
      </c>
      <c r="D1085" s="4" t="inlineStr">
        <is>
          <t>SKU001</t>
        </is>
      </c>
      <c r="E1085" s="4" t="inlineStr">
        <is>
          <t>Atta 5kg</t>
        </is>
      </c>
      <c r="F1085" s="4" t="inlineStr">
        <is>
          <t>Packaged Staples</t>
        </is>
      </c>
      <c r="G1085" s="4" t="inlineStr">
        <is>
          <t>A</t>
        </is>
      </c>
      <c r="H1085" s="11" t="n">
        <v>107</v>
      </c>
      <c r="I1085" s="4" t="n">
        <v>750.5</v>
      </c>
      <c r="J1085" s="13">
        <f>IF(I1085&gt;0,H1085/I1085,"")</f>
        <v/>
      </c>
      <c r="K1085" s="4">
        <f>IF(I1085&lt;=0,"NO DEMAND",IF(H1085=0,"STOCKOUT",IF(J1085&lt;Config!$B$5,"CRITICAL",IF(J1085&lt;Config!$B$6,"LOW",IF(J1085&gt;Config!$B$7,"EXCESS","HEALTHY")))))</f>
        <v/>
      </c>
      <c r="L1085" s="11" t="n">
        <v>152</v>
      </c>
      <c r="M1085" s="11" t="n">
        <v>168</v>
      </c>
      <c r="N1085" s="11">
        <f>H1085*L1085</f>
        <v/>
      </c>
      <c r="O1085" s="11">
        <f>IF(I1085&gt;0,I1085*(M1085-L1085),0)</f>
        <v/>
      </c>
      <c r="P1085" s="11" t="n">
        <v>2904</v>
      </c>
    </row>
    <row r="1086">
      <c r="A1086" s="4" t="inlineStr">
        <is>
          <t>WH10</t>
        </is>
      </c>
      <c r="B1086" s="4" t="inlineStr">
        <is>
          <t>Kolkata DC</t>
        </is>
      </c>
      <c r="C1086" s="4" t="inlineStr">
        <is>
          <t>East</t>
        </is>
      </c>
      <c r="D1086" s="4" t="inlineStr">
        <is>
          <t>SKU002</t>
        </is>
      </c>
      <c r="E1086" s="4" t="inlineStr">
        <is>
          <t>Basmati Rice 5kg</t>
        </is>
      </c>
      <c r="F1086" s="4" t="inlineStr">
        <is>
          <t>Packaged Staples</t>
        </is>
      </c>
      <c r="G1086" s="4" t="inlineStr">
        <is>
          <t>B</t>
        </is>
      </c>
      <c r="H1086" s="11" t="n">
        <v>6661</v>
      </c>
      <c r="I1086" s="4" t="n">
        <v>1426</v>
      </c>
      <c r="J1086" s="13">
        <f>IF(I1086&gt;0,H1086/I1086,"")</f>
        <v/>
      </c>
      <c r="K1086" s="4">
        <f>IF(I1086&lt;=0,"NO DEMAND",IF(H1086=0,"STOCKOUT",IF(J1086&lt;Config!$B$5,"CRITICAL",IF(J1086&lt;Config!$B$6,"LOW",IF(J1086&gt;Config!$B$7,"EXCESS","HEALTHY")))))</f>
        <v/>
      </c>
      <c r="L1086" s="11" t="n">
        <v>59</v>
      </c>
      <c r="M1086" s="11" t="n">
        <v>66</v>
      </c>
      <c r="N1086" s="11">
        <f>H1086*L1086</f>
        <v/>
      </c>
      <c r="O1086" s="11">
        <f>IF(I1086&gt;0,I1086*(M1086-L1086),0)</f>
        <v/>
      </c>
      <c r="P1086" s="11" t="n">
        <v>0</v>
      </c>
    </row>
    <row r="1087">
      <c r="A1087" s="4" t="inlineStr">
        <is>
          <t>WH10</t>
        </is>
      </c>
      <c r="B1087" s="4" t="inlineStr">
        <is>
          <t>Kolkata DC</t>
        </is>
      </c>
      <c r="C1087" s="4" t="inlineStr">
        <is>
          <t>East</t>
        </is>
      </c>
      <c r="D1087" s="4" t="inlineStr">
        <is>
          <t>SKU003</t>
        </is>
      </c>
      <c r="E1087" s="4" t="inlineStr">
        <is>
          <t>Toor Dal 1kg</t>
        </is>
      </c>
      <c r="F1087" s="4" t="inlineStr">
        <is>
          <t>Packaged Staples</t>
        </is>
      </c>
      <c r="G1087" s="4" t="inlineStr">
        <is>
          <t>A</t>
        </is>
      </c>
      <c r="H1087" s="11" t="n">
        <v>2695</v>
      </c>
      <c r="I1087" s="4" t="n">
        <v>1034.5</v>
      </c>
      <c r="J1087" s="13">
        <f>IF(I1087&gt;0,H1087/I1087,"")</f>
        <v/>
      </c>
      <c r="K1087" s="4">
        <f>IF(I1087&lt;=0,"NO DEMAND",IF(H1087=0,"STOCKOUT",IF(J1087&lt;Config!$B$5,"CRITICAL",IF(J1087&lt;Config!$B$6,"LOW",IF(J1087&gt;Config!$B$7,"EXCESS","HEALTHY")))))</f>
        <v/>
      </c>
      <c r="L1087" s="11" t="n">
        <v>61</v>
      </c>
      <c r="M1087" s="11" t="n">
        <v>69</v>
      </c>
      <c r="N1087" s="11">
        <f>H1087*L1087</f>
        <v/>
      </c>
      <c r="O1087" s="11">
        <f>IF(I1087&gt;0,I1087*(M1087-L1087),0)</f>
        <v/>
      </c>
      <c r="P1087" s="11" t="n">
        <v>0</v>
      </c>
    </row>
    <row r="1088">
      <c r="A1088" s="4" t="inlineStr">
        <is>
          <t>WH10</t>
        </is>
      </c>
      <c r="B1088" s="4" t="inlineStr">
        <is>
          <t>Kolkata DC</t>
        </is>
      </c>
      <c r="C1088" s="4" t="inlineStr">
        <is>
          <t>East</t>
        </is>
      </c>
      <c r="D1088" s="4" t="inlineStr">
        <is>
          <t>SKU004</t>
        </is>
      </c>
      <c r="E1088" s="4" t="inlineStr">
        <is>
          <t>Moong Dal 1kg</t>
        </is>
      </c>
      <c r="F1088" s="4" t="inlineStr">
        <is>
          <t>Packaged Staples</t>
        </is>
      </c>
      <c r="G1088" s="4" t="inlineStr">
        <is>
          <t>B</t>
        </is>
      </c>
      <c r="H1088" s="11" t="n">
        <v>720</v>
      </c>
      <c r="I1088" s="4" t="n">
        <v>780.25</v>
      </c>
      <c r="J1088" s="13">
        <f>IF(I1088&gt;0,H1088/I1088,"")</f>
        <v/>
      </c>
      <c r="K1088" s="4">
        <f>IF(I1088&lt;=0,"NO DEMAND",IF(H1088=0,"STOCKOUT",IF(J1088&lt;Config!$B$5,"CRITICAL",IF(J1088&lt;Config!$B$6,"LOW",IF(J1088&gt;Config!$B$7,"EXCESS","HEALTHY")))))</f>
        <v/>
      </c>
      <c r="L1088" s="11" t="n">
        <v>80</v>
      </c>
      <c r="M1088" s="11" t="n">
        <v>91</v>
      </c>
      <c r="N1088" s="11">
        <f>H1088*L1088</f>
        <v/>
      </c>
      <c r="O1088" s="11">
        <f>IF(I1088&gt;0,I1088*(M1088-L1088),0)</f>
        <v/>
      </c>
      <c r="P1088" s="11" t="n">
        <v>2136</v>
      </c>
    </row>
    <row r="1089">
      <c r="A1089" s="4" t="inlineStr">
        <is>
          <t>WH10</t>
        </is>
      </c>
      <c r="B1089" s="4" t="inlineStr">
        <is>
          <t>Kolkata DC</t>
        </is>
      </c>
      <c r="C1089" s="4" t="inlineStr">
        <is>
          <t>East</t>
        </is>
      </c>
      <c r="D1089" s="4" t="inlineStr">
        <is>
          <t>SKU005</t>
        </is>
      </c>
      <c r="E1089" s="4" t="inlineStr">
        <is>
          <t>Sunflower Oil 1L</t>
        </is>
      </c>
      <c r="F1089" s="4" t="inlineStr">
        <is>
          <t>Packaged Staples</t>
        </is>
      </c>
      <c r="G1089" s="4" t="inlineStr">
        <is>
          <t>A</t>
        </is>
      </c>
      <c r="H1089" s="11" t="n">
        <v>2339</v>
      </c>
      <c r="I1089" s="4" t="n">
        <v>371.25</v>
      </c>
      <c r="J1089" s="13">
        <f>IF(I1089&gt;0,H1089/I1089,"")</f>
        <v/>
      </c>
      <c r="K1089" s="4">
        <f>IF(I1089&lt;=0,"NO DEMAND",IF(H1089=0,"STOCKOUT",IF(J1089&lt;Config!$B$5,"CRITICAL",IF(J1089&lt;Config!$B$6,"LOW",IF(J1089&gt;Config!$B$7,"EXCESS","HEALTHY")))))</f>
        <v/>
      </c>
      <c r="L1089" s="11" t="n">
        <v>245</v>
      </c>
      <c r="M1089" s="11" t="n">
        <v>273</v>
      </c>
      <c r="N1089" s="11">
        <f>H1089*L1089</f>
        <v/>
      </c>
      <c r="O1089" s="11">
        <f>IF(I1089&gt;0,I1089*(M1089-L1089),0)</f>
        <v/>
      </c>
      <c r="P1089" s="11" t="n">
        <v>0</v>
      </c>
    </row>
    <row r="1090">
      <c r="A1090" s="4" t="inlineStr">
        <is>
          <t>WH10</t>
        </is>
      </c>
      <c r="B1090" s="4" t="inlineStr">
        <is>
          <t>Kolkata DC</t>
        </is>
      </c>
      <c r="C1090" s="4" t="inlineStr">
        <is>
          <t>East</t>
        </is>
      </c>
      <c r="D1090" s="4" t="inlineStr">
        <is>
          <t>SKU006</t>
        </is>
      </c>
      <c r="E1090" s="4" t="inlineStr">
        <is>
          <t>Mustard Oil 1L</t>
        </is>
      </c>
      <c r="F1090" s="4" t="inlineStr">
        <is>
          <t>Packaged Staples</t>
        </is>
      </c>
      <c r="G1090" s="4" t="inlineStr">
        <is>
          <t>B</t>
        </is>
      </c>
      <c r="H1090" s="11" t="n">
        <v>1078</v>
      </c>
      <c r="I1090" s="4" t="n">
        <v>589.75</v>
      </c>
      <c r="J1090" s="13">
        <f>IF(I1090&gt;0,H1090/I1090,"")</f>
        <v/>
      </c>
      <c r="K1090" s="4">
        <f>IF(I1090&lt;=0,"NO DEMAND",IF(H1090=0,"STOCKOUT",IF(J1090&lt;Config!$B$5,"CRITICAL",IF(J1090&lt;Config!$B$6,"LOW",IF(J1090&gt;Config!$B$7,"EXCESS","HEALTHY")))))</f>
        <v/>
      </c>
      <c r="L1090" s="11" t="n">
        <v>68</v>
      </c>
      <c r="M1090" s="11" t="n">
        <v>77</v>
      </c>
      <c r="N1090" s="11">
        <f>H1090*L1090</f>
        <v/>
      </c>
      <c r="O1090" s="11">
        <f>IF(I1090&gt;0,I1090*(M1090-L1090),0)</f>
        <v/>
      </c>
      <c r="P1090" s="11" t="n">
        <v>0</v>
      </c>
    </row>
    <row r="1091">
      <c r="A1091" s="4" t="inlineStr">
        <is>
          <t>WH10</t>
        </is>
      </c>
      <c r="B1091" s="4" t="inlineStr">
        <is>
          <t>Kolkata DC</t>
        </is>
      </c>
      <c r="C1091" s="4" t="inlineStr">
        <is>
          <t>East</t>
        </is>
      </c>
      <c r="D1091" s="4" t="inlineStr">
        <is>
          <t>SKU007</t>
        </is>
      </c>
      <c r="E1091" s="4" t="inlineStr">
        <is>
          <t>Sugar 1kg</t>
        </is>
      </c>
      <c r="F1091" s="4" t="inlineStr">
        <is>
          <t>Packaged Staples</t>
        </is>
      </c>
      <c r="G1091" s="4" t="inlineStr">
        <is>
          <t>A</t>
        </is>
      </c>
      <c r="H1091" s="11" t="n">
        <v>111</v>
      </c>
      <c r="I1091" s="4" t="n">
        <v>1469.25</v>
      </c>
      <c r="J1091" s="13">
        <f>IF(I1091&gt;0,H1091/I1091,"")</f>
        <v/>
      </c>
      <c r="K1091" s="4">
        <f>IF(I1091&lt;=0,"NO DEMAND",IF(H1091=0,"STOCKOUT",IF(J1091&lt;Config!$B$5,"CRITICAL",IF(J1091&lt;Config!$B$6,"LOW",IF(J1091&gt;Config!$B$7,"EXCESS","HEALTHY")))))</f>
        <v/>
      </c>
      <c r="L1091" s="11" t="n">
        <v>129</v>
      </c>
      <c r="M1091" s="11" t="n">
        <v>143</v>
      </c>
      <c r="N1091" s="11">
        <f>H1091*L1091</f>
        <v/>
      </c>
      <c r="O1091" s="11">
        <f>IF(I1091&gt;0,I1091*(M1091-L1091),0)</f>
        <v/>
      </c>
      <c r="P1091" s="11" t="n">
        <v>4176</v>
      </c>
    </row>
    <row r="1092">
      <c r="A1092" s="4" t="inlineStr">
        <is>
          <t>WH10</t>
        </is>
      </c>
      <c r="B1092" s="4" t="inlineStr">
        <is>
          <t>Kolkata DC</t>
        </is>
      </c>
      <c r="C1092" s="4" t="inlineStr">
        <is>
          <t>East</t>
        </is>
      </c>
      <c r="D1092" s="4" t="inlineStr">
        <is>
          <t>SKU008</t>
        </is>
      </c>
      <c r="E1092" s="4" t="inlineStr">
        <is>
          <t>Iodized Salt 1kg</t>
        </is>
      </c>
      <c r="F1092" s="4" t="inlineStr">
        <is>
          <t>Packaged Staples</t>
        </is>
      </c>
      <c r="G1092" s="4" t="inlineStr">
        <is>
          <t>A</t>
        </is>
      </c>
      <c r="H1092" s="11" t="n">
        <v>789</v>
      </c>
      <c r="I1092" s="4" t="n">
        <v>500.5</v>
      </c>
      <c r="J1092" s="13">
        <f>IF(I1092&gt;0,H1092/I1092,"")</f>
        <v/>
      </c>
      <c r="K1092" s="4">
        <f>IF(I1092&lt;=0,"NO DEMAND",IF(H1092=0,"STOCKOUT",IF(J1092&lt;Config!$B$5,"CRITICAL",IF(J1092&lt;Config!$B$6,"LOW",IF(J1092&gt;Config!$B$7,"EXCESS","HEALTHY")))))</f>
        <v/>
      </c>
      <c r="L1092" s="11" t="n">
        <v>140</v>
      </c>
      <c r="M1092" s="11" t="n">
        <v>156</v>
      </c>
      <c r="N1092" s="11">
        <f>H1092*L1092</f>
        <v/>
      </c>
      <c r="O1092" s="11">
        <f>IF(I1092&gt;0,I1092*(M1092-L1092),0)</f>
        <v/>
      </c>
      <c r="P1092" s="11" t="n">
        <v>1656</v>
      </c>
    </row>
    <row r="1093">
      <c r="A1093" s="4" t="inlineStr">
        <is>
          <t>WH10</t>
        </is>
      </c>
      <c r="B1093" s="4" t="inlineStr">
        <is>
          <t>Kolkata DC</t>
        </is>
      </c>
      <c r="C1093" s="4" t="inlineStr">
        <is>
          <t>East</t>
        </is>
      </c>
      <c r="D1093" s="4" t="inlineStr">
        <is>
          <t>SKU009</t>
        </is>
      </c>
      <c r="E1093" s="4" t="inlineStr">
        <is>
          <t>Tea Leaves 500g</t>
        </is>
      </c>
      <c r="F1093" s="4" t="inlineStr">
        <is>
          <t>Packaged Staples</t>
        </is>
      </c>
      <c r="G1093" s="4" t="inlineStr">
        <is>
          <t>A</t>
        </is>
      </c>
      <c r="H1093" s="11" t="n">
        <v>1750</v>
      </c>
      <c r="I1093" s="4" t="n">
        <v>711.5</v>
      </c>
      <c r="J1093" s="13">
        <f>IF(I1093&gt;0,H1093/I1093,"")</f>
        <v/>
      </c>
      <c r="K1093" s="4">
        <f>IF(I1093&lt;=0,"NO DEMAND",IF(H1093=0,"STOCKOUT",IF(J1093&lt;Config!$B$5,"CRITICAL",IF(J1093&lt;Config!$B$6,"LOW",IF(J1093&gt;Config!$B$7,"EXCESS","HEALTHY")))))</f>
        <v/>
      </c>
      <c r="L1093" s="11" t="n">
        <v>103</v>
      </c>
      <c r="M1093" s="11" t="n">
        <v>116</v>
      </c>
      <c r="N1093" s="11">
        <f>H1093*L1093</f>
        <v/>
      </c>
      <c r="O1093" s="11">
        <f>IF(I1093&gt;0,I1093*(M1093-L1093),0)</f>
        <v/>
      </c>
      <c r="P1093" s="11" t="n">
        <v>0</v>
      </c>
    </row>
    <row r="1094">
      <c r="A1094" s="4" t="inlineStr">
        <is>
          <t>WH10</t>
        </is>
      </c>
      <c r="B1094" s="4" t="inlineStr">
        <is>
          <t>Kolkata DC</t>
        </is>
      </c>
      <c r="C1094" s="4" t="inlineStr">
        <is>
          <t>East</t>
        </is>
      </c>
      <c r="D1094" s="4" t="inlineStr">
        <is>
          <t>SKU010</t>
        </is>
      </c>
      <c r="E1094" s="4" t="inlineStr">
        <is>
          <t>Poha 500g</t>
        </is>
      </c>
      <c r="F1094" s="4" t="inlineStr">
        <is>
          <t>Packaged Staples</t>
        </is>
      </c>
      <c r="G1094" s="4" t="inlineStr">
        <is>
          <t>B</t>
        </is>
      </c>
      <c r="H1094" s="11" t="n">
        <v>561</v>
      </c>
      <c r="I1094" s="4" t="n">
        <v>967.5</v>
      </c>
      <c r="J1094" s="13">
        <f>IF(I1094&gt;0,H1094/I1094,"")</f>
        <v/>
      </c>
      <c r="K1094" s="4">
        <f>IF(I1094&lt;=0,"NO DEMAND",IF(H1094=0,"STOCKOUT",IF(J1094&lt;Config!$B$5,"CRITICAL",IF(J1094&lt;Config!$B$6,"LOW",IF(J1094&gt;Config!$B$7,"EXCESS","HEALTHY")))))</f>
        <v/>
      </c>
      <c r="L1094" s="11" t="n">
        <v>40</v>
      </c>
      <c r="M1094" s="11" t="n">
        <v>45</v>
      </c>
      <c r="N1094" s="11">
        <f>H1094*L1094</f>
        <v/>
      </c>
      <c r="O1094" s="11">
        <f>IF(I1094&gt;0,I1094*(M1094-L1094),0)</f>
        <v/>
      </c>
      <c r="P1094" s="11" t="n">
        <v>2952</v>
      </c>
    </row>
    <row r="1095">
      <c r="A1095" s="4" t="inlineStr">
        <is>
          <t>WH10</t>
        </is>
      </c>
      <c r="B1095" s="4" t="inlineStr">
        <is>
          <t>Kolkata DC</t>
        </is>
      </c>
      <c r="C1095" s="4" t="inlineStr">
        <is>
          <t>East</t>
        </is>
      </c>
      <c r="D1095" s="4" t="inlineStr">
        <is>
          <t>SKU011</t>
        </is>
      </c>
      <c r="E1095" s="4" t="inlineStr">
        <is>
          <t>Besan 1kg</t>
        </is>
      </c>
      <c r="F1095" s="4" t="inlineStr">
        <is>
          <t>Packaged Staples</t>
        </is>
      </c>
      <c r="G1095" s="4" t="inlineStr">
        <is>
          <t>A</t>
        </is>
      </c>
      <c r="H1095" s="11" t="n">
        <v>1257</v>
      </c>
      <c r="I1095" s="4" t="n">
        <v>819</v>
      </c>
      <c r="J1095" s="13">
        <f>IF(I1095&gt;0,H1095/I1095,"")</f>
        <v/>
      </c>
      <c r="K1095" s="4">
        <f>IF(I1095&lt;=0,"NO DEMAND",IF(H1095=0,"STOCKOUT",IF(J1095&lt;Config!$B$5,"CRITICAL",IF(J1095&lt;Config!$B$6,"LOW",IF(J1095&gt;Config!$B$7,"EXCESS","HEALTHY")))))</f>
        <v/>
      </c>
      <c r="L1095" s="11" t="n">
        <v>110</v>
      </c>
      <c r="M1095" s="11" t="n">
        <v>122</v>
      </c>
      <c r="N1095" s="11">
        <f>H1095*L1095</f>
        <v/>
      </c>
      <c r="O1095" s="11">
        <f>IF(I1095&gt;0,I1095*(M1095-L1095),0)</f>
        <v/>
      </c>
      <c r="P1095" s="11" t="n">
        <v>0</v>
      </c>
    </row>
    <row r="1096">
      <c r="A1096" s="4" t="inlineStr">
        <is>
          <t>WH10</t>
        </is>
      </c>
      <c r="B1096" s="4" t="inlineStr">
        <is>
          <t>Kolkata DC</t>
        </is>
      </c>
      <c r="C1096" s="4" t="inlineStr">
        <is>
          <t>East</t>
        </is>
      </c>
      <c r="D1096" s="4" t="inlineStr">
        <is>
          <t>SKU012</t>
        </is>
      </c>
      <c r="E1096" s="4" t="inlineStr">
        <is>
          <t>Rajma 1kg</t>
        </is>
      </c>
      <c r="F1096" s="4" t="inlineStr">
        <is>
          <t>Packaged Staples</t>
        </is>
      </c>
      <c r="G1096" s="4" t="inlineStr">
        <is>
          <t>B</t>
        </is>
      </c>
      <c r="H1096" s="11" t="n">
        <v>4738</v>
      </c>
      <c r="I1096" s="4" t="n">
        <v>1230.75</v>
      </c>
      <c r="J1096" s="13">
        <f>IF(I1096&gt;0,H1096/I1096,"")</f>
        <v/>
      </c>
      <c r="K1096" s="4">
        <f>IF(I1096&lt;=0,"NO DEMAND",IF(H1096=0,"STOCKOUT",IF(J1096&lt;Config!$B$5,"CRITICAL",IF(J1096&lt;Config!$B$6,"LOW",IF(J1096&gt;Config!$B$7,"EXCESS","HEALTHY")))))</f>
        <v/>
      </c>
      <c r="L1096" s="11" t="n">
        <v>45</v>
      </c>
      <c r="M1096" s="11" t="n">
        <v>50</v>
      </c>
      <c r="N1096" s="11">
        <f>H1096*L1096</f>
        <v/>
      </c>
      <c r="O1096" s="11">
        <f>IF(I1096&gt;0,I1096*(M1096-L1096),0)</f>
        <v/>
      </c>
      <c r="P1096" s="11" t="n">
        <v>0</v>
      </c>
    </row>
    <row r="1097">
      <c r="A1097" s="4" t="inlineStr">
        <is>
          <t>WH10</t>
        </is>
      </c>
      <c r="B1097" s="4" t="inlineStr">
        <is>
          <t>Kolkata DC</t>
        </is>
      </c>
      <c r="C1097" s="4" t="inlineStr">
        <is>
          <t>East</t>
        </is>
      </c>
      <c r="D1097" s="4" t="inlineStr">
        <is>
          <t>SKU013</t>
        </is>
      </c>
      <c r="E1097" s="4" t="inlineStr">
        <is>
          <t>Jaggery 1kg</t>
        </is>
      </c>
      <c r="F1097" s="4" t="inlineStr">
        <is>
          <t>Packaged Staples</t>
        </is>
      </c>
      <c r="G1097" s="4" t="inlineStr">
        <is>
          <t>A</t>
        </is>
      </c>
      <c r="H1097" s="11" t="n">
        <v>3089</v>
      </c>
      <c r="I1097" s="4" t="n">
        <v>1134.25</v>
      </c>
      <c r="J1097" s="13">
        <f>IF(I1097&gt;0,H1097/I1097,"")</f>
        <v/>
      </c>
      <c r="K1097" s="4">
        <f>IF(I1097&lt;=0,"NO DEMAND",IF(H1097=0,"STOCKOUT",IF(J1097&lt;Config!$B$5,"CRITICAL",IF(J1097&lt;Config!$B$6,"LOW",IF(J1097&gt;Config!$B$7,"EXCESS","HEALTHY")))))</f>
        <v/>
      </c>
      <c r="L1097" s="11" t="n">
        <v>125</v>
      </c>
      <c r="M1097" s="11" t="n">
        <v>140</v>
      </c>
      <c r="N1097" s="11">
        <f>H1097*L1097</f>
        <v/>
      </c>
      <c r="O1097" s="11">
        <f>IF(I1097&gt;0,I1097*(M1097-L1097),0)</f>
        <v/>
      </c>
      <c r="P1097" s="11" t="n">
        <v>0</v>
      </c>
    </row>
    <row r="1098">
      <c r="A1098" s="4" t="inlineStr">
        <is>
          <t>WH10</t>
        </is>
      </c>
      <c r="B1098" s="4" t="inlineStr">
        <is>
          <t>Kolkata DC</t>
        </is>
      </c>
      <c r="C1098" s="4" t="inlineStr">
        <is>
          <t>East</t>
        </is>
      </c>
      <c r="D1098" s="4" t="inlineStr">
        <is>
          <t>SKU014</t>
        </is>
      </c>
      <c r="E1098" s="4" t="inlineStr">
        <is>
          <t>Ghee 500ml</t>
        </is>
      </c>
      <c r="F1098" s="4" t="inlineStr">
        <is>
          <t>Packaged Staples</t>
        </is>
      </c>
      <c r="G1098" s="4" t="inlineStr">
        <is>
          <t>A</t>
        </is>
      </c>
      <c r="H1098" s="11" t="n">
        <v>1339</v>
      </c>
      <c r="I1098" s="4" t="n">
        <v>474.75</v>
      </c>
      <c r="J1098" s="13">
        <f>IF(I1098&gt;0,H1098/I1098,"")</f>
        <v/>
      </c>
      <c r="K1098" s="4">
        <f>IF(I1098&lt;=0,"NO DEMAND",IF(H1098=0,"STOCKOUT",IF(J1098&lt;Config!$B$5,"CRITICAL",IF(J1098&lt;Config!$B$6,"LOW",IF(J1098&gt;Config!$B$7,"EXCESS","HEALTHY")))))</f>
        <v/>
      </c>
      <c r="L1098" s="11" t="n">
        <v>240</v>
      </c>
      <c r="M1098" s="11" t="n">
        <v>270</v>
      </c>
      <c r="N1098" s="11">
        <f>H1098*L1098</f>
        <v/>
      </c>
      <c r="O1098" s="11">
        <f>IF(I1098&gt;0,I1098*(M1098-L1098),0)</f>
        <v/>
      </c>
      <c r="P1098" s="11" t="n">
        <v>0</v>
      </c>
    </row>
    <row r="1099">
      <c r="A1099" s="4" t="inlineStr">
        <is>
          <t>WH10</t>
        </is>
      </c>
      <c r="B1099" s="4" t="inlineStr">
        <is>
          <t>Kolkata DC</t>
        </is>
      </c>
      <c r="C1099" s="4" t="inlineStr">
        <is>
          <t>East</t>
        </is>
      </c>
      <c r="D1099" s="4" t="inlineStr">
        <is>
          <t>SKU015</t>
        </is>
      </c>
      <c r="E1099" s="4" t="inlineStr">
        <is>
          <t>Suji 1kg</t>
        </is>
      </c>
      <c r="F1099" s="4" t="inlineStr">
        <is>
          <t>Packaged Staples</t>
        </is>
      </c>
      <c r="G1099" s="4" t="inlineStr">
        <is>
          <t>C</t>
        </is>
      </c>
      <c r="H1099" s="11" t="n">
        <v>1042</v>
      </c>
      <c r="I1099" s="4" t="n">
        <v>827.5</v>
      </c>
      <c r="J1099" s="13">
        <f>IF(I1099&gt;0,H1099/I1099,"")</f>
        <v/>
      </c>
      <c r="K1099" s="4">
        <f>IF(I1099&lt;=0,"NO DEMAND",IF(H1099=0,"STOCKOUT",IF(J1099&lt;Config!$B$5,"CRITICAL",IF(J1099&lt;Config!$B$6,"LOW",IF(J1099&gt;Config!$B$7,"EXCESS","HEALTHY")))))</f>
        <v/>
      </c>
      <c r="L1099" s="11" t="n">
        <v>42</v>
      </c>
      <c r="M1099" s="11" t="n">
        <v>47</v>
      </c>
      <c r="N1099" s="11">
        <f>H1099*L1099</f>
        <v/>
      </c>
      <c r="O1099" s="11">
        <f>IF(I1099&gt;0,I1099*(M1099-L1099),0)</f>
        <v/>
      </c>
      <c r="P1099" s="11" t="n">
        <v>0</v>
      </c>
    </row>
    <row r="1100">
      <c r="A1100" s="4" t="inlineStr">
        <is>
          <t>WH10</t>
        </is>
      </c>
      <c r="B1100" s="4" t="inlineStr">
        <is>
          <t>Kolkata DC</t>
        </is>
      </c>
      <c r="C1100" s="4" t="inlineStr">
        <is>
          <t>East</t>
        </is>
      </c>
      <c r="D1100" s="4" t="inlineStr">
        <is>
          <t>SKU016</t>
        </is>
      </c>
      <c r="E1100" s="4" t="inlineStr">
        <is>
          <t>Cola 750ml</t>
        </is>
      </c>
      <c r="F1100" s="4" t="inlineStr">
        <is>
          <t>Beverages</t>
        </is>
      </c>
      <c r="G1100" s="4" t="inlineStr">
        <is>
          <t>C</t>
        </is>
      </c>
      <c r="H1100" s="11" t="n">
        <v>499</v>
      </c>
      <c r="I1100" s="4" t="n">
        <v>755.25</v>
      </c>
      <c r="J1100" s="13">
        <f>IF(I1100&gt;0,H1100/I1100,"")</f>
        <v/>
      </c>
      <c r="K1100" s="4">
        <f>IF(I1100&lt;=0,"NO DEMAND",IF(H1100=0,"STOCKOUT",IF(J1100&lt;Config!$B$5,"CRITICAL",IF(J1100&lt;Config!$B$6,"LOW",IF(J1100&gt;Config!$B$7,"EXCESS","HEALTHY")))))</f>
        <v/>
      </c>
      <c r="L1100" s="11" t="n">
        <v>41</v>
      </c>
      <c r="M1100" s="11" t="n">
        <v>47</v>
      </c>
      <c r="N1100" s="11">
        <f>H1100*L1100</f>
        <v/>
      </c>
      <c r="O1100" s="11">
        <f>IF(I1100&gt;0,I1100*(M1100-L1100),0)</f>
        <v/>
      </c>
      <c r="P1100" s="11" t="n">
        <v>2568</v>
      </c>
    </row>
    <row r="1101">
      <c r="A1101" s="4" t="inlineStr">
        <is>
          <t>WH10</t>
        </is>
      </c>
      <c r="B1101" s="4" t="inlineStr">
        <is>
          <t>Kolkata DC</t>
        </is>
      </c>
      <c r="C1101" s="4" t="inlineStr">
        <is>
          <t>East</t>
        </is>
      </c>
      <c r="D1101" s="4" t="inlineStr">
        <is>
          <t>SKU017</t>
        </is>
      </c>
      <c r="E1101" s="4" t="inlineStr">
        <is>
          <t>Lemon Soda 600ml</t>
        </is>
      </c>
      <c r="F1101" s="4" t="inlineStr">
        <is>
          <t>Beverages</t>
        </is>
      </c>
      <c r="G1101" s="4" t="inlineStr">
        <is>
          <t>B</t>
        </is>
      </c>
      <c r="H1101" s="11" t="n">
        <v>1343</v>
      </c>
      <c r="I1101" s="4" t="n">
        <v>1541.75</v>
      </c>
      <c r="J1101" s="13">
        <f>IF(I1101&gt;0,H1101/I1101,"")</f>
        <v/>
      </c>
      <c r="K1101" s="4">
        <f>IF(I1101&lt;=0,"NO DEMAND",IF(H1101=0,"STOCKOUT",IF(J1101&lt;Config!$B$5,"CRITICAL",IF(J1101&lt;Config!$B$6,"LOW",IF(J1101&gt;Config!$B$7,"EXCESS","HEALTHY")))))</f>
        <v/>
      </c>
      <c r="L1101" s="11" t="n">
        <v>42</v>
      </c>
      <c r="M1101" s="11" t="n">
        <v>50</v>
      </c>
      <c r="N1101" s="11">
        <f>H1101*L1101</f>
        <v/>
      </c>
      <c r="O1101" s="11">
        <f>IF(I1101&gt;0,I1101*(M1101-L1101),0)</f>
        <v/>
      </c>
      <c r="P1101" s="11" t="n">
        <v>4560</v>
      </c>
    </row>
    <row r="1102">
      <c r="A1102" s="4" t="inlineStr">
        <is>
          <t>WH10</t>
        </is>
      </c>
      <c r="B1102" s="4" t="inlineStr">
        <is>
          <t>Kolkata DC</t>
        </is>
      </c>
      <c r="C1102" s="4" t="inlineStr">
        <is>
          <t>East</t>
        </is>
      </c>
      <c r="D1102" s="4" t="inlineStr">
        <is>
          <t>SKU018</t>
        </is>
      </c>
      <c r="E1102" s="4" t="inlineStr">
        <is>
          <t>Mango Drink 1L</t>
        </is>
      </c>
      <c r="F1102" s="4" t="inlineStr">
        <is>
          <t>Beverages</t>
        </is>
      </c>
      <c r="G1102" s="4" t="inlineStr">
        <is>
          <t>A</t>
        </is>
      </c>
      <c r="H1102" s="11" t="n">
        <v>5555</v>
      </c>
      <c r="I1102" s="4" t="n">
        <v>2011.5</v>
      </c>
      <c r="J1102" s="13">
        <f>IF(I1102&gt;0,H1102/I1102,"")</f>
        <v/>
      </c>
      <c r="K1102" s="4">
        <f>IF(I1102&lt;=0,"NO DEMAND",IF(H1102=0,"STOCKOUT",IF(J1102&lt;Config!$B$5,"CRITICAL",IF(J1102&lt;Config!$B$6,"LOW",IF(J1102&gt;Config!$B$7,"EXCESS","HEALTHY")))))</f>
        <v/>
      </c>
      <c r="L1102" s="11" t="n">
        <v>101</v>
      </c>
      <c r="M1102" s="11" t="n">
        <v>117</v>
      </c>
      <c r="N1102" s="11">
        <f>H1102*L1102</f>
        <v/>
      </c>
      <c r="O1102" s="11">
        <f>IF(I1102&gt;0,I1102*(M1102-L1102),0)</f>
        <v/>
      </c>
      <c r="P1102" s="11" t="n">
        <v>0</v>
      </c>
    </row>
    <row r="1103">
      <c r="A1103" s="4" t="inlineStr">
        <is>
          <t>WH10</t>
        </is>
      </c>
      <c r="B1103" s="4" t="inlineStr">
        <is>
          <t>Kolkata DC</t>
        </is>
      </c>
      <c r="C1103" s="4" t="inlineStr">
        <is>
          <t>East</t>
        </is>
      </c>
      <c r="D1103" s="4" t="inlineStr">
        <is>
          <t>SKU019</t>
        </is>
      </c>
      <c r="E1103" s="4" t="inlineStr">
        <is>
          <t>Packaged Water 1L</t>
        </is>
      </c>
      <c r="F1103" s="4" t="inlineStr">
        <is>
          <t>Beverages</t>
        </is>
      </c>
      <c r="G1103" s="4" t="inlineStr">
        <is>
          <t>A</t>
        </is>
      </c>
      <c r="H1103" s="11" t="n">
        <v>3812</v>
      </c>
      <c r="I1103" s="4" t="n">
        <v>1422.25</v>
      </c>
      <c r="J1103" s="13">
        <f>IF(I1103&gt;0,H1103/I1103,"")</f>
        <v/>
      </c>
      <c r="K1103" s="4">
        <f>IF(I1103&lt;=0,"NO DEMAND",IF(H1103=0,"STOCKOUT",IF(J1103&lt;Config!$B$5,"CRITICAL",IF(J1103&lt;Config!$B$6,"LOW",IF(J1103&gt;Config!$B$7,"EXCESS","HEALTHY")))))</f>
        <v/>
      </c>
      <c r="L1103" s="11" t="n">
        <v>57</v>
      </c>
      <c r="M1103" s="11" t="n">
        <v>68</v>
      </c>
      <c r="N1103" s="11">
        <f>H1103*L1103</f>
        <v/>
      </c>
      <c r="O1103" s="11">
        <f>IF(I1103&gt;0,I1103*(M1103-L1103),0)</f>
        <v/>
      </c>
      <c r="P1103" s="11" t="n">
        <v>0</v>
      </c>
    </row>
    <row r="1104">
      <c r="A1104" s="4" t="inlineStr">
        <is>
          <t>WH10</t>
        </is>
      </c>
      <c r="B1104" s="4" t="inlineStr">
        <is>
          <t>Kolkata DC</t>
        </is>
      </c>
      <c r="C1104" s="4" t="inlineStr">
        <is>
          <t>East</t>
        </is>
      </c>
      <c r="D1104" s="4" t="inlineStr">
        <is>
          <t>SKU020</t>
        </is>
      </c>
      <c r="E1104" s="4" t="inlineStr">
        <is>
          <t>Energy Drink 250ml</t>
        </is>
      </c>
      <c r="F1104" s="4" t="inlineStr">
        <is>
          <t>Beverages</t>
        </is>
      </c>
      <c r="G1104" s="4" t="inlineStr">
        <is>
          <t>B</t>
        </is>
      </c>
      <c r="H1104" s="11" t="n">
        <v>3772</v>
      </c>
      <c r="I1104" s="4" t="n">
        <v>2466.5</v>
      </c>
      <c r="J1104" s="13">
        <f>IF(I1104&gt;0,H1104/I1104,"")</f>
        <v/>
      </c>
      <c r="K1104" s="4">
        <f>IF(I1104&lt;=0,"NO DEMAND",IF(H1104=0,"STOCKOUT",IF(J1104&lt;Config!$B$5,"CRITICAL",IF(J1104&lt;Config!$B$6,"LOW",IF(J1104&gt;Config!$B$7,"EXCESS","HEALTHY")))))</f>
        <v/>
      </c>
      <c r="L1104" s="11" t="n">
        <v>24</v>
      </c>
      <c r="M1104" s="11" t="n">
        <v>28</v>
      </c>
      <c r="N1104" s="11">
        <f>H1104*L1104</f>
        <v/>
      </c>
      <c r="O1104" s="11">
        <f>IF(I1104&gt;0,I1104*(M1104-L1104),0)</f>
        <v/>
      </c>
      <c r="P1104" s="11" t="n">
        <v>0</v>
      </c>
    </row>
    <row r="1105">
      <c r="A1105" s="4" t="inlineStr">
        <is>
          <t>WH10</t>
        </is>
      </c>
      <c r="B1105" s="4" t="inlineStr">
        <is>
          <t>Kolkata DC</t>
        </is>
      </c>
      <c r="C1105" s="4" t="inlineStr">
        <is>
          <t>East</t>
        </is>
      </c>
      <c r="D1105" s="4" t="inlineStr">
        <is>
          <t>SKU021</t>
        </is>
      </c>
      <c r="E1105" s="4" t="inlineStr">
        <is>
          <t>Fruit Juice 1L</t>
        </is>
      </c>
      <c r="F1105" s="4" t="inlineStr">
        <is>
          <t>Beverages</t>
        </is>
      </c>
      <c r="G1105" s="4" t="inlineStr">
        <is>
          <t>A</t>
        </is>
      </c>
      <c r="H1105" s="11" t="n">
        <v>6487</v>
      </c>
      <c r="I1105" s="4" t="n">
        <v>1501.5</v>
      </c>
      <c r="J1105" s="13">
        <f>IF(I1105&gt;0,H1105/I1105,"")</f>
        <v/>
      </c>
      <c r="K1105" s="4">
        <f>IF(I1105&lt;=0,"NO DEMAND",IF(H1105=0,"STOCKOUT",IF(J1105&lt;Config!$B$5,"CRITICAL",IF(J1105&lt;Config!$B$6,"LOW",IF(J1105&gt;Config!$B$7,"EXCESS","HEALTHY")))))</f>
        <v/>
      </c>
      <c r="L1105" s="11" t="n">
        <v>54</v>
      </c>
      <c r="M1105" s="11" t="n">
        <v>63</v>
      </c>
      <c r="N1105" s="11">
        <f>H1105*L1105</f>
        <v/>
      </c>
      <c r="O1105" s="11">
        <f>IF(I1105&gt;0,I1105*(M1105-L1105),0)</f>
        <v/>
      </c>
      <c r="P1105" s="11" t="n">
        <v>0</v>
      </c>
    </row>
    <row r="1106">
      <c r="A1106" s="4" t="inlineStr">
        <is>
          <t>WH10</t>
        </is>
      </c>
      <c r="B1106" s="4" t="inlineStr">
        <is>
          <t>Kolkata DC</t>
        </is>
      </c>
      <c r="C1106" s="4" t="inlineStr">
        <is>
          <t>East</t>
        </is>
      </c>
      <c r="D1106" s="4" t="inlineStr">
        <is>
          <t>SKU022</t>
        </is>
      </c>
      <c r="E1106" s="4" t="inlineStr">
        <is>
          <t>Iced Tea 500ml</t>
        </is>
      </c>
      <c r="F1106" s="4" t="inlineStr">
        <is>
          <t>Beverages</t>
        </is>
      </c>
      <c r="G1106" s="4" t="inlineStr">
        <is>
          <t>A</t>
        </is>
      </c>
      <c r="H1106" s="11" t="n">
        <v>3715</v>
      </c>
      <c r="I1106" s="4" t="n">
        <v>1626.25</v>
      </c>
      <c r="J1106" s="13">
        <f>IF(I1106&gt;0,H1106/I1106,"")</f>
        <v/>
      </c>
      <c r="K1106" s="4">
        <f>IF(I1106&lt;=0,"NO DEMAND",IF(H1106=0,"STOCKOUT",IF(J1106&lt;Config!$B$5,"CRITICAL",IF(J1106&lt;Config!$B$6,"LOW",IF(J1106&gt;Config!$B$7,"EXCESS","HEALTHY")))))</f>
        <v/>
      </c>
      <c r="L1106" s="11" t="n">
        <v>53</v>
      </c>
      <c r="M1106" s="11" t="n">
        <v>64</v>
      </c>
      <c r="N1106" s="11">
        <f>H1106*L1106</f>
        <v/>
      </c>
      <c r="O1106" s="11">
        <f>IF(I1106&gt;0,I1106*(M1106-L1106),0)</f>
        <v/>
      </c>
      <c r="P1106" s="11" t="n">
        <v>0</v>
      </c>
    </row>
    <row r="1107">
      <c r="A1107" s="4" t="inlineStr">
        <is>
          <t>WH10</t>
        </is>
      </c>
      <c r="B1107" s="4" t="inlineStr">
        <is>
          <t>Kolkata DC</t>
        </is>
      </c>
      <c r="C1107" s="4" t="inlineStr">
        <is>
          <t>East</t>
        </is>
      </c>
      <c r="D1107" s="4" t="inlineStr">
        <is>
          <t>SKU023</t>
        </is>
      </c>
      <c r="E1107" s="4" t="inlineStr">
        <is>
          <t>Coconut Water 200ml</t>
        </is>
      </c>
      <c r="F1107" s="4" t="inlineStr">
        <is>
          <t>Beverages</t>
        </is>
      </c>
      <c r="G1107" s="4" t="inlineStr">
        <is>
          <t>A</t>
        </is>
      </c>
      <c r="H1107" s="11" t="n">
        <v>1546</v>
      </c>
      <c r="I1107" s="4" t="n">
        <v>1094</v>
      </c>
      <c r="J1107" s="13">
        <f>IF(I1107&gt;0,H1107/I1107,"")</f>
        <v/>
      </c>
      <c r="K1107" s="4">
        <f>IF(I1107&lt;=0,"NO DEMAND",IF(H1107=0,"STOCKOUT",IF(J1107&lt;Config!$B$5,"CRITICAL",IF(J1107&lt;Config!$B$6,"LOW",IF(J1107&gt;Config!$B$7,"EXCESS","HEALTHY")))))</f>
        <v/>
      </c>
      <c r="L1107" s="11" t="n">
        <v>59</v>
      </c>
      <c r="M1107" s="11" t="n">
        <v>69</v>
      </c>
      <c r="N1107" s="11">
        <f>H1107*L1107</f>
        <v/>
      </c>
      <c r="O1107" s="11">
        <f>IF(I1107&gt;0,I1107*(M1107-L1107),0)</f>
        <v/>
      </c>
      <c r="P1107" s="11" t="n">
        <v>4704</v>
      </c>
    </row>
    <row r="1108">
      <c r="A1108" s="4" t="inlineStr">
        <is>
          <t>WH10</t>
        </is>
      </c>
      <c r="B1108" s="4" t="inlineStr">
        <is>
          <t>Kolkata DC</t>
        </is>
      </c>
      <c r="C1108" s="4" t="inlineStr">
        <is>
          <t>East</t>
        </is>
      </c>
      <c r="D1108" s="4" t="inlineStr">
        <is>
          <t>SKU024</t>
        </is>
      </c>
      <c r="E1108" s="4" t="inlineStr">
        <is>
          <t>Instant Coffee 100g</t>
        </is>
      </c>
      <c r="F1108" s="4" t="inlineStr">
        <is>
          <t>Beverages</t>
        </is>
      </c>
      <c r="G1108" s="4" t="inlineStr">
        <is>
          <t>C</t>
        </is>
      </c>
      <c r="H1108" s="11" t="n">
        <v>292</v>
      </c>
      <c r="I1108" s="4" t="n">
        <v>747.75</v>
      </c>
      <c r="J1108" s="13">
        <f>IF(I1108&gt;0,H1108/I1108,"")</f>
        <v/>
      </c>
      <c r="K1108" s="4">
        <f>IF(I1108&lt;=0,"NO DEMAND",IF(H1108=0,"STOCKOUT",IF(J1108&lt;Config!$B$5,"CRITICAL",IF(J1108&lt;Config!$B$6,"LOW",IF(J1108&gt;Config!$B$7,"EXCESS","HEALTHY")))))</f>
        <v/>
      </c>
      <c r="L1108" s="11" t="n">
        <v>27</v>
      </c>
      <c r="M1108" s="11" t="n">
        <v>31</v>
      </c>
      <c r="N1108" s="11">
        <f>H1108*L1108</f>
        <v/>
      </c>
      <c r="O1108" s="11">
        <f>IF(I1108&gt;0,I1108*(M1108-L1108),0)</f>
        <v/>
      </c>
      <c r="P1108" s="11" t="n">
        <v>2280</v>
      </c>
    </row>
    <row r="1109">
      <c r="A1109" s="4" t="inlineStr">
        <is>
          <t>WH10</t>
        </is>
      </c>
      <c r="B1109" s="4" t="inlineStr">
        <is>
          <t>Kolkata DC</t>
        </is>
      </c>
      <c r="C1109" s="4" t="inlineStr">
        <is>
          <t>East</t>
        </is>
      </c>
      <c r="D1109" s="4" t="inlineStr">
        <is>
          <t>SKU025</t>
        </is>
      </c>
      <c r="E1109" s="4" t="inlineStr">
        <is>
          <t>Tea Bags 100pk</t>
        </is>
      </c>
      <c r="F1109" s="4" t="inlineStr">
        <is>
          <t>Beverages</t>
        </is>
      </c>
      <c r="G1109" s="4" t="inlineStr">
        <is>
          <t>C</t>
        </is>
      </c>
      <c r="H1109" s="11" t="n">
        <v>1799</v>
      </c>
      <c r="I1109" s="4" t="n">
        <v>1166.75</v>
      </c>
      <c r="J1109" s="13">
        <f>IF(I1109&gt;0,H1109/I1109,"")</f>
        <v/>
      </c>
      <c r="K1109" s="4">
        <f>IF(I1109&lt;=0,"NO DEMAND",IF(H1109=0,"STOCKOUT",IF(J1109&lt;Config!$B$5,"CRITICAL",IF(J1109&lt;Config!$B$6,"LOW",IF(J1109&gt;Config!$B$7,"EXCESS","HEALTHY")))))</f>
        <v/>
      </c>
      <c r="L1109" s="11" t="n">
        <v>24</v>
      </c>
      <c r="M1109" s="11" t="n">
        <v>28</v>
      </c>
      <c r="N1109" s="11">
        <f>H1109*L1109</f>
        <v/>
      </c>
      <c r="O1109" s="11">
        <f>IF(I1109&gt;0,I1109*(M1109-L1109),0)</f>
        <v/>
      </c>
      <c r="P1109" s="11" t="n">
        <v>0</v>
      </c>
    </row>
    <row r="1110">
      <c r="A1110" s="4" t="inlineStr">
        <is>
          <t>WH10</t>
        </is>
      </c>
      <c r="B1110" s="4" t="inlineStr">
        <is>
          <t>Kolkata DC</t>
        </is>
      </c>
      <c r="C1110" s="4" t="inlineStr">
        <is>
          <t>East</t>
        </is>
      </c>
      <c r="D1110" s="4" t="inlineStr">
        <is>
          <t>SKU026</t>
        </is>
      </c>
      <c r="E1110" s="4" t="inlineStr">
        <is>
          <t>Buttermilk 200ml</t>
        </is>
      </c>
      <c r="F1110" s="4" t="inlineStr">
        <is>
          <t>Beverages</t>
        </is>
      </c>
      <c r="G1110" s="4" t="inlineStr">
        <is>
          <t>B</t>
        </is>
      </c>
      <c r="H1110" s="11" t="n">
        <v>385</v>
      </c>
      <c r="I1110" s="4" t="n">
        <v>1000.5</v>
      </c>
      <c r="J1110" s="13">
        <f>IF(I1110&gt;0,H1110/I1110,"")</f>
        <v/>
      </c>
      <c r="K1110" s="4">
        <f>IF(I1110&lt;=0,"NO DEMAND",IF(H1110=0,"STOCKOUT",IF(J1110&lt;Config!$B$5,"CRITICAL",IF(J1110&lt;Config!$B$6,"LOW",IF(J1110&gt;Config!$B$7,"EXCESS","HEALTHY")))))</f>
        <v/>
      </c>
      <c r="L1110" s="11" t="n">
        <v>31</v>
      </c>
      <c r="M1110" s="11" t="n">
        <v>36</v>
      </c>
      <c r="N1110" s="11">
        <f>H1110*L1110</f>
        <v/>
      </c>
      <c r="O1110" s="11">
        <f>IF(I1110&gt;0,I1110*(M1110-L1110),0)</f>
        <v/>
      </c>
      <c r="P1110" s="11" t="n">
        <v>3432</v>
      </c>
    </row>
    <row r="1111">
      <c r="A1111" s="4" t="inlineStr">
        <is>
          <t>WH10</t>
        </is>
      </c>
      <c r="B1111" s="4" t="inlineStr">
        <is>
          <t>Kolkata DC</t>
        </is>
      </c>
      <c r="C1111" s="4" t="inlineStr">
        <is>
          <t>East</t>
        </is>
      </c>
      <c r="D1111" s="4" t="inlineStr">
        <is>
          <t>SKU027</t>
        </is>
      </c>
      <c r="E1111" s="4" t="inlineStr">
        <is>
          <t>Lassi 200ml</t>
        </is>
      </c>
      <c r="F1111" s="4" t="inlineStr">
        <is>
          <t>Beverages</t>
        </is>
      </c>
      <c r="G1111" s="4" t="inlineStr">
        <is>
          <t>A</t>
        </is>
      </c>
      <c r="H1111" s="11" t="n">
        <v>3658</v>
      </c>
      <c r="I1111" s="4" t="n">
        <v>912.75</v>
      </c>
      <c r="J1111" s="13">
        <f>IF(I1111&gt;0,H1111/I1111,"")</f>
        <v/>
      </c>
      <c r="K1111" s="4">
        <f>IF(I1111&lt;=0,"NO DEMAND",IF(H1111=0,"STOCKOUT",IF(J1111&lt;Config!$B$5,"CRITICAL",IF(J1111&lt;Config!$B$6,"LOW",IF(J1111&gt;Config!$B$7,"EXCESS","HEALTHY")))))</f>
        <v/>
      </c>
      <c r="L1111" s="11" t="n">
        <v>60</v>
      </c>
      <c r="M1111" s="11" t="n">
        <v>72</v>
      </c>
      <c r="N1111" s="11">
        <f>H1111*L1111</f>
        <v/>
      </c>
      <c r="O1111" s="11">
        <f>IF(I1111&gt;0,I1111*(M1111-L1111),0)</f>
        <v/>
      </c>
      <c r="P1111" s="11" t="n">
        <v>0</v>
      </c>
    </row>
    <row r="1112">
      <c r="A1112" s="4" t="inlineStr">
        <is>
          <t>WH10</t>
        </is>
      </c>
      <c r="B1112" s="4" t="inlineStr">
        <is>
          <t>Kolkata DC</t>
        </is>
      </c>
      <c r="C1112" s="4" t="inlineStr">
        <is>
          <t>East</t>
        </is>
      </c>
      <c r="D1112" s="4" t="inlineStr">
        <is>
          <t>SKU028</t>
        </is>
      </c>
      <c r="E1112" s="4" t="inlineStr">
        <is>
          <t>Sports Drink 500ml</t>
        </is>
      </c>
      <c r="F1112" s="4" t="inlineStr">
        <is>
          <t>Beverages</t>
        </is>
      </c>
      <c r="G1112" s="4" t="inlineStr">
        <is>
          <t>A</t>
        </is>
      </c>
      <c r="H1112" s="11" t="n">
        <v>918</v>
      </c>
      <c r="I1112" s="4" t="n">
        <v>1662.75</v>
      </c>
      <c r="J1112" s="13">
        <f>IF(I1112&gt;0,H1112/I1112,"")</f>
        <v/>
      </c>
      <c r="K1112" s="4">
        <f>IF(I1112&lt;=0,"NO DEMAND",IF(H1112=0,"STOCKOUT",IF(J1112&lt;Config!$B$5,"CRITICAL",IF(J1112&lt;Config!$B$6,"LOW",IF(J1112&gt;Config!$B$7,"EXCESS","HEALTHY")))))</f>
        <v/>
      </c>
      <c r="L1112" s="11" t="n">
        <v>110</v>
      </c>
      <c r="M1112" s="11" t="n">
        <v>131</v>
      </c>
      <c r="N1112" s="11">
        <f>H1112*L1112</f>
        <v/>
      </c>
      <c r="O1112" s="11">
        <f>IF(I1112&gt;0,I1112*(M1112-L1112),0)</f>
        <v/>
      </c>
      <c r="P1112" s="11" t="n">
        <v>5352</v>
      </c>
    </row>
    <row r="1113">
      <c r="A1113" s="4" t="inlineStr">
        <is>
          <t>WH10</t>
        </is>
      </c>
      <c r="B1113" s="4" t="inlineStr">
        <is>
          <t>Kolkata DC</t>
        </is>
      </c>
      <c r="C1113" s="4" t="inlineStr">
        <is>
          <t>East</t>
        </is>
      </c>
      <c r="D1113" s="4" t="inlineStr">
        <is>
          <t>SKU029</t>
        </is>
      </c>
      <c r="E1113" s="4" t="inlineStr">
        <is>
          <t>Tonic Water 300ml</t>
        </is>
      </c>
      <c r="F1113" s="4" t="inlineStr">
        <is>
          <t>Beverages</t>
        </is>
      </c>
      <c r="G1113" s="4" t="inlineStr">
        <is>
          <t>B</t>
        </is>
      </c>
      <c r="H1113" s="11" t="n">
        <v>3263</v>
      </c>
      <c r="I1113" s="4" t="n">
        <v>1711</v>
      </c>
      <c r="J1113" s="13">
        <f>IF(I1113&gt;0,H1113/I1113,"")</f>
        <v/>
      </c>
      <c r="K1113" s="4">
        <f>IF(I1113&lt;=0,"NO DEMAND",IF(H1113=0,"STOCKOUT",IF(J1113&lt;Config!$B$5,"CRITICAL",IF(J1113&lt;Config!$B$6,"LOW",IF(J1113&gt;Config!$B$7,"EXCESS","HEALTHY")))))</f>
        <v/>
      </c>
      <c r="L1113" s="11" t="n">
        <v>23</v>
      </c>
      <c r="M1113" s="11" t="n">
        <v>27</v>
      </c>
      <c r="N1113" s="11">
        <f>H1113*L1113</f>
        <v/>
      </c>
      <c r="O1113" s="11">
        <f>IF(I1113&gt;0,I1113*(M1113-L1113),0)</f>
        <v/>
      </c>
      <c r="P1113" s="11" t="n">
        <v>5112</v>
      </c>
    </row>
    <row r="1114">
      <c r="A1114" s="4" t="inlineStr">
        <is>
          <t>WH10</t>
        </is>
      </c>
      <c r="B1114" s="4" t="inlineStr">
        <is>
          <t>Kolkata DC</t>
        </is>
      </c>
      <c r="C1114" s="4" t="inlineStr">
        <is>
          <t>East</t>
        </is>
      </c>
      <c r="D1114" s="4" t="inlineStr">
        <is>
          <t>SKU030</t>
        </is>
      </c>
      <c r="E1114" s="4" t="inlineStr">
        <is>
          <t>Malt Drink 500g</t>
        </is>
      </c>
      <c r="F1114" s="4" t="inlineStr">
        <is>
          <t>Beverages</t>
        </is>
      </c>
      <c r="G1114" s="4" t="inlineStr">
        <is>
          <t>C</t>
        </is>
      </c>
      <c r="H1114" s="11" t="n">
        <v>364</v>
      </c>
      <c r="I1114" s="4" t="n">
        <v>248.5</v>
      </c>
      <c r="J1114" s="13">
        <f>IF(I1114&gt;0,H1114/I1114,"")</f>
        <v/>
      </c>
      <c r="K1114" s="4">
        <f>IF(I1114&lt;=0,"NO DEMAND",IF(H1114=0,"STOCKOUT",IF(J1114&lt;Config!$B$5,"CRITICAL",IF(J1114&lt;Config!$B$6,"LOW",IF(J1114&gt;Config!$B$7,"EXCESS","HEALTHY")))))</f>
        <v/>
      </c>
      <c r="L1114" s="11" t="n">
        <v>31</v>
      </c>
      <c r="M1114" s="11" t="n">
        <v>37</v>
      </c>
      <c r="N1114" s="11">
        <f>H1114*L1114</f>
        <v/>
      </c>
      <c r="O1114" s="11">
        <f>IF(I1114&gt;0,I1114*(M1114-L1114),0)</f>
        <v/>
      </c>
      <c r="P1114" s="11" t="n">
        <v>2664</v>
      </c>
    </row>
    <row r="1115">
      <c r="A1115" s="4" t="inlineStr">
        <is>
          <t>WH10</t>
        </is>
      </c>
      <c r="B1115" s="4" t="inlineStr">
        <is>
          <t>Kolkata DC</t>
        </is>
      </c>
      <c r="C1115" s="4" t="inlineStr">
        <is>
          <t>East</t>
        </is>
      </c>
      <c r="D1115" s="4" t="inlineStr">
        <is>
          <t>SKU031</t>
        </is>
      </c>
      <c r="E1115" s="4" t="inlineStr">
        <is>
          <t>Potato Chips 90g</t>
        </is>
      </c>
      <c r="F1115" s="4" t="inlineStr">
        <is>
          <t>Snacks &amp; Confectionery</t>
        </is>
      </c>
      <c r="G1115" s="4" t="inlineStr">
        <is>
          <t>C</t>
        </is>
      </c>
      <c r="H1115" s="11" t="n">
        <v>729</v>
      </c>
      <c r="I1115" s="4" t="n">
        <v>1108</v>
      </c>
      <c r="J1115" s="13">
        <f>IF(I1115&gt;0,H1115/I1115,"")</f>
        <v/>
      </c>
      <c r="K1115" s="4">
        <f>IF(I1115&lt;=0,"NO DEMAND",IF(H1115=0,"STOCKOUT",IF(J1115&lt;Config!$B$5,"CRITICAL",IF(J1115&lt;Config!$B$6,"LOW",IF(J1115&gt;Config!$B$7,"EXCESS","HEALTHY")))))</f>
        <v/>
      </c>
      <c r="L1115" s="11" t="n">
        <v>13</v>
      </c>
      <c r="M1115" s="11" t="n">
        <v>16</v>
      </c>
      <c r="N1115" s="11">
        <f>H1115*L1115</f>
        <v/>
      </c>
      <c r="O1115" s="11">
        <f>IF(I1115&gt;0,I1115*(M1115-L1115),0)</f>
        <v/>
      </c>
      <c r="P1115" s="11" t="n">
        <v>4800</v>
      </c>
    </row>
    <row r="1116">
      <c r="A1116" s="4" t="inlineStr">
        <is>
          <t>WH10</t>
        </is>
      </c>
      <c r="B1116" s="4" t="inlineStr">
        <is>
          <t>Kolkata DC</t>
        </is>
      </c>
      <c r="C1116" s="4" t="inlineStr">
        <is>
          <t>East</t>
        </is>
      </c>
      <c r="D1116" s="4" t="inlineStr">
        <is>
          <t>SKU032</t>
        </is>
      </c>
      <c r="E1116" s="4" t="inlineStr">
        <is>
          <t>Namkeen Mix 400g</t>
        </is>
      </c>
      <c r="F1116" s="4" t="inlineStr">
        <is>
          <t>Snacks &amp; Confectionery</t>
        </is>
      </c>
      <c r="G1116" s="4" t="inlineStr">
        <is>
          <t>C</t>
        </is>
      </c>
      <c r="H1116" s="11" t="n">
        <v>609</v>
      </c>
      <c r="I1116" s="4" t="n">
        <v>295</v>
      </c>
      <c r="J1116" s="13">
        <f>IF(I1116&gt;0,H1116/I1116,"")</f>
        <v/>
      </c>
      <c r="K1116" s="4">
        <f>IF(I1116&lt;=0,"NO DEMAND",IF(H1116=0,"STOCKOUT",IF(J1116&lt;Config!$B$5,"CRITICAL",IF(J1116&lt;Config!$B$6,"LOW",IF(J1116&gt;Config!$B$7,"EXCESS","HEALTHY")))))</f>
        <v/>
      </c>
      <c r="L1116" s="11" t="n">
        <v>14</v>
      </c>
      <c r="M1116" s="11" t="n">
        <v>17</v>
      </c>
      <c r="N1116" s="11">
        <f>H1116*L1116</f>
        <v/>
      </c>
      <c r="O1116" s="11">
        <f>IF(I1116&gt;0,I1116*(M1116-L1116),0)</f>
        <v/>
      </c>
      <c r="P1116" s="11" t="n">
        <v>1260</v>
      </c>
    </row>
    <row r="1117">
      <c r="A1117" s="4" t="inlineStr">
        <is>
          <t>WH10</t>
        </is>
      </c>
      <c r="B1117" s="4" t="inlineStr">
        <is>
          <t>Kolkata DC</t>
        </is>
      </c>
      <c r="C1117" s="4" t="inlineStr">
        <is>
          <t>East</t>
        </is>
      </c>
      <c r="D1117" s="4" t="inlineStr">
        <is>
          <t>SKU033</t>
        </is>
      </c>
      <c r="E1117" s="4" t="inlineStr">
        <is>
          <t>Glucose Biscuits 300g</t>
        </is>
      </c>
      <c r="F1117" s="4" t="inlineStr">
        <is>
          <t>Snacks &amp; Confectionery</t>
        </is>
      </c>
      <c r="G1117" s="4" t="inlineStr">
        <is>
          <t>A</t>
        </is>
      </c>
      <c r="H1117" s="11" t="n">
        <v>554</v>
      </c>
      <c r="I1117" s="4" t="n">
        <v>788.25</v>
      </c>
      <c r="J1117" s="13">
        <f>IF(I1117&gt;0,H1117/I1117,"")</f>
        <v/>
      </c>
      <c r="K1117" s="4">
        <f>IF(I1117&lt;=0,"NO DEMAND",IF(H1117=0,"STOCKOUT",IF(J1117&lt;Config!$B$5,"CRITICAL",IF(J1117&lt;Config!$B$6,"LOW",IF(J1117&gt;Config!$B$7,"EXCESS","HEALTHY")))))</f>
        <v/>
      </c>
      <c r="L1117" s="11" t="n">
        <v>119</v>
      </c>
      <c r="M1117" s="11" t="n">
        <v>144</v>
      </c>
      <c r="N1117" s="11">
        <f>H1117*L1117</f>
        <v/>
      </c>
      <c r="O1117" s="11">
        <f>IF(I1117&gt;0,I1117*(M1117-L1117),0)</f>
        <v/>
      </c>
      <c r="P1117" s="11" t="n">
        <v>2628</v>
      </c>
    </row>
    <row r="1118">
      <c r="A1118" s="4" t="inlineStr">
        <is>
          <t>WH10</t>
        </is>
      </c>
      <c r="B1118" s="4" t="inlineStr">
        <is>
          <t>Kolkata DC</t>
        </is>
      </c>
      <c r="C1118" s="4" t="inlineStr">
        <is>
          <t>East</t>
        </is>
      </c>
      <c r="D1118" s="4" t="inlineStr">
        <is>
          <t>SKU034</t>
        </is>
      </c>
      <c r="E1118" s="4" t="inlineStr">
        <is>
          <t>Cream Biscuits 120g</t>
        </is>
      </c>
      <c r="F1118" s="4" t="inlineStr">
        <is>
          <t>Snacks &amp; Confectionery</t>
        </is>
      </c>
      <c r="G1118" s="4" t="inlineStr">
        <is>
          <t>B</t>
        </is>
      </c>
      <c r="H1118" s="11" t="n">
        <v>979</v>
      </c>
      <c r="I1118" s="4" t="n">
        <v>1277.5</v>
      </c>
      <c r="J1118" s="13">
        <f>IF(I1118&gt;0,H1118/I1118,"")</f>
        <v/>
      </c>
      <c r="K1118" s="4">
        <f>IF(I1118&lt;=0,"NO DEMAND",IF(H1118=0,"STOCKOUT",IF(J1118&lt;Config!$B$5,"CRITICAL",IF(J1118&lt;Config!$B$6,"LOW",IF(J1118&gt;Config!$B$7,"EXCESS","HEALTHY")))))</f>
        <v/>
      </c>
      <c r="L1118" s="11" t="n">
        <v>61</v>
      </c>
      <c r="M1118" s="11" t="n">
        <v>73</v>
      </c>
      <c r="N1118" s="11">
        <f>H1118*L1118</f>
        <v/>
      </c>
      <c r="O1118" s="11">
        <f>IF(I1118&gt;0,I1118*(M1118-L1118),0)</f>
        <v/>
      </c>
      <c r="P1118" s="11" t="n">
        <v>3756</v>
      </c>
    </row>
    <row r="1119">
      <c r="A1119" s="4" t="inlineStr">
        <is>
          <t>WH10</t>
        </is>
      </c>
      <c r="B1119" s="4" t="inlineStr">
        <is>
          <t>Kolkata DC</t>
        </is>
      </c>
      <c r="C1119" s="4" t="inlineStr">
        <is>
          <t>East</t>
        </is>
      </c>
      <c r="D1119" s="4" t="inlineStr">
        <is>
          <t>SKU035</t>
        </is>
      </c>
      <c r="E1119" s="4" t="inlineStr">
        <is>
          <t>Chocolate Bar 40g</t>
        </is>
      </c>
      <c r="F1119" s="4" t="inlineStr">
        <is>
          <t>Snacks &amp; Confectionery</t>
        </is>
      </c>
      <c r="G1119" s="4" t="inlineStr">
        <is>
          <t>C</t>
        </is>
      </c>
      <c r="H1119" s="11" t="n">
        <v>2314</v>
      </c>
      <c r="I1119" s="4" t="n">
        <v>797.75</v>
      </c>
      <c r="J1119" s="13">
        <f>IF(I1119&gt;0,H1119/I1119,"")</f>
        <v/>
      </c>
      <c r="K1119" s="4">
        <f>IF(I1119&lt;=0,"NO DEMAND",IF(H1119=0,"STOCKOUT",IF(J1119&lt;Config!$B$5,"CRITICAL",IF(J1119&lt;Config!$B$6,"LOW",IF(J1119&gt;Config!$B$7,"EXCESS","HEALTHY")))))</f>
        <v/>
      </c>
      <c r="L1119" s="11" t="n">
        <v>16</v>
      </c>
      <c r="M1119" s="11" t="n">
        <v>20</v>
      </c>
      <c r="N1119" s="11">
        <f>H1119*L1119</f>
        <v/>
      </c>
      <c r="O1119" s="11">
        <f>IF(I1119&gt;0,I1119*(M1119-L1119),0)</f>
        <v/>
      </c>
      <c r="P1119" s="11" t="n">
        <v>0</v>
      </c>
    </row>
    <row r="1120">
      <c r="A1120" s="4" t="inlineStr">
        <is>
          <t>WH10</t>
        </is>
      </c>
      <c r="B1120" s="4" t="inlineStr">
        <is>
          <t>Kolkata DC</t>
        </is>
      </c>
      <c r="C1120" s="4" t="inlineStr">
        <is>
          <t>East</t>
        </is>
      </c>
      <c r="D1120" s="4" t="inlineStr">
        <is>
          <t>SKU036</t>
        </is>
      </c>
      <c r="E1120" s="4" t="inlineStr">
        <is>
          <t>Instant Noodles 70g</t>
        </is>
      </c>
      <c r="F1120" s="4" t="inlineStr">
        <is>
          <t>Snacks &amp; Confectionery</t>
        </is>
      </c>
      <c r="G1120" s="4" t="inlineStr">
        <is>
          <t>C</t>
        </is>
      </c>
      <c r="H1120" s="11" t="n">
        <v>2227</v>
      </c>
      <c r="I1120" s="4" t="n">
        <v>442.5</v>
      </c>
      <c r="J1120" s="13">
        <f>IF(I1120&gt;0,H1120/I1120,"")</f>
        <v/>
      </c>
      <c r="K1120" s="4">
        <f>IF(I1120&lt;=0,"NO DEMAND",IF(H1120=0,"STOCKOUT",IF(J1120&lt;Config!$B$5,"CRITICAL",IF(J1120&lt;Config!$B$6,"LOW",IF(J1120&gt;Config!$B$7,"EXCESS","HEALTHY")))))</f>
        <v/>
      </c>
      <c r="L1120" s="11" t="n">
        <v>19</v>
      </c>
      <c r="M1120" s="11" t="n">
        <v>24</v>
      </c>
      <c r="N1120" s="11">
        <f>H1120*L1120</f>
        <v/>
      </c>
      <c r="O1120" s="11">
        <f>IF(I1120&gt;0,I1120*(M1120-L1120),0)</f>
        <v/>
      </c>
      <c r="P1120" s="11" t="n">
        <v>0</v>
      </c>
    </row>
    <row r="1121">
      <c r="A1121" s="4" t="inlineStr">
        <is>
          <t>WH10</t>
        </is>
      </c>
      <c r="B1121" s="4" t="inlineStr">
        <is>
          <t>Kolkata DC</t>
        </is>
      </c>
      <c r="C1121" s="4" t="inlineStr">
        <is>
          <t>East</t>
        </is>
      </c>
      <c r="D1121" s="4" t="inlineStr">
        <is>
          <t>SKU037</t>
        </is>
      </c>
      <c r="E1121" s="4" t="inlineStr">
        <is>
          <t>Popcorn 60g</t>
        </is>
      </c>
      <c r="F1121" s="4" t="inlineStr">
        <is>
          <t>Snacks &amp; Confectionery</t>
        </is>
      </c>
      <c r="G1121" s="4" t="inlineStr">
        <is>
          <t>A</t>
        </is>
      </c>
      <c r="H1121" s="11" t="n">
        <v>456</v>
      </c>
      <c r="I1121" s="4" t="n">
        <v>560</v>
      </c>
      <c r="J1121" s="13">
        <f>IF(I1121&gt;0,H1121/I1121,"")</f>
        <v/>
      </c>
      <c r="K1121" s="4">
        <f>IF(I1121&lt;=0,"NO DEMAND",IF(H1121=0,"STOCKOUT",IF(J1121&lt;Config!$B$5,"CRITICAL",IF(J1121&lt;Config!$B$6,"LOW",IF(J1121&gt;Config!$B$7,"EXCESS","HEALTHY")))))</f>
        <v/>
      </c>
      <c r="L1121" s="11" t="n">
        <v>137</v>
      </c>
      <c r="M1121" s="11" t="n">
        <v>163</v>
      </c>
      <c r="N1121" s="11">
        <f>H1121*L1121</f>
        <v/>
      </c>
      <c r="O1121" s="11">
        <f>IF(I1121&gt;0,I1121*(M1121-L1121),0)</f>
        <v/>
      </c>
      <c r="P1121" s="11" t="n">
        <v>1788</v>
      </c>
    </row>
    <row r="1122">
      <c r="A1122" s="4" t="inlineStr">
        <is>
          <t>WH10</t>
        </is>
      </c>
      <c r="B1122" s="4" t="inlineStr">
        <is>
          <t>Kolkata DC</t>
        </is>
      </c>
      <c r="C1122" s="4" t="inlineStr">
        <is>
          <t>East</t>
        </is>
      </c>
      <c r="D1122" s="4" t="inlineStr">
        <is>
          <t>SKU038</t>
        </is>
      </c>
      <c r="E1122" s="4" t="inlineStr">
        <is>
          <t>Peanut Chikki 200g</t>
        </is>
      </c>
      <c r="F1122" s="4" t="inlineStr">
        <is>
          <t>Snacks &amp; Confectionery</t>
        </is>
      </c>
      <c r="G1122" s="4" t="inlineStr">
        <is>
          <t>C</t>
        </is>
      </c>
      <c r="H1122" s="11" t="n">
        <v>563</v>
      </c>
      <c r="I1122" s="4" t="n">
        <v>812</v>
      </c>
      <c r="J1122" s="13">
        <f>IF(I1122&gt;0,H1122/I1122,"")</f>
        <v/>
      </c>
      <c r="K1122" s="4">
        <f>IF(I1122&lt;=0,"NO DEMAND",IF(H1122=0,"STOCKOUT",IF(J1122&lt;Config!$B$5,"CRITICAL",IF(J1122&lt;Config!$B$6,"LOW",IF(J1122&gt;Config!$B$7,"EXCESS","HEALTHY")))))</f>
        <v/>
      </c>
      <c r="L1122" s="11" t="n">
        <v>18</v>
      </c>
      <c r="M1122" s="11" t="n">
        <v>22</v>
      </c>
      <c r="N1122" s="11">
        <f>H1122*L1122</f>
        <v/>
      </c>
      <c r="O1122" s="11">
        <f>IF(I1122&gt;0,I1122*(M1122-L1122),0)</f>
        <v/>
      </c>
      <c r="P1122" s="11" t="n">
        <v>3180</v>
      </c>
    </row>
    <row r="1123">
      <c r="A1123" s="4" t="inlineStr">
        <is>
          <t>WH10</t>
        </is>
      </c>
      <c r="B1123" s="4" t="inlineStr">
        <is>
          <t>Kolkata DC</t>
        </is>
      </c>
      <c r="C1123" s="4" t="inlineStr">
        <is>
          <t>East</t>
        </is>
      </c>
      <c r="D1123" s="4" t="inlineStr">
        <is>
          <t>SKU039</t>
        </is>
      </c>
      <c r="E1123" s="4" t="inlineStr">
        <is>
          <t>Cookies 200g</t>
        </is>
      </c>
      <c r="F1123" s="4" t="inlineStr">
        <is>
          <t>Snacks &amp; Confectionery</t>
        </is>
      </c>
      <c r="G1123" s="4" t="inlineStr">
        <is>
          <t>A</t>
        </is>
      </c>
      <c r="H1123" s="11" t="n">
        <v>2522</v>
      </c>
      <c r="I1123" s="4" t="n">
        <v>1004</v>
      </c>
      <c r="J1123" s="13">
        <f>IF(I1123&gt;0,H1123/I1123,"")</f>
        <v/>
      </c>
      <c r="K1123" s="4">
        <f>IF(I1123&lt;=0,"NO DEMAND",IF(H1123=0,"STOCKOUT",IF(J1123&lt;Config!$B$5,"CRITICAL",IF(J1123&lt;Config!$B$6,"LOW",IF(J1123&gt;Config!$B$7,"EXCESS","HEALTHY")))))</f>
        <v/>
      </c>
      <c r="L1123" s="11" t="n">
        <v>126</v>
      </c>
      <c r="M1123" s="11" t="n">
        <v>150</v>
      </c>
      <c r="N1123" s="11">
        <f>H1123*L1123</f>
        <v/>
      </c>
      <c r="O1123" s="11">
        <f>IF(I1123&gt;0,I1123*(M1123-L1123),0)</f>
        <v/>
      </c>
      <c r="P1123" s="11" t="n">
        <v>0</v>
      </c>
    </row>
    <row r="1124">
      <c r="A1124" s="4" t="inlineStr">
        <is>
          <t>WH10</t>
        </is>
      </c>
      <c r="B1124" s="4" t="inlineStr">
        <is>
          <t>Kolkata DC</t>
        </is>
      </c>
      <c r="C1124" s="4" t="inlineStr">
        <is>
          <t>East</t>
        </is>
      </c>
      <c r="D1124" s="4" t="inlineStr">
        <is>
          <t>SKU040</t>
        </is>
      </c>
      <c r="E1124" s="4" t="inlineStr">
        <is>
          <t>Wafers 75g</t>
        </is>
      </c>
      <c r="F1124" s="4" t="inlineStr">
        <is>
          <t>Snacks &amp; Confectionery</t>
        </is>
      </c>
      <c r="G1124" s="4" t="inlineStr">
        <is>
          <t>A</t>
        </is>
      </c>
      <c r="H1124" s="11" t="n">
        <v>1846</v>
      </c>
      <c r="I1124" s="4" t="n">
        <v>1498.5</v>
      </c>
      <c r="J1124" s="13">
        <f>IF(I1124&gt;0,H1124/I1124,"")</f>
        <v/>
      </c>
      <c r="K1124" s="4">
        <f>IF(I1124&lt;=0,"NO DEMAND",IF(H1124=0,"STOCKOUT",IF(J1124&lt;Config!$B$5,"CRITICAL",IF(J1124&lt;Config!$B$6,"LOW",IF(J1124&gt;Config!$B$7,"EXCESS","HEALTHY")))))</f>
        <v/>
      </c>
      <c r="L1124" s="11" t="n">
        <v>90</v>
      </c>
      <c r="M1124" s="11" t="n">
        <v>109</v>
      </c>
      <c r="N1124" s="11">
        <f>H1124*L1124</f>
        <v/>
      </c>
      <c r="O1124" s="11">
        <f>IF(I1124&gt;0,I1124*(M1124-L1124),0)</f>
        <v/>
      </c>
      <c r="P1124" s="11" t="n">
        <v>4404</v>
      </c>
    </row>
    <row r="1125">
      <c r="A1125" s="4" t="inlineStr">
        <is>
          <t>WH10</t>
        </is>
      </c>
      <c r="B1125" s="4" t="inlineStr">
        <is>
          <t>Kolkata DC</t>
        </is>
      </c>
      <c r="C1125" s="4" t="inlineStr">
        <is>
          <t>East</t>
        </is>
      </c>
      <c r="D1125" s="4" t="inlineStr">
        <is>
          <t>SKU041</t>
        </is>
      </c>
      <c r="E1125" s="4" t="inlineStr">
        <is>
          <t>Mathri 250g</t>
        </is>
      </c>
      <c r="F1125" s="4" t="inlineStr">
        <is>
          <t>Snacks &amp; Confectionery</t>
        </is>
      </c>
      <c r="G1125" s="4" t="inlineStr">
        <is>
          <t>A</t>
        </is>
      </c>
      <c r="H1125" s="11" t="n">
        <v>1401</v>
      </c>
      <c r="I1125" s="4" t="n">
        <v>471.75</v>
      </c>
      <c r="J1125" s="13">
        <f>IF(I1125&gt;0,H1125/I1125,"")</f>
        <v/>
      </c>
      <c r="K1125" s="4">
        <f>IF(I1125&lt;=0,"NO DEMAND",IF(H1125=0,"STOCKOUT",IF(J1125&lt;Config!$B$5,"CRITICAL",IF(J1125&lt;Config!$B$6,"LOW",IF(J1125&gt;Config!$B$7,"EXCESS","HEALTHY")))))</f>
        <v/>
      </c>
      <c r="L1125" s="11" t="n">
        <v>100</v>
      </c>
      <c r="M1125" s="11" t="n">
        <v>125</v>
      </c>
      <c r="N1125" s="11">
        <f>H1125*L1125</f>
        <v/>
      </c>
      <c r="O1125" s="11">
        <f>IF(I1125&gt;0,I1125*(M1125-L1125),0)</f>
        <v/>
      </c>
      <c r="P1125" s="11" t="n">
        <v>0</v>
      </c>
    </row>
    <row r="1126">
      <c r="A1126" s="4" t="inlineStr">
        <is>
          <t>WH10</t>
        </is>
      </c>
      <c r="B1126" s="4" t="inlineStr">
        <is>
          <t>Kolkata DC</t>
        </is>
      </c>
      <c r="C1126" s="4" t="inlineStr">
        <is>
          <t>East</t>
        </is>
      </c>
      <c r="D1126" s="4" t="inlineStr">
        <is>
          <t>SKU042</t>
        </is>
      </c>
      <c r="E1126" s="4" t="inlineStr">
        <is>
          <t>Dry Fruit Mix 250g</t>
        </is>
      </c>
      <c r="F1126" s="4" t="inlineStr">
        <is>
          <t>Snacks &amp; Confectionery</t>
        </is>
      </c>
      <c r="G1126" s="4" t="inlineStr">
        <is>
          <t>A</t>
        </is>
      </c>
      <c r="H1126" s="11" t="n">
        <v>0</v>
      </c>
      <c r="I1126" s="4" t="n">
        <v>243.25</v>
      </c>
      <c r="J1126" s="13">
        <f>IF(I1126&gt;0,H1126/I1126,"")</f>
        <v/>
      </c>
      <c r="K1126" s="4">
        <f>IF(I1126&lt;=0,"NO DEMAND",IF(H1126=0,"STOCKOUT",IF(J1126&lt;Config!$B$5,"CRITICAL",IF(J1126&lt;Config!$B$6,"LOW",IF(J1126&gt;Config!$B$7,"EXCESS","HEALTHY")))))</f>
        <v/>
      </c>
      <c r="L1126" s="11" t="n">
        <v>74</v>
      </c>
      <c r="M1126" s="11" t="n">
        <v>88</v>
      </c>
      <c r="N1126" s="11">
        <f>H1126*L1126</f>
        <v/>
      </c>
      <c r="O1126" s="11">
        <f>IF(I1126&gt;0,I1126*(M1126-L1126),0)</f>
        <v/>
      </c>
      <c r="P1126" s="11" t="n">
        <v>2292</v>
      </c>
    </row>
    <row r="1127">
      <c r="A1127" s="4" t="inlineStr">
        <is>
          <t>WH10</t>
        </is>
      </c>
      <c r="B1127" s="4" t="inlineStr">
        <is>
          <t>Kolkata DC</t>
        </is>
      </c>
      <c r="C1127" s="4" t="inlineStr">
        <is>
          <t>East</t>
        </is>
      </c>
      <c r="D1127" s="4" t="inlineStr">
        <is>
          <t>SKU043</t>
        </is>
      </c>
      <c r="E1127" s="4" t="inlineStr">
        <is>
          <t>Soan Papdi 500g</t>
        </is>
      </c>
      <c r="F1127" s="4" t="inlineStr">
        <is>
          <t>Snacks &amp; Confectionery</t>
        </is>
      </c>
      <c r="G1127" s="4" t="inlineStr">
        <is>
          <t>C</t>
        </is>
      </c>
      <c r="H1127" s="11" t="n">
        <v>0</v>
      </c>
      <c r="I1127" s="4" t="n">
        <v>710.25</v>
      </c>
      <c r="J1127" s="13">
        <f>IF(I1127&gt;0,H1127/I1127,"")</f>
        <v/>
      </c>
      <c r="K1127" s="4">
        <f>IF(I1127&lt;=0,"NO DEMAND",IF(H1127=0,"STOCKOUT",IF(J1127&lt;Config!$B$5,"CRITICAL",IF(J1127&lt;Config!$B$6,"LOW",IF(J1127&gt;Config!$B$7,"EXCESS","HEALTHY")))))</f>
        <v/>
      </c>
      <c r="L1127" s="11" t="n">
        <v>15</v>
      </c>
      <c r="M1127" s="11" t="n">
        <v>18</v>
      </c>
      <c r="N1127" s="11">
        <f>H1127*L1127</f>
        <v/>
      </c>
      <c r="O1127" s="11">
        <f>IF(I1127&gt;0,I1127*(M1127-L1127),0)</f>
        <v/>
      </c>
      <c r="P1127" s="11" t="n">
        <v>2604</v>
      </c>
    </row>
    <row r="1128">
      <c r="A1128" s="4" t="inlineStr">
        <is>
          <t>WH10</t>
        </is>
      </c>
      <c r="B1128" s="4" t="inlineStr">
        <is>
          <t>Kolkata DC</t>
        </is>
      </c>
      <c r="C1128" s="4" t="inlineStr">
        <is>
          <t>East</t>
        </is>
      </c>
      <c r="D1128" s="4" t="inlineStr">
        <is>
          <t>SKU044</t>
        </is>
      </c>
      <c r="E1128" s="4" t="inlineStr">
        <is>
          <t>Rusk 300g</t>
        </is>
      </c>
      <c r="F1128" s="4" t="inlineStr">
        <is>
          <t>Snacks &amp; Confectionery</t>
        </is>
      </c>
      <c r="G1128" s="4" t="inlineStr">
        <is>
          <t>A</t>
        </is>
      </c>
      <c r="H1128" s="11" t="n">
        <v>573</v>
      </c>
      <c r="I1128" s="4" t="n">
        <v>276</v>
      </c>
      <c r="J1128" s="13">
        <f>IF(I1128&gt;0,H1128/I1128,"")</f>
        <v/>
      </c>
      <c r="K1128" s="4">
        <f>IF(I1128&lt;=0,"NO DEMAND",IF(H1128=0,"STOCKOUT",IF(J1128&lt;Config!$B$5,"CRITICAL",IF(J1128&lt;Config!$B$6,"LOW",IF(J1128&gt;Config!$B$7,"EXCESS","HEALTHY")))))</f>
        <v/>
      </c>
      <c r="L1128" s="11" t="n">
        <v>57</v>
      </c>
      <c r="M1128" s="11" t="n">
        <v>70</v>
      </c>
      <c r="N1128" s="11">
        <f>H1128*L1128</f>
        <v/>
      </c>
      <c r="O1128" s="11">
        <f>IF(I1128&gt;0,I1128*(M1128-L1128),0)</f>
        <v/>
      </c>
      <c r="P1128" s="11" t="n">
        <v>0</v>
      </c>
    </row>
    <row r="1129">
      <c r="A1129" s="4" t="inlineStr">
        <is>
          <t>WH10</t>
        </is>
      </c>
      <c r="B1129" s="4" t="inlineStr">
        <is>
          <t>Kolkata DC</t>
        </is>
      </c>
      <c r="C1129" s="4" t="inlineStr">
        <is>
          <t>East</t>
        </is>
      </c>
      <c r="D1129" s="4" t="inlineStr">
        <is>
          <t>SKU045</t>
        </is>
      </c>
      <c r="E1129" s="4" t="inlineStr">
        <is>
          <t>Candy Pack 150g</t>
        </is>
      </c>
      <c r="F1129" s="4" t="inlineStr">
        <is>
          <t>Snacks &amp; Confectionery</t>
        </is>
      </c>
      <c r="G1129" s="4" t="inlineStr">
        <is>
          <t>C</t>
        </is>
      </c>
      <c r="H1129" s="11" t="n">
        <v>1476</v>
      </c>
      <c r="I1129" s="4" t="n">
        <v>1081.75</v>
      </c>
      <c r="J1129" s="13">
        <f>IF(I1129&gt;0,H1129/I1129,"")</f>
        <v/>
      </c>
      <c r="K1129" s="4">
        <f>IF(I1129&lt;=0,"NO DEMAND",IF(H1129=0,"STOCKOUT",IF(J1129&lt;Config!$B$5,"CRITICAL",IF(J1129&lt;Config!$B$6,"LOW",IF(J1129&gt;Config!$B$7,"EXCESS","HEALTHY")))))</f>
        <v/>
      </c>
      <c r="L1129" s="11" t="n">
        <v>22</v>
      </c>
      <c r="M1129" s="11" t="n">
        <v>27</v>
      </c>
      <c r="N1129" s="11">
        <f>H1129*L1129</f>
        <v/>
      </c>
      <c r="O1129" s="11">
        <f>IF(I1129&gt;0,I1129*(M1129-L1129),0)</f>
        <v/>
      </c>
      <c r="P1129" s="11" t="n">
        <v>0</v>
      </c>
    </row>
    <row r="1130">
      <c r="A1130" s="4" t="inlineStr">
        <is>
          <t>WH10</t>
        </is>
      </c>
      <c r="B1130" s="4" t="inlineStr">
        <is>
          <t>Kolkata DC</t>
        </is>
      </c>
      <c r="C1130" s="4" t="inlineStr">
        <is>
          <t>East</t>
        </is>
      </c>
      <c r="D1130" s="4" t="inlineStr">
        <is>
          <t>SKU046</t>
        </is>
      </c>
      <c r="E1130" s="4" t="inlineStr">
        <is>
          <t>Shampoo 340ml</t>
        </is>
      </c>
      <c r="F1130" s="4" t="inlineStr">
        <is>
          <t>Personal Care</t>
        </is>
      </c>
      <c r="G1130" s="4" t="inlineStr">
        <is>
          <t>C</t>
        </is>
      </c>
      <c r="H1130" s="11" t="n">
        <v>1785</v>
      </c>
      <c r="I1130" s="4" t="n">
        <v>713.75</v>
      </c>
      <c r="J1130" s="13">
        <f>IF(I1130&gt;0,H1130/I1130,"")</f>
        <v/>
      </c>
      <c r="K1130" s="4">
        <f>IF(I1130&lt;=0,"NO DEMAND",IF(H1130=0,"STOCKOUT",IF(J1130&lt;Config!$B$5,"CRITICAL",IF(J1130&lt;Config!$B$6,"LOW",IF(J1130&gt;Config!$B$7,"EXCESS","HEALTHY")))))</f>
        <v/>
      </c>
      <c r="L1130" s="11" t="n">
        <v>51</v>
      </c>
      <c r="M1130" s="11" t="n">
        <v>67</v>
      </c>
      <c r="N1130" s="11">
        <f>H1130*L1130</f>
        <v/>
      </c>
      <c r="O1130" s="11">
        <f>IF(I1130&gt;0,I1130*(M1130-L1130),0)</f>
        <v/>
      </c>
      <c r="P1130" s="11" t="n">
        <v>2400</v>
      </c>
    </row>
    <row r="1131">
      <c r="A1131" s="4" t="inlineStr">
        <is>
          <t>WH10</t>
        </is>
      </c>
      <c r="B1131" s="4" t="inlineStr">
        <is>
          <t>Kolkata DC</t>
        </is>
      </c>
      <c r="C1131" s="4" t="inlineStr">
        <is>
          <t>East</t>
        </is>
      </c>
      <c r="D1131" s="4" t="inlineStr">
        <is>
          <t>SKU047</t>
        </is>
      </c>
      <c r="E1131" s="4" t="inlineStr">
        <is>
          <t>Soap 4-pack</t>
        </is>
      </c>
      <c r="F1131" s="4" t="inlineStr">
        <is>
          <t>Personal Care</t>
        </is>
      </c>
      <c r="G1131" s="4" t="inlineStr">
        <is>
          <t>C</t>
        </is>
      </c>
      <c r="H1131" s="11" t="n">
        <v>729</v>
      </c>
      <c r="I1131" s="4" t="n">
        <v>781.25</v>
      </c>
      <c r="J1131" s="13">
        <f>IF(I1131&gt;0,H1131/I1131,"")</f>
        <v/>
      </c>
      <c r="K1131" s="4">
        <f>IF(I1131&lt;=0,"NO DEMAND",IF(H1131=0,"STOCKOUT",IF(J1131&lt;Config!$B$5,"CRITICAL",IF(J1131&lt;Config!$B$6,"LOW",IF(J1131&gt;Config!$B$7,"EXCESS","HEALTHY")))))</f>
        <v/>
      </c>
      <c r="L1131" s="11" t="n">
        <v>37</v>
      </c>
      <c r="M1131" s="11" t="n">
        <v>47</v>
      </c>
      <c r="N1131" s="11">
        <f>H1131*L1131</f>
        <v/>
      </c>
      <c r="O1131" s="11">
        <f>IF(I1131&gt;0,I1131*(M1131-L1131),0)</f>
        <v/>
      </c>
      <c r="P1131" s="11" t="n">
        <v>0</v>
      </c>
    </row>
    <row r="1132">
      <c r="A1132" s="4" t="inlineStr">
        <is>
          <t>WH10</t>
        </is>
      </c>
      <c r="B1132" s="4" t="inlineStr">
        <is>
          <t>Kolkata DC</t>
        </is>
      </c>
      <c r="C1132" s="4" t="inlineStr">
        <is>
          <t>East</t>
        </is>
      </c>
      <c r="D1132" s="4" t="inlineStr">
        <is>
          <t>SKU048</t>
        </is>
      </c>
      <c r="E1132" s="4" t="inlineStr">
        <is>
          <t>Toothpaste 150g</t>
        </is>
      </c>
      <c r="F1132" s="4" t="inlineStr">
        <is>
          <t>Personal Care</t>
        </is>
      </c>
      <c r="G1132" s="4" t="inlineStr">
        <is>
          <t>C</t>
        </is>
      </c>
      <c r="H1132" s="11" t="n">
        <v>1265</v>
      </c>
      <c r="I1132" s="4" t="n">
        <v>391</v>
      </c>
      <c r="J1132" s="13">
        <f>IF(I1132&gt;0,H1132/I1132,"")</f>
        <v/>
      </c>
      <c r="K1132" s="4">
        <f>IF(I1132&lt;=0,"NO DEMAND",IF(H1132=0,"STOCKOUT",IF(J1132&lt;Config!$B$5,"CRITICAL",IF(J1132&lt;Config!$B$6,"LOW",IF(J1132&gt;Config!$B$7,"EXCESS","HEALTHY")))))</f>
        <v/>
      </c>
      <c r="L1132" s="11" t="n">
        <v>51</v>
      </c>
      <c r="M1132" s="11" t="n">
        <v>67</v>
      </c>
      <c r="N1132" s="11">
        <f>H1132*L1132</f>
        <v/>
      </c>
      <c r="O1132" s="11">
        <f>IF(I1132&gt;0,I1132*(M1132-L1132),0)</f>
        <v/>
      </c>
      <c r="P1132" s="11" t="n">
        <v>0</v>
      </c>
    </row>
    <row r="1133">
      <c r="A1133" s="4" t="inlineStr">
        <is>
          <t>WH10</t>
        </is>
      </c>
      <c r="B1133" s="4" t="inlineStr">
        <is>
          <t>Kolkata DC</t>
        </is>
      </c>
      <c r="C1133" s="4" t="inlineStr">
        <is>
          <t>East</t>
        </is>
      </c>
      <c r="D1133" s="4" t="inlineStr">
        <is>
          <t>SKU049</t>
        </is>
      </c>
      <c r="E1133" s="4" t="inlineStr">
        <is>
          <t>Face Wash 100ml</t>
        </is>
      </c>
      <c r="F1133" s="4" t="inlineStr">
        <is>
          <t>Personal Care</t>
        </is>
      </c>
      <c r="G1133" s="4" t="inlineStr">
        <is>
          <t>C</t>
        </is>
      </c>
      <c r="H1133" s="11" t="n">
        <v>157</v>
      </c>
      <c r="I1133" s="4" t="n">
        <v>338.75</v>
      </c>
      <c r="J1133" s="13">
        <f>IF(I1133&gt;0,H1133/I1133,"")</f>
        <v/>
      </c>
      <c r="K1133" s="4">
        <f>IF(I1133&lt;=0,"NO DEMAND",IF(H1133=0,"STOCKOUT",IF(J1133&lt;Config!$B$5,"CRITICAL",IF(J1133&lt;Config!$B$6,"LOW",IF(J1133&gt;Config!$B$7,"EXCESS","HEALTHY")))))</f>
        <v/>
      </c>
      <c r="L1133" s="11" t="n">
        <v>32</v>
      </c>
      <c r="M1133" s="11" t="n">
        <v>41</v>
      </c>
      <c r="N1133" s="11">
        <f>H1133*L1133</f>
        <v/>
      </c>
      <c r="O1133" s="11">
        <f>IF(I1133&gt;0,I1133*(M1133-L1133),0)</f>
        <v/>
      </c>
      <c r="P1133" s="11" t="n">
        <v>1116</v>
      </c>
    </row>
    <row r="1134">
      <c r="A1134" s="4" t="inlineStr">
        <is>
          <t>WH10</t>
        </is>
      </c>
      <c r="B1134" s="4" t="inlineStr">
        <is>
          <t>Kolkata DC</t>
        </is>
      </c>
      <c r="C1134" s="4" t="inlineStr">
        <is>
          <t>East</t>
        </is>
      </c>
      <c r="D1134" s="4" t="inlineStr">
        <is>
          <t>SKU050</t>
        </is>
      </c>
      <c r="E1134" s="4" t="inlineStr">
        <is>
          <t>Body Lotion 400ml</t>
        </is>
      </c>
      <c r="F1134" s="4" t="inlineStr">
        <is>
          <t>Personal Care</t>
        </is>
      </c>
      <c r="G1134" s="4" t="inlineStr">
        <is>
          <t>B</t>
        </is>
      </c>
      <c r="H1134" s="11" t="n">
        <v>1593</v>
      </c>
      <c r="I1134" s="4" t="n">
        <v>525.25</v>
      </c>
      <c r="J1134" s="13">
        <f>IF(I1134&gt;0,H1134/I1134,"")</f>
        <v/>
      </c>
      <c r="K1134" s="4">
        <f>IF(I1134&lt;=0,"NO DEMAND",IF(H1134=0,"STOCKOUT",IF(J1134&lt;Config!$B$5,"CRITICAL",IF(J1134&lt;Config!$B$6,"LOW",IF(J1134&gt;Config!$B$7,"EXCESS","HEALTHY")))))</f>
        <v/>
      </c>
      <c r="L1134" s="11" t="n">
        <v>138</v>
      </c>
      <c r="M1134" s="11" t="n">
        <v>175</v>
      </c>
      <c r="N1134" s="11">
        <f>H1134*L1134</f>
        <v/>
      </c>
      <c r="O1134" s="11">
        <f>IF(I1134&gt;0,I1134*(M1134-L1134),0)</f>
        <v/>
      </c>
      <c r="P1134" s="11" t="n">
        <v>0</v>
      </c>
    </row>
    <row r="1135">
      <c r="A1135" s="4" t="inlineStr">
        <is>
          <t>WH10</t>
        </is>
      </c>
      <c r="B1135" s="4" t="inlineStr">
        <is>
          <t>Kolkata DC</t>
        </is>
      </c>
      <c r="C1135" s="4" t="inlineStr">
        <is>
          <t>East</t>
        </is>
      </c>
      <c r="D1135" s="4" t="inlineStr">
        <is>
          <t>SKU051</t>
        </is>
      </c>
      <c r="E1135" s="4" t="inlineStr">
        <is>
          <t>Hair Oil 200ml</t>
        </is>
      </c>
      <c r="F1135" s="4" t="inlineStr">
        <is>
          <t>Personal Care</t>
        </is>
      </c>
      <c r="G1135" s="4" t="inlineStr">
        <is>
          <t>B</t>
        </is>
      </c>
      <c r="H1135" s="11" t="n">
        <v>0</v>
      </c>
      <c r="I1135" s="4" t="n">
        <v>524</v>
      </c>
      <c r="J1135" s="13">
        <f>IF(I1135&gt;0,H1135/I1135,"")</f>
        <v/>
      </c>
      <c r="K1135" s="4">
        <f>IF(I1135&lt;=0,"NO DEMAND",IF(H1135=0,"STOCKOUT",IF(J1135&lt;Config!$B$5,"CRITICAL",IF(J1135&lt;Config!$B$6,"LOW",IF(J1135&gt;Config!$B$7,"EXCESS","HEALTHY")))))</f>
        <v/>
      </c>
      <c r="L1135" s="11" t="n">
        <v>156</v>
      </c>
      <c r="M1135" s="11" t="n">
        <v>203</v>
      </c>
      <c r="N1135" s="11">
        <f>H1135*L1135</f>
        <v/>
      </c>
      <c r="O1135" s="11">
        <f>IF(I1135&gt;0,I1135*(M1135-L1135),0)</f>
        <v/>
      </c>
      <c r="P1135" s="11" t="n">
        <v>2268</v>
      </c>
    </row>
    <row r="1136">
      <c r="A1136" s="4" t="inlineStr">
        <is>
          <t>WH10</t>
        </is>
      </c>
      <c r="B1136" s="4" t="inlineStr">
        <is>
          <t>Kolkata DC</t>
        </is>
      </c>
      <c r="C1136" s="4" t="inlineStr">
        <is>
          <t>East</t>
        </is>
      </c>
      <c r="D1136" s="4" t="inlineStr">
        <is>
          <t>SKU052</t>
        </is>
      </c>
      <c r="E1136" s="4" t="inlineStr">
        <is>
          <t>Deodorant 150ml</t>
        </is>
      </c>
      <c r="F1136" s="4" t="inlineStr">
        <is>
          <t>Personal Care</t>
        </is>
      </c>
      <c r="G1136" s="4" t="inlineStr">
        <is>
          <t>B</t>
        </is>
      </c>
      <c r="H1136" s="11" t="n">
        <v>2276</v>
      </c>
      <c r="I1136" s="4" t="n">
        <v>574.75</v>
      </c>
      <c r="J1136" s="13">
        <f>IF(I1136&gt;0,H1136/I1136,"")</f>
        <v/>
      </c>
      <c r="K1136" s="4">
        <f>IF(I1136&lt;=0,"NO DEMAND",IF(H1136=0,"STOCKOUT",IF(J1136&lt;Config!$B$5,"CRITICAL",IF(J1136&lt;Config!$B$6,"LOW",IF(J1136&gt;Config!$B$7,"EXCESS","HEALTHY")))))</f>
        <v/>
      </c>
      <c r="L1136" s="11" t="n">
        <v>133</v>
      </c>
      <c r="M1136" s="11" t="n">
        <v>179</v>
      </c>
      <c r="N1136" s="11">
        <f>H1136*L1136</f>
        <v/>
      </c>
      <c r="O1136" s="11">
        <f>IF(I1136&gt;0,I1136*(M1136-L1136),0)</f>
        <v/>
      </c>
      <c r="P1136" s="11" t="n">
        <v>0</v>
      </c>
    </row>
    <row r="1137">
      <c r="A1137" s="4" t="inlineStr">
        <is>
          <t>WH10</t>
        </is>
      </c>
      <c r="B1137" s="4" t="inlineStr">
        <is>
          <t>Kolkata DC</t>
        </is>
      </c>
      <c r="C1137" s="4" t="inlineStr">
        <is>
          <t>East</t>
        </is>
      </c>
      <c r="D1137" s="4" t="inlineStr">
        <is>
          <t>SKU053</t>
        </is>
      </c>
      <c r="E1137" s="4" t="inlineStr">
        <is>
          <t>Sanitary Pads 20pk</t>
        </is>
      </c>
      <c r="F1137" s="4" t="inlineStr">
        <is>
          <t>Personal Care</t>
        </is>
      </c>
      <c r="G1137" s="4" t="inlineStr">
        <is>
          <t>C</t>
        </is>
      </c>
      <c r="H1137" s="11" t="n">
        <v>0</v>
      </c>
      <c r="I1137" s="4" t="n">
        <v>793.5</v>
      </c>
      <c r="J1137" s="13">
        <f>IF(I1137&gt;0,H1137/I1137,"")</f>
        <v/>
      </c>
      <c r="K1137" s="4">
        <f>IF(I1137&lt;=0,"NO DEMAND",IF(H1137=0,"STOCKOUT",IF(J1137&lt;Config!$B$5,"CRITICAL",IF(J1137&lt;Config!$B$6,"LOW",IF(J1137&gt;Config!$B$7,"EXCESS","HEALTHY")))))</f>
        <v/>
      </c>
      <c r="L1137" s="11" t="n">
        <v>31</v>
      </c>
      <c r="M1137" s="11" t="n">
        <v>39</v>
      </c>
      <c r="N1137" s="11">
        <f>H1137*L1137</f>
        <v/>
      </c>
      <c r="O1137" s="11">
        <f>IF(I1137&gt;0,I1137*(M1137-L1137),0)</f>
        <v/>
      </c>
      <c r="P1137" s="11" t="n">
        <v>2412</v>
      </c>
    </row>
    <row r="1138">
      <c r="A1138" s="4" t="inlineStr">
        <is>
          <t>WH10</t>
        </is>
      </c>
      <c r="B1138" s="4" t="inlineStr">
        <is>
          <t>Kolkata DC</t>
        </is>
      </c>
      <c r="C1138" s="4" t="inlineStr">
        <is>
          <t>East</t>
        </is>
      </c>
      <c r="D1138" s="4" t="inlineStr">
        <is>
          <t>SKU054</t>
        </is>
      </c>
      <c r="E1138" s="4" t="inlineStr">
        <is>
          <t>Razor 5pk</t>
        </is>
      </c>
      <c r="F1138" s="4" t="inlineStr">
        <is>
          <t>Personal Care</t>
        </is>
      </c>
      <c r="G1138" s="4" t="inlineStr">
        <is>
          <t>B</t>
        </is>
      </c>
      <c r="H1138" s="11" t="n">
        <v>315</v>
      </c>
      <c r="I1138" s="4" t="n">
        <v>308</v>
      </c>
      <c r="J1138" s="13">
        <f>IF(I1138&gt;0,H1138/I1138,"")</f>
        <v/>
      </c>
      <c r="K1138" s="4">
        <f>IF(I1138&lt;=0,"NO DEMAND",IF(H1138=0,"STOCKOUT",IF(J1138&lt;Config!$B$5,"CRITICAL",IF(J1138&lt;Config!$B$6,"LOW",IF(J1138&gt;Config!$B$7,"EXCESS","HEALTHY")))))</f>
        <v/>
      </c>
      <c r="L1138" s="11" t="n">
        <v>106</v>
      </c>
      <c r="M1138" s="11" t="n">
        <v>137</v>
      </c>
      <c r="N1138" s="11">
        <f>H1138*L1138</f>
        <v/>
      </c>
      <c r="O1138" s="11">
        <f>IF(I1138&gt;0,I1138*(M1138-L1138),0)</f>
        <v/>
      </c>
      <c r="P1138" s="11" t="n">
        <v>1212</v>
      </c>
    </row>
    <row r="1139">
      <c r="A1139" s="4" t="inlineStr">
        <is>
          <t>WH10</t>
        </is>
      </c>
      <c r="B1139" s="4" t="inlineStr">
        <is>
          <t>Kolkata DC</t>
        </is>
      </c>
      <c r="C1139" s="4" t="inlineStr">
        <is>
          <t>East</t>
        </is>
      </c>
      <c r="D1139" s="4" t="inlineStr">
        <is>
          <t>SKU055</t>
        </is>
      </c>
      <c r="E1139" s="4" t="inlineStr">
        <is>
          <t>Talc 300g</t>
        </is>
      </c>
      <c r="F1139" s="4" t="inlineStr">
        <is>
          <t>Personal Care</t>
        </is>
      </c>
      <c r="G1139" s="4" t="inlineStr">
        <is>
          <t>B</t>
        </is>
      </c>
      <c r="H1139" s="11" t="n">
        <v>2710</v>
      </c>
      <c r="I1139" s="4" t="n">
        <v>693</v>
      </c>
      <c r="J1139" s="13">
        <f>IF(I1139&gt;0,H1139/I1139,"")</f>
        <v/>
      </c>
      <c r="K1139" s="4">
        <f>IF(I1139&lt;=0,"NO DEMAND",IF(H1139=0,"STOCKOUT",IF(J1139&lt;Config!$B$5,"CRITICAL",IF(J1139&lt;Config!$B$6,"LOW",IF(J1139&gt;Config!$B$7,"EXCESS","HEALTHY")))))</f>
        <v/>
      </c>
      <c r="L1139" s="11" t="n">
        <v>77</v>
      </c>
      <c r="M1139" s="11" t="n">
        <v>100</v>
      </c>
      <c r="N1139" s="11">
        <f>H1139*L1139</f>
        <v/>
      </c>
      <c r="O1139" s="11">
        <f>IF(I1139&gt;0,I1139*(M1139-L1139),0)</f>
        <v/>
      </c>
      <c r="P1139" s="11" t="n">
        <v>0</v>
      </c>
    </row>
    <row r="1140">
      <c r="A1140" s="4" t="inlineStr">
        <is>
          <t>WH10</t>
        </is>
      </c>
      <c r="B1140" s="4" t="inlineStr">
        <is>
          <t>Kolkata DC</t>
        </is>
      </c>
      <c r="C1140" s="4" t="inlineStr">
        <is>
          <t>East</t>
        </is>
      </c>
      <c r="D1140" s="4" t="inlineStr">
        <is>
          <t>SKU056</t>
        </is>
      </c>
      <c r="E1140" s="4" t="inlineStr">
        <is>
          <t>Sunscreen 50g</t>
        </is>
      </c>
      <c r="F1140" s="4" t="inlineStr">
        <is>
          <t>Personal Care</t>
        </is>
      </c>
      <c r="G1140" s="4" t="inlineStr">
        <is>
          <t>A</t>
        </is>
      </c>
      <c r="H1140" s="11" t="n">
        <v>665</v>
      </c>
      <c r="I1140" s="4" t="n">
        <v>232.25</v>
      </c>
      <c r="J1140" s="13">
        <f>IF(I1140&gt;0,H1140/I1140,"")</f>
        <v/>
      </c>
      <c r="K1140" s="4">
        <f>IF(I1140&lt;=0,"NO DEMAND",IF(H1140=0,"STOCKOUT",IF(J1140&lt;Config!$B$5,"CRITICAL",IF(J1140&lt;Config!$B$6,"LOW",IF(J1140&gt;Config!$B$7,"EXCESS","HEALTHY")))))</f>
        <v/>
      </c>
      <c r="L1140" s="11" t="n">
        <v>393</v>
      </c>
      <c r="M1140" s="11" t="n">
        <v>510</v>
      </c>
      <c r="N1140" s="11">
        <f>H1140*L1140</f>
        <v/>
      </c>
      <c r="O1140" s="11">
        <f>IF(I1140&gt;0,I1140*(M1140-L1140),0)</f>
        <v/>
      </c>
      <c r="P1140" s="11" t="n">
        <v>0</v>
      </c>
    </row>
    <row r="1141">
      <c r="A1141" s="4" t="inlineStr">
        <is>
          <t>WH10</t>
        </is>
      </c>
      <c r="B1141" s="4" t="inlineStr">
        <is>
          <t>Kolkata DC</t>
        </is>
      </c>
      <c r="C1141" s="4" t="inlineStr">
        <is>
          <t>East</t>
        </is>
      </c>
      <c r="D1141" s="4" t="inlineStr">
        <is>
          <t>SKU057</t>
        </is>
      </c>
      <c r="E1141" s="4" t="inlineStr">
        <is>
          <t>Hand Wash 250ml</t>
        </is>
      </c>
      <c r="F1141" s="4" t="inlineStr">
        <is>
          <t>Personal Care</t>
        </is>
      </c>
      <c r="G1141" s="4" t="inlineStr">
        <is>
          <t>C</t>
        </is>
      </c>
      <c r="H1141" s="11" t="n">
        <v>524</v>
      </c>
      <c r="I1141" s="4" t="n">
        <v>304.75</v>
      </c>
      <c r="J1141" s="13">
        <f>IF(I1141&gt;0,H1141/I1141,"")</f>
        <v/>
      </c>
      <c r="K1141" s="4">
        <f>IF(I1141&lt;=0,"NO DEMAND",IF(H1141=0,"STOCKOUT",IF(J1141&lt;Config!$B$5,"CRITICAL",IF(J1141&lt;Config!$B$6,"LOW",IF(J1141&gt;Config!$B$7,"EXCESS","HEALTHY")))))</f>
        <v/>
      </c>
      <c r="L1141" s="11" t="n">
        <v>108</v>
      </c>
      <c r="M1141" s="11" t="n">
        <v>136</v>
      </c>
      <c r="N1141" s="11">
        <f>H1141*L1141</f>
        <v/>
      </c>
      <c r="O1141" s="11">
        <f>IF(I1141&gt;0,I1141*(M1141-L1141),0)</f>
        <v/>
      </c>
      <c r="P1141" s="11" t="n">
        <v>0</v>
      </c>
    </row>
    <row r="1142">
      <c r="A1142" s="4" t="inlineStr">
        <is>
          <t>WH10</t>
        </is>
      </c>
      <c r="B1142" s="4" t="inlineStr">
        <is>
          <t>Kolkata DC</t>
        </is>
      </c>
      <c r="C1142" s="4" t="inlineStr">
        <is>
          <t>East</t>
        </is>
      </c>
      <c r="D1142" s="4" t="inlineStr">
        <is>
          <t>SKU058</t>
        </is>
      </c>
      <c r="E1142" s="4" t="inlineStr">
        <is>
          <t>Kajal Pack</t>
        </is>
      </c>
      <c r="F1142" s="4" t="inlineStr">
        <is>
          <t>Personal Care</t>
        </is>
      </c>
      <c r="G1142" s="4" t="inlineStr">
        <is>
          <t>A</t>
        </is>
      </c>
      <c r="H1142" s="11" t="n">
        <v>229</v>
      </c>
      <c r="I1142" s="4" t="n">
        <v>151.75</v>
      </c>
      <c r="J1142" s="13">
        <f>IF(I1142&gt;0,H1142/I1142,"")</f>
        <v/>
      </c>
      <c r="K1142" s="4">
        <f>IF(I1142&lt;=0,"NO DEMAND",IF(H1142=0,"STOCKOUT",IF(J1142&lt;Config!$B$5,"CRITICAL",IF(J1142&lt;Config!$B$6,"LOW",IF(J1142&gt;Config!$B$7,"EXCESS","HEALTHY")))))</f>
        <v/>
      </c>
      <c r="L1142" s="11" t="n">
        <v>392</v>
      </c>
      <c r="M1142" s="11" t="n">
        <v>498</v>
      </c>
      <c r="N1142" s="11">
        <f>H1142*L1142</f>
        <v/>
      </c>
      <c r="O1142" s="11">
        <f>IF(I1142&gt;0,I1142*(M1142-L1142),0)</f>
        <v/>
      </c>
      <c r="P1142" s="11" t="n">
        <v>0</v>
      </c>
    </row>
    <row r="1143">
      <c r="A1143" s="4" t="inlineStr">
        <is>
          <t>WH10</t>
        </is>
      </c>
      <c r="B1143" s="4" t="inlineStr">
        <is>
          <t>Kolkata DC</t>
        </is>
      </c>
      <c r="C1143" s="4" t="inlineStr">
        <is>
          <t>East</t>
        </is>
      </c>
      <c r="D1143" s="4" t="inlineStr">
        <is>
          <t>SKU059</t>
        </is>
      </c>
      <c r="E1143" s="4" t="inlineStr">
        <is>
          <t>Lip Balm</t>
        </is>
      </c>
      <c r="F1143" s="4" t="inlineStr">
        <is>
          <t>Personal Care</t>
        </is>
      </c>
      <c r="G1143" s="4" t="inlineStr">
        <is>
          <t>B</t>
        </is>
      </c>
      <c r="H1143" s="11" t="n">
        <v>0</v>
      </c>
      <c r="I1143" s="4" t="n">
        <v>479</v>
      </c>
      <c r="J1143" s="13">
        <f>IF(I1143&gt;0,H1143/I1143,"")</f>
        <v/>
      </c>
      <c r="K1143" s="4">
        <f>IF(I1143&lt;=0,"NO DEMAND",IF(H1143=0,"STOCKOUT",IF(J1143&lt;Config!$B$5,"CRITICAL",IF(J1143&lt;Config!$B$6,"LOW",IF(J1143&gt;Config!$B$7,"EXCESS","HEALTHY")))))</f>
        <v/>
      </c>
      <c r="L1143" s="11" t="n">
        <v>150</v>
      </c>
      <c r="M1143" s="11" t="n">
        <v>198</v>
      </c>
      <c r="N1143" s="11">
        <f>H1143*L1143</f>
        <v/>
      </c>
      <c r="O1143" s="11">
        <f>IF(I1143&gt;0,I1143*(M1143-L1143),0)</f>
        <v/>
      </c>
      <c r="P1143" s="11" t="n">
        <v>1488</v>
      </c>
    </row>
    <row r="1144">
      <c r="A1144" s="4" t="inlineStr">
        <is>
          <t>WH10</t>
        </is>
      </c>
      <c r="B1144" s="4" t="inlineStr">
        <is>
          <t>Kolkata DC</t>
        </is>
      </c>
      <c r="C1144" s="4" t="inlineStr">
        <is>
          <t>East</t>
        </is>
      </c>
      <c r="D1144" s="4" t="inlineStr">
        <is>
          <t>SKU060</t>
        </is>
      </c>
      <c r="E1144" s="4" t="inlineStr">
        <is>
          <t>Mouthwash 250ml</t>
        </is>
      </c>
      <c r="F1144" s="4" t="inlineStr">
        <is>
          <t>Personal Care</t>
        </is>
      </c>
      <c r="G1144" s="4" t="inlineStr">
        <is>
          <t>A</t>
        </is>
      </c>
      <c r="H1144" s="11" t="n">
        <v>728</v>
      </c>
      <c r="I1144" s="4" t="n">
        <v>288.75</v>
      </c>
      <c r="J1144" s="13">
        <f>IF(I1144&gt;0,H1144/I1144,"")</f>
        <v/>
      </c>
      <c r="K1144" s="4">
        <f>IF(I1144&lt;=0,"NO DEMAND",IF(H1144=0,"STOCKOUT",IF(J1144&lt;Config!$B$5,"CRITICAL",IF(J1144&lt;Config!$B$6,"LOW",IF(J1144&gt;Config!$B$7,"EXCESS","HEALTHY")))))</f>
        <v/>
      </c>
      <c r="L1144" s="11" t="n">
        <v>376</v>
      </c>
      <c r="M1144" s="11" t="n">
        <v>491</v>
      </c>
      <c r="N1144" s="11">
        <f>H1144*L1144</f>
        <v/>
      </c>
      <c r="O1144" s="11">
        <f>IF(I1144&gt;0,I1144*(M1144-L1144),0)</f>
        <v/>
      </c>
      <c r="P1144" s="11" t="n">
        <v>0</v>
      </c>
    </row>
    <row r="1145">
      <c r="A1145" s="4" t="inlineStr">
        <is>
          <t>WH10</t>
        </is>
      </c>
      <c r="B1145" s="4" t="inlineStr">
        <is>
          <t>Kolkata DC</t>
        </is>
      </c>
      <c r="C1145" s="4" t="inlineStr">
        <is>
          <t>East</t>
        </is>
      </c>
      <c r="D1145" s="4" t="inlineStr">
        <is>
          <t>SKU061</t>
        </is>
      </c>
      <c r="E1145" s="4" t="inlineStr">
        <is>
          <t>Detergent Powder 2kg</t>
        </is>
      </c>
      <c r="F1145" s="4" t="inlineStr">
        <is>
          <t>Home Care</t>
        </is>
      </c>
      <c r="G1145" s="4" t="inlineStr">
        <is>
          <t>B</t>
        </is>
      </c>
      <c r="H1145" s="11" t="n">
        <v>0</v>
      </c>
      <c r="I1145" s="4" t="n">
        <v>1206.75</v>
      </c>
      <c r="J1145" s="13">
        <f>IF(I1145&gt;0,H1145/I1145,"")</f>
        <v/>
      </c>
      <c r="K1145" s="4">
        <f>IF(I1145&lt;=0,"NO DEMAND",IF(H1145=0,"STOCKOUT",IF(J1145&lt;Config!$B$5,"CRITICAL",IF(J1145&lt;Config!$B$6,"LOW",IF(J1145&gt;Config!$B$7,"EXCESS","HEALTHY")))))</f>
        <v/>
      </c>
      <c r="L1145" s="11" t="n">
        <v>104</v>
      </c>
      <c r="M1145" s="11" t="n">
        <v>132</v>
      </c>
      <c r="N1145" s="11">
        <f>H1145*L1145</f>
        <v/>
      </c>
      <c r="O1145" s="11">
        <f>IF(I1145&gt;0,I1145*(M1145-L1145),0)</f>
        <v/>
      </c>
      <c r="P1145" s="11" t="n">
        <v>3492</v>
      </c>
    </row>
    <row r="1146">
      <c r="A1146" s="4" t="inlineStr">
        <is>
          <t>WH10</t>
        </is>
      </c>
      <c r="B1146" s="4" t="inlineStr">
        <is>
          <t>Kolkata DC</t>
        </is>
      </c>
      <c r="C1146" s="4" t="inlineStr">
        <is>
          <t>East</t>
        </is>
      </c>
      <c r="D1146" s="4" t="inlineStr">
        <is>
          <t>SKU062</t>
        </is>
      </c>
      <c r="E1146" s="4" t="inlineStr">
        <is>
          <t>Dishwash Liquid 750ml</t>
        </is>
      </c>
      <c r="F1146" s="4" t="inlineStr">
        <is>
          <t>Home Care</t>
        </is>
      </c>
      <c r="G1146" s="4" t="inlineStr">
        <is>
          <t>A</t>
        </is>
      </c>
      <c r="H1146" s="11" t="n">
        <v>582</v>
      </c>
      <c r="I1146" s="4" t="n">
        <v>458.5</v>
      </c>
      <c r="J1146" s="13">
        <f>IF(I1146&gt;0,H1146/I1146,"")</f>
        <v/>
      </c>
      <c r="K1146" s="4">
        <f>IF(I1146&lt;=0,"NO DEMAND",IF(H1146=0,"STOCKOUT",IF(J1146&lt;Config!$B$5,"CRITICAL",IF(J1146&lt;Config!$B$6,"LOW",IF(J1146&gt;Config!$B$7,"EXCESS","HEALTHY")))))</f>
        <v/>
      </c>
      <c r="L1146" s="11" t="n">
        <v>122</v>
      </c>
      <c r="M1146" s="11" t="n">
        <v>148</v>
      </c>
      <c r="N1146" s="11">
        <f>H1146*L1146</f>
        <v/>
      </c>
      <c r="O1146" s="11">
        <f>IF(I1146&gt;0,I1146*(M1146-L1146),0)</f>
        <v/>
      </c>
      <c r="P1146" s="11" t="n">
        <v>1716</v>
      </c>
    </row>
    <row r="1147">
      <c r="A1147" s="4" t="inlineStr">
        <is>
          <t>WH10</t>
        </is>
      </c>
      <c r="B1147" s="4" t="inlineStr">
        <is>
          <t>Kolkata DC</t>
        </is>
      </c>
      <c r="C1147" s="4" t="inlineStr">
        <is>
          <t>East</t>
        </is>
      </c>
      <c r="D1147" s="4" t="inlineStr">
        <is>
          <t>SKU063</t>
        </is>
      </c>
      <c r="E1147" s="4" t="inlineStr">
        <is>
          <t>Floor Cleaner 1L</t>
        </is>
      </c>
      <c r="F1147" s="4" t="inlineStr">
        <is>
          <t>Home Care</t>
        </is>
      </c>
      <c r="G1147" s="4" t="inlineStr">
        <is>
          <t>C</t>
        </is>
      </c>
      <c r="H1147" s="11" t="n">
        <v>1347</v>
      </c>
      <c r="I1147" s="4" t="n">
        <v>581.75</v>
      </c>
      <c r="J1147" s="13">
        <f>IF(I1147&gt;0,H1147/I1147,"")</f>
        <v/>
      </c>
      <c r="K1147" s="4">
        <f>IF(I1147&lt;=0,"NO DEMAND",IF(H1147=0,"STOCKOUT",IF(J1147&lt;Config!$B$5,"CRITICAL",IF(J1147&lt;Config!$B$6,"LOW",IF(J1147&gt;Config!$B$7,"EXCESS","HEALTHY")))))</f>
        <v/>
      </c>
      <c r="L1147" s="11" t="n">
        <v>44</v>
      </c>
      <c r="M1147" s="11" t="n">
        <v>56</v>
      </c>
      <c r="N1147" s="11">
        <f>H1147*L1147</f>
        <v/>
      </c>
      <c r="O1147" s="11">
        <f>IF(I1147&gt;0,I1147*(M1147-L1147),0)</f>
        <v/>
      </c>
      <c r="P1147" s="11" t="n">
        <v>0</v>
      </c>
    </row>
    <row r="1148">
      <c r="A1148" s="4" t="inlineStr">
        <is>
          <t>WH10</t>
        </is>
      </c>
      <c r="B1148" s="4" t="inlineStr">
        <is>
          <t>Kolkata DC</t>
        </is>
      </c>
      <c r="C1148" s="4" t="inlineStr">
        <is>
          <t>East</t>
        </is>
      </c>
      <c r="D1148" s="4" t="inlineStr">
        <is>
          <t>SKU064</t>
        </is>
      </c>
      <c r="E1148" s="4" t="inlineStr">
        <is>
          <t>Toilet Cleaner 500ml</t>
        </is>
      </c>
      <c r="F1148" s="4" t="inlineStr">
        <is>
          <t>Home Care</t>
        </is>
      </c>
      <c r="G1148" s="4" t="inlineStr">
        <is>
          <t>C</t>
        </is>
      </c>
      <c r="H1148" s="11" t="n">
        <v>420</v>
      </c>
      <c r="I1148" s="4" t="n">
        <v>234</v>
      </c>
      <c r="J1148" s="13">
        <f>IF(I1148&gt;0,H1148/I1148,"")</f>
        <v/>
      </c>
      <c r="K1148" s="4">
        <f>IF(I1148&lt;=0,"NO DEMAND",IF(H1148=0,"STOCKOUT",IF(J1148&lt;Config!$B$5,"CRITICAL",IF(J1148&lt;Config!$B$6,"LOW",IF(J1148&gt;Config!$B$7,"EXCESS","HEALTHY")))))</f>
        <v/>
      </c>
      <c r="L1148" s="11" t="n">
        <v>102</v>
      </c>
      <c r="M1148" s="11" t="n">
        <v>128</v>
      </c>
      <c r="N1148" s="11">
        <f>H1148*L1148</f>
        <v/>
      </c>
      <c r="O1148" s="11">
        <f>IF(I1148&gt;0,I1148*(M1148-L1148),0)</f>
        <v/>
      </c>
      <c r="P1148" s="11" t="n">
        <v>0</v>
      </c>
    </row>
    <row r="1149">
      <c r="A1149" s="4" t="inlineStr">
        <is>
          <t>WH10</t>
        </is>
      </c>
      <c r="B1149" s="4" t="inlineStr">
        <is>
          <t>Kolkata DC</t>
        </is>
      </c>
      <c r="C1149" s="4" t="inlineStr">
        <is>
          <t>East</t>
        </is>
      </c>
      <c r="D1149" s="4" t="inlineStr">
        <is>
          <t>SKU065</t>
        </is>
      </c>
      <c r="E1149" s="4" t="inlineStr">
        <is>
          <t>Glass Cleaner 500ml</t>
        </is>
      </c>
      <c r="F1149" s="4" t="inlineStr">
        <is>
          <t>Home Care</t>
        </is>
      </c>
      <c r="G1149" s="4" t="inlineStr">
        <is>
          <t>B</t>
        </is>
      </c>
      <c r="H1149" s="11" t="n">
        <v>562</v>
      </c>
      <c r="I1149" s="4" t="n">
        <v>622.25</v>
      </c>
      <c r="J1149" s="13">
        <f>IF(I1149&gt;0,H1149/I1149,"")</f>
        <v/>
      </c>
      <c r="K1149" s="4">
        <f>IF(I1149&lt;=0,"NO DEMAND",IF(H1149=0,"STOCKOUT",IF(J1149&lt;Config!$B$5,"CRITICAL",IF(J1149&lt;Config!$B$6,"LOW",IF(J1149&gt;Config!$B$7,"EXCESS","HEALTHY")))))</f>
        <v/>
      </c>
      <c r="L1149" s="11" t="n">
        <v>82</v>
      </c>
      <c r="M1149" s="11" t="n">
        <v>102</v>
      </c>
      <c r="N1149" s="11">
        <f>H1149*L1149</f>
        <v/>
      </c>
      <c r="O1149" s="11">
        <f>IF(I1149&gt;0,I1149*(M1149-L1149),0)</f>
        <v/>
      </c>
      <c r="P1149" s="11" t="n">
        <v>2064</v>
      </c>
    </row>
    <row r="1150">
      <c r="A1150" s="4" t="inlineStr">
        <is>
          <t>WH10</t>
        </is>
      </c>
      <c r="B1150" s="4" t="inlineStr">
        <is>
          <t>Kolkata DC</t>
        </is>
      </c>
      <c r="C1150" s="4" t="inlineStr">
        <is>
          <t>East</t>
        </is>
      </c>
      <c r="D1150" s="4" t="inlineStr">
        <is>
          <t>SKU066</t>
        </is>
      </c>
      <c r="E1150" s="4" t="inlineStr">
        <is>
          <t>Fabric Softener 1L</t>
        </is>
      </c>
      <c r="F1150" s="4" t="inlineStr">
        <is>
          <t>Home Care</t>
        </is>
      </c>
      <c r="G1150" s="4" t="inlineStr">
        <is>
          <t>B</t>
        </is>
      </c>
      <c r="H1150" s="11" t="n">
        <v>36</v>
      </c>
      <c r="I1150" s="4" t="n">
        <v>424.75</v>
      </c>
      <c r="J1150" s="13">
        <f>IF(I1150&gt;0,H1150/I1150,"")</f>
        <v/>
      </c>
      <c r="K1150" s="4">
        <f>IF(I1150&lt;=0,"NO DEMAND",IF(H1150=0,"STOCKOUT",IF(J1150&lt;Config!$B$5,"CRITICAL",IF(J1150&lt;Config!$B$6,"LOW",IF(J1150&gt;Config!$B$7,"EXCESS","HEALTHY")))))</f>
        <v/>
      </c>
      <c r="L1150" s="11" t="n">
        <v>51</v>
      </c>
      <c r="M1150" s="11" t="n">
        <v>65</v>
      </c>
      <c r="N1150" s="11">
        <f>H1150*L1150</f>
        <v/>
      </c>
      <c r="O1150" s="11">
        <f>IF(I1150&gt;0,I1150*(M1150-L1150),0)</f>
        <v/>
      </c>
      <c r="P1150" s="11" t="n">
        <v>1764</v>
      </c>
    </row>
    <row r="1151">
      <c r="A1151" s="4" t="inlineStr">
        <is>
          <t>WH10</t>
        </is>
      </c>
      <c r="B1151" s="4" t="inlineStr">
        <is>
          <t>Kolkata DC</t>
        </is>
      </c>
      <c r="C1151" s="4" t="inlineStr">
        <is>
          <t>East</t>
        </is>
      </c>
      <c r="D1151" s="4" t="inlineStr">
        <is>
          <t>SKU067</t>
        </is>
      </c>
      <c r="E1151" s="4" t="inlineStr">
        <is>
          <t>Mosquito Coil 10pk</t>
        </is>
      </c>
      <c r="F1151" s="4" t="inlineStr">
        <is>
          <t>Home Care</t>
        </is>
      </c>
      <c r="G1151" s="4" t="inlineStr">
        <is>
          <t>A</t>
        </is>
      </c>
      <c r="H1151" s="11" t="n">
        <v>0</v>
      </c>
      <c r="I1151" s="4" t="n">
        <v>324.25</v>
      </c>
      <c r="J1151" s="13">
        <f>IF(I1151&gt;0,H1151/I1151,"")</f>
        <v/>
      </c>
      <c r="K1151" s="4">
        <f>IF(I1151&lt;=0,"NO DEMAND",IF(H1151=0,"STOCKOUT",IF(J1151&lt;Config!$B$5,"CRITICAL",IF(J1151&lt;Config!$B$6,"LOW",IF(J1151&gt;Config!$B$7,"EXCESS","HEALTHY")))))</f>
        <v/>
      </c>
      <c r="L1151" s="11" t="n">
        <v>200</v>
      </c>
      <c r="M1151" s="11" t="n">
        <v>257</v>
      </c>
      <c r="N1151" s="11">
        <f>H1151*L1151</f>
        <v/>
      </c>
      <c r="O1151" s="11">
        <f>IF(I1151&gt;0,I1151*(M1151-L1151),0)</f>
        <v/>
      </c>
      <c r="P1151" s="11" t="n">
        <v>1296</v>
      </c>
    </row>
    <row r="1152">
      <c r="A1152" s="4" t="inlineStr">
        <is>
          <t>WH10</t>
        </is>
      </c>
      <c r="B1152" s="4" t="inlineStr">
        <is>
          <t>Kolkata DC</t>
        </is>
      </c>
      <c r="C1152" s="4" t="inlineStr">
        <is>
          <t>East</t>
        </is>
      </c>
      <c r="D1152" s="4" t="inlineStr">
        <is>
          <t>SKU068</t>
        </is>
      </c>
      <c r="E1152" s="4" t="inlineStr">
        <is>
          <t>Air Freshener 250ml</t>
        </is>
      </c>
      <c r="F1152" s="4" t="inlineStr">
        <is>
          <t>Home Care</t>
        </is>
      </c>
      <c r="G1152" s="4" t="inlineStr">
        <is>
          <t>A</t>
        </is>
      </c>
      <c r="H1152" s="11" t="n">
        <v>1898</v>
      </c>
      <c r="I1152" s="4" t="n">
        <v>672</v>
      </c>
      <c r="J1152" s="13">
        <f>IF(I1152&gt;0,H1152/I1152,"")</f>
        <v/>
      </c>
      <c r="K1152" s="4">
        <f>IF(I1152&lt;=0,"NO DEMAND",IF(H1152=0,"STOCKOUT",IF(J1152&lt;Config!$B$5,"CRITICAL",IF(J1152&lt;Config!$B$6,"LOW",IF(J1152&gt;Config!$B$7,"EXCESS","HEALTHY")))))</f>
        <v/>
      </c>
      <c r="L1152" s="11" t="n">
        <v>99</v>
      </c>
      <c r="M1152" s="11" t="n">
        <v>123</v>
      </c>
      <c r="N1152" s="11">
        <f>H1152*L1152</f>
        <v/>
      </c>
      <c r="O1152" s="11">
        <f>IF(I1152&gt;0,I1152*(M1152-L1152),0)</f>
        <v/>
      </c>
      <c r="P1152" s="11" t="n">
        <v>0</v>
      </c>
    </row>
    <row r="1153">
      <c r="A1153" s="4" t="inlineStr">
        <is>
          <t>WH10</t>
        </is>
      </c>
      <c r="B1153" s="4" t="inlineStr">
        <is>
          <t>Kolkata DC</t>
        </is>
      </c>
      <c r="C1153" s="4" t="inlineStr">
        <is>
          <t>East</t>
        </is>
      </c>
      <c r="D1153" s="4" t="inlineStr">
        <is>
          <t>SKU069</t>
        </is>
      </c>
      <c r="E1153" s="4" t="inlineStr">
        <is>
          <t>Garbage Bags 30pk</t>
        </is>
      </c>
      <c r="F1153" s="4" t="inlineStr">
        <is>
          <t>Home Care</t>
        </is>
      </c>
      <c r="G1153" s="4" t="inlineStr">
        <is>
          <t>B</t>
        </is>
      </c>
      <c r="H1153" s="11" t="n">
        <v>634</v>
      </c>
      <c r="I1153" s="4" t="n">
        <v>392.75</v>
      </c>
      <c r="J1153" s="13">
        <f>IF(I1153&gt;0,H1153/I1153,"")</f>
        <v/>
      </c>
      <c r="K1153" s="4">
        <f>IF(I1153&lt;=0,"NO DEMAND",IF(H1153=0,"STOCKOUT",IF(J1153&lt;Config!$B$5,"CRITICAL",IF(J1153&lt;Config!$B$6,"LOW",IF(J1153&gt;Config!$B$7,"EXCESS","HEALTHY")))))</f>
        <v/>
      </c>
      <c r="L1153" s="11" t="n">
        <v>202</v>
      </c>
      <c r="M1153" s="11" t="n">
        <v>252</v>
      </c>
      <c r="N1153" s="11">
        <f>H1153*L1153</f>
        <v/>
      </c>
      <c r="O1153" s="11">
        <f>IF(I1153&gt;0,I1153*(M1153-L1153),0)</f>
        <v/>
      </c>
      <c r="P1153" s="11" t="n">
        <v>1332</v>
      </c>
    </row>
    <row r="1154">
      <c r="A1154" s="4" t="inlineStr">
        <is>
          <t>WH10</t>
        </is>
      </c>
      <c r="B1154" s="4" t="inlineStr">
        <is>
          <t>Kolkata DC</t>
        </is>
      </c>
      <c r="C1154" s="4" t="inlineStr">
        <is>
          <t>East</t>
        </is>
      </c>
      <c r="D1154" s="4" t="inlineStr">
        <is>
          <t>SKU070</t>
        </is>
      </c>
      <c r="E1154" s="4" t="inlineStr">
        <is>
          <t>Scrub Pad 3pk</t>
        </is>
      </c>
      <c r="F1154" s="4" t="inlineStr">
        <is>
          <t>Home Care</t>
        </is>
      </c>
      <c r="G1154" s="4" t="inlineStr">
        <is>
          <t>A</t>
        </is>
      </c>
      <c r="H1154" s="11" t="n">
        <v>1099</v>
      </c>
      <c r="I1154" s="4" t="n">
        <v>704.5</v>
      </c>
      <c r="J1154" s="13">
        <f>IF(I1154&gt;0,H1154/I1154,"")</f>
        <v/>
      </c>
      <c r="K1154" s="4">
        <f>IF(I1154&lt;=0,"NO DEMAND",IF(H1154=0,"STOCKOUT",IF(J1154&lt;Config!$B$5,"CRITICAL",IF(J1154&lt;Config!$B$6,"LOW",IF(J1154&gt;Config!$B$7,"EXCESS","HEALTHY")))))</f>
        <v/>
      </c>
      <c r="L1154" s="11" t="n">
        <v>121</v>
      </c>
      <c r="M1154" s="11" t="n">
        <v>153</v>
      </c>
      <c r="N1154" s="11">
        <f>H1154*L1154</f>
        <v/>
      </c>
      <c r="O1154" s="11">
        <f>IF(I1154&gt;0,I1154*(M1154-L1154),0)</f>
        <v/>
      </c>
      <c r="P1154" s="11" t="n">
        <v>2220</v>
      </c>
    </row>
    <row r="1155">
      <c r="A1155" s="4" t="inlineStr">
        <is>
          <t>WH10</t>
        </is>
      </c>
      <c r="B1155" s="4" t="inlineStr">
        <is>
          <t>Kolkata DC</t>
        </is>
      </c>
      <c r="C1155" s="4" t="inlineStr">
        <is>
          <t>East</t>
        </is>
      </c>
      <c r="D1155" s="4" t="inlineStr">
        <is>
          <t>SKU071</t>
        </is>
      </c>
      <c r="E1155" s="4" t="inlineStr">
        <is>
          <t>Bleach 500ml</t>
        </is>
      </c>
      <c r="F1155" s="4" t="inlineStr">
        <is>
          <t>Home Care</t>
        </is>
      </c>
      <c r="G1155" s="4" t="inlineStr">
        <is>
          <t>C</t>
        </is>
      </c>
      <c r="H1155" s="11" t="n">
        <v>685</v>
      </c>
      <c r="I1155" s="4" t="n">
        <v>77.5</v>
      </c>
      <c r="J1155" s="13">
        <f>IF(I1155&gt;0,H1155/I1155,"")</f>
        <v/>
      </c>
      <c r="K1155" s="4">
        <f>IF(I1155&lt;=0,"NO DEMAND",IF(H1155=0,"STOCKOUT",IF(J1155&lt;Config!$B$5,"CRITICAL",IF(J1155&lt;Config!$B$6,"LOW",IF(J1155&gt;Config!$B$7,"EXCESS","HEALTHY")))))</f>
        <v/>
      </c>
      <c r="L1155" s="11" t="n">
        <v>41</v>
      </c>
      <c r="M1155" s="11" t="n">
        <v>51</v>
      </c>
      <c r="N1155" s="11">
        <f>H1155*L1155</f>
        <v/>
      </c>
      <c r="O1155" s="11">
        <f>IF(I1155&gt;0,I1155*(M1155-L1155),0)</f>
        <v/>
      </c>
      <c r="P1155" s="11" t="n">
        <v>0</v>
      </c>
    </row>
    <row r="1156">
      <c r="A1156" s="4" t="inlineStr">
        <is>
          <t>WH10</t>
        </is>
      </c>
      <c r="B1156" s="4" t="inlineStr">
        <is>
          <t>Kolkata DC</t>
        </is>
      </c>
      <c r="C1156" s="4" t="inlineStr">
        <is>
          <t>East</t>
        </is>
      </c>
      <c r="D1156" s="4" t="inlineStr">
        <is>
          <t>SKU072</t>
        </is>
      </c>
      <c r="E1156" s="4" t="inlineStr">
        <is>
          <t>Phenyl 1L</t>
        </is>
      </c>
      <c r="F1156" s="4" t="inlineStr">
        <is>
          <t>Home Care</t>
        </is>
      </c>
      <c r="G1156" s="4" t="inlineStr">
        <is>
          <t>B</t>
        </is>
      </c>
      <c r="H1156" s="11" t="n">
        <v>359</v>
      </c>
      <c r="I1156" s="4" t="n">
        <v>677.25</v>
      </c>
      <c r="J1156" s="13">
        <f>IF(I1156&gt;0,H1156/I1156,"")</f>
        <v/>
      </c>
      <c r="K1156" s="4">
        <f>IF(I1156&lt;=0,"NO DEMAND",IF(H1156=0,"STOCKOUT",IF(J1156&lt;Config!$B$5,"CRITICAL",IF(J1156&lt;Config!$B$6,"LOW",IF(J1156&gt;Config!$B$7,"EXCESS","HEALTHY")))))</f>
        <v/>
      </c>
      <c r="L1156" s="11" t="n">
        <v>137</v>
      </c>
      <c r="M1156" s="11" t="n">
        <v>170</v>
      </c>
      <c r="N1156" s="11">
        <f>H1156*L1156</f>
        <v/>
      </c>
      <c r="O1156" s="11">
        <f>IF(I1156&gt;0,I1156*(M1156-L1156),0)</f>
        <v/>
      </c>
      <c r="P1156" s="11" t="n">
        <v>2292</v>
      </c>
    </row>
    <row r="1157">
      <c r="A1157" s="4" t="inlineStr">
        <is>
          <t>WH10</t>
        </is>
      </c>
      <c r="B1157" s="4" t="inlineStr">
        <is>
          <t>Kolkata DC</t>
        </is>
      </c>
      <c r="C1157" s="4" t="inlineStr">
        <is>
          <t>East</t>
        </is>
      </c>
      <c r="D1157" s="4" t="inlineStr">
        <is>
          <t>SKU073</t>
        </is>
      </c>
      <c r="E1157" s="4" t="inlineStr">
        <is>
          <t>Agarbatti 100pk</t>
        </is>
      </c>
      <c r="F1157" s="4" t="inlineStr">
        <is>
          <t>Home Care</t>
        </is>
      </c>
      <c r="G1157" s="4" t="inlineStr">
        <is>
          <t>C</t>
        </is>
      </c>
      <c r="H1157" s="11" t="n">
        <v>1458</v>
      </c>
      <c r="I1157" s="4" t="n">
        <v>468.5</v>
      </c>
      <c r="J1157" s="13">
        <f>IF(I1157&gt;0,H1157/I1157,"")</f>
        <v/>
      </c>
      <c r="K1157" s="4">
        <f>IF(I1157&lt;=0,"NO DEMAND",IF(H1157=0,"STOCKOUT",IF(J1157&lt;Config!$B$5,"CRITICAL",IF(J1157&lt;Config!$B$6,"LOW",IF(J1157&gt;Config!$B$7,"EXCESS","HEALTHY")))))</f>
        <v/>
      </c>
      <c r="L1157" s="11" t="n">
        <v>59</v>
      </c>
      <c r="M1157" s="11" t="n">
        <v>75</v>
      </c>
      <c r="N1157" s="11">
        <f>H1157*L1157</f>
        <v/>
      </c>
      <c r="O1157" s="11">
        <f>IF(I1157&gt;0,I1157*(M1157-L1157),0)</f>
        <v/>
      </c>
      <c r="P1157" s="11" t="n">
        <v>0</v>
      </c>
    </row>
    <row r="1158">
      <c r="A1158" s="4" t="inlineStr">
        <is>
          <t>WH10</t>
        </is>
      </c>
      <c r="B1158" s="4" t="inlineStr">
        <is>
          <t>Kolkata DC</t>
        </is>
      </c>
      <c r="C1158" s="4" t="inlineStr">
        <is>
          <t>East</t>
        </is>
      </c>
      <c r="D1158" s="4" t="inlineStr">
        <is>
          <t>SKU074</t>
        </is>
      </c>
      <c r="E1158" s="4" t="inlineStr">
        <is>
          <t>Matchbox 10pk</t>
        </is>
      </c>
      <c r="F1158" s="4" t="inlineStr">
        <is>
          <t>Home Care</t>
        </is>
      </c>
      <c r="G1158" s="4" t="inlineStr">
        <is>
          <t>A</t>
        </is>
      </c>
      <c r="H1158" s="11" t="n">
        <v>66</v>
      </c>
      <c r="I1158" s="4" t="n">
        <v>298.5</v>
      </c>
      <c r="J1158" s="13">
        <f>IF(I1158&gt;0,H1158/I1158,"")</f>
        <v/>
      </c>
      <c r="K1158" s="4">
        <f>IF(I1158&lt;=0,"NO DEMAND",IF(H1158=0,"STOCKOUT",IF(J1158&lt;Config!$B$5,"CRITICAL",IF(J1158&lt;Config!$B$6,"LOW",IF(J1158&gt;Config!$B$7,"EXCESS","HEALTHY")))))</f>
        <v/>
      </c>
      <c r="L1158" s="11" t="n">
        <v>257</v>
      </c>
      <c r="M1158" s="11" t="n">
        <v>315</v>
      </c>
      <c r="N1158" s="11">
        <f>H1158*L1158</f>
        <v/>
      </c>
      <c r="O1158" s="11">
        <f>IF(I1158&gt;0,I1158*(M1158-L1158),0)</f>
        <v/>
      </c>
      <c r="P1158" s="11" t="n">
        <v>1056</v>
      </c>
    </row>
    <row r="1159">
      <c r="A1159" s="4" t="inlineStr">
        <is>
          <t>WH10</t>
        </is>
      </c>
      <c r="B1159" s="4" t="inlineStr">
        <is>
          <t>Kolkata DC</t>
        </is>
      </c>
      <c r="C1159" s="4" t="inlineStr">
        <is>
          <t>East</t>
        </is>
      </c>
      <c r="D1159" s="4" t="inlineStr">
        <is>
          <t>SKU075</t>
        </is>
      </c>
      <c r="E1159" s="4" t="inlineStr">
        <is>
          <t>Naphthalene Balls 200g</t>
        </is>
      </c>
      <c r="F1159" s="4" t="inlineStr">
        <is>
          <t>Home Care</t>
        </is>
      </c>
      <c r="G1159" s="4" t="inlineStr">
        <is>
          <t>C</t>
        </is>
      </c>
      <c r="H1159" s="11" t="n">
        <v>1421</v>
      </c>
      <c r="I1159" s="4" t="n">
        <v>554.5</v>
      </c>
      <c r="J1159" s="13">
        <f>IF(I1159&gt;0,H1159/I1159,"")</f>
        <v/>
      </c>
      <c r="K1159" s="4">
        <f>IF(I1159&lt;=0,"NO DEMAND",IF(H1159=0,"STOCKOUT",IF(J1159&lt;Config!$B$5,"CRITICAL",IF(J1159&lt;Config!$B$6,"LOW",IF(J1159&gt;Config!$B$7,"EXCESS","HEALTHY")))))</f>
        <v/>
      </c>
      <c r="L1159" s="11" t="n">
        <v>49</v>
      </c>
      <c r="M1159" s="11" t="n">
        <v>60</v>
      </c>
      <c r="N1159" s="11">
        <f>H1159*L1159</f>
        <v/>
      </c>
      <c r="O1159" s="11">
        <f>IF(I1159&gt;0,I1159*(M1159-L1159),0)</f>
        <v/>
      </c>
      <c r="P1159" s="11" t="n">
        <v>0</v>
      </c>
    </row>
    <row r="1160">
      <c r="A1160" s="4" t="inlineStr">
        <is>
          <t>WH10</t>
        </is>
      </c>
      <c r="B1160" s="4" t="inlineStr">
        <is>
          <t>Kolkata DC</t>
        </is>
      </c>
      <c r="C1160" s="4" t="inlineStr">
        <is>
          <t>East</t>
        </is>
      </c>
      <c r="D1160" s="4" t="inlineStr">
        <is>
          <t>SKU076</t>
        </is>
      </c>
      <c r="E1160" s="4" t="inlineStr">
        <is>
          <t>USB-C Cable 1m</t>
        </is>
      </c>
      <c r="F1160" s="4" t="inlineStr">
        <is>
          <t>Electronics Accessories</t>
        </is>
      </c>
      <c r="G1160" s="4" t="inlineStr">
        <is>
          <t>A</t>
        </is>
      </c>
      <c r="H1160" s="11" t="n">
        <v>243</v>
      </c>
      <c r="I1160" s="4" t="n">
        <v>134.25</v>
      </c>
      <c r="J1160" s="13">
        <f>IF(I1160&gt;0,H1160/I1160,"")</f>
        <v/>
      </c>
      <c r="K1160" s="4">
        <f>IF(I1160&lt;=0,"NO DEMAND",IF(H1160=0,"STOCKOUT",IF(J1160&lt;Config!$B$5,"CRITICAL",IF(J1160&lt;Config!$B$6,"LOW",IF(J1160&gt;Config!$B$7,"EXCESS","HEALTHY")))))</f>
        <v/>
      </c>
      <c r="L1160" s="11" t="n">
        <v>441</v>
      </c>
      <c r="M1160" s="11" t="n">
        <v>572</v>
      </c>
      <c r="N1160" s="11">
        <f>H1160*L1160</f>
        <v/>
      </c>
      <c r="O1160" s="11">
        <f>IF(I1160&gt;0,I1160*(M1160-L1160),0)</f>
        <v/>
      </c>
      <c r="P1160" s="11" t="n">
        <v>780</v>
      </c>
    </row>
    <row r="1161">
      <c r="A1161" s="4" t="inlineStr">
        <is>
          <t>WH10</t>
        </is>
      </c>
      <c r="B1161" s="4" t="inlineStr">
        <is>
          <t>Kolkata DC</t>
        </is>
      </c>
      <c r="C1161" s="4" t="inlineStr">
        <is>
          <t>East</t>
        </is>
      </c>
      <c r="D1161" s="4" t="inlineStr">
        <is>
          <t>SKU077</t>
        </is>
      </c>
      <c r="E1161" s="4" t="inlineStr">
        <is>
          <t>Fast Charger 25W</t>
        </is>
      </c>
      <c r="F1161" s="4" t="inlineStr">
        <is>
          <t>Electronics Accessories</t>
        </is>
      </c>
      <c r="G1161" s="4" t="inlineStr">
        <is>
          <t>B</t>
        </is>
      </c>
      <c r="H1161" s="11" t="n">
        <v>147</v>
      </c>
      <c r="I1161" s="4" t="n">
        <v>268.5</v>
      </c>
      <c r="J1161" s="13">
        <f>IF(I1161&gt;0,H1161/I1161,"")</f>
        <v/>
      </c>
      <c r="K1161" s="4">
        <f>IF(I1161&lt;=0,"NO DEMAND",IF(H1161=0,"STOCKOUT",IF(J1161&lt;Config!$B$5,"CRITICAL",IF(J1161&lt;Config!$B$6,"LOW",IF(J1161&gt;Config!$B$7,"EXCESS","HEALTHY")))))</f>
        <v/>
      </c>
      <c r="L1161" s="11" t="n">
        <v>364</v>
      </c>
      <c r="M1161" s="11" t="n">
        <v>465</v>
      </c>
      <c r="N1161" s="11">
        <f>H1161*L1161</f>
        <v/>
      </c>
      <c r="O1161" s="11">
        <f>IF(I1161&gt;0,I1161*(M1161-L1161),0)</f>
        <v/>
      </c>
      <c r="P1161" s="11" t="n">
        <v>620</v>
      </c>
    </row>
    <row r="1162">
      <c r="A1162" s="4" t="inlineStr">
        <is>
          <t>WH10</t>
        </is>
      </c>
      <c r="B1162" s="4" t="inlineStr">
        <is>
          <t>Kolkata DC</t>
        </is>
      </c>
      <c r="C1162" s="4" t="inlineStr">
        <is>
          <t>East</t>
        </is>
      </c>
      <c r="D1162" s="4" t="inlineStr">
        <is>
          <t>SKU078</t>
        </is>
      </c>
      <c r="E1162" s="4" t="inlineStr">
        <is>
          <t>Power Bank 10000mAh</t>
        </is>
      </c>
      <c r="F1162" s="4" t="inlineStr">
        <is>
          <t>Electronics Accessories</t>
        </is>
      </c>
      <c r="G1162" s="4" t="inlineStr">
        <is>
          <t>B</t>
        </is>
      </c>
      <c r="H1162" s="11" t="n">
        <v>764</v>
      </c>
      <c r="I1162" s="4" t="n">
        <v>109</v>
      </c>
      <c r="J1162" s="13">
        <f>IF(I1162&gt;0,H1162/I1162,"")</f>
        <v/>
      </c>
      <c r="K1162" s="4">
        <f>IF(I1162&lt;=0,"NO DEMAND",IF(H1162=0,"STOCKOUT",IF(J1162&lt;Config!$B$5,"CRITICAL",IF(J1162&lt;Config!$B$6,"LOW",IF(J1162&gt;Config!$B$7,"EXCESS","HEALTHY")))))</f>
        <v/>
      </c>
      <c r="L1162" s="11" t="n">
        <v>359</v>
      </c>
      <c r="M1162" s="11" t="n">
        <v>471</v>
      </c>
      <c r="N1162" s="11">
        <f>H1162*L1162</f>
        <v/>
      </c>
      <c r="O1162" s="11">
        <f>IF(I1162&gt;0,I1162*(M1162-L1162),0)</f>
        <v/>
      </c>
      <c r="P1162" s="11" t="n">
        <v>0</v>
      </c>
    </row>
    <row r="1163">
      <c r="A1163" s="4" t="inlineStr">
        <is>
          <t>WH10</t>
        </is>
      </c>
      <c r="B1163" s="4" t="inlineStr">
        <is>
          <t>Kolkata DC</t>
        </is>
      </c>
      <c r="C1163" s="4" t="inlineStr">
        <is>
          <t>East</t>
        </is>
      </c>
      <c r="D1163" s="4" t="inlineStr">
        <is>
          <t>SKU079</t>
        </is>
      </c>
      <c r="E1163" s="4" t="inlineStr">
        <is>
          <t>Wired Earphones</t>
        </is>
      </c>
      <c r="F1163" s="4" t="inlineStr">
        <is>
          <t>Electronics Accessories</t>
        </is>
      </c>
      <c r="G1163" s="4" t="inlineStr">
        <is>
          <t>A</t>
        </is>
      </c>
      <c r="H1163" s="11" t="n">
        <v>463</v>
      </c>
      <c r="I1163" s="4" t="n">
        <v>186</v>
      </c>
      <c r="J1163" s="13">
        <f>IF(I1163&gt;0,H1163/I1163,"")</f>
        <v/>
      </c>
      <c r="K1163" s="4">
        <f>IF(I1163&lt;=0,"NO DEMAND",IF(H1163=0,"STOCKOUT",IF(J1163&lt;Config!$B$5,"CRITICAL",IF(J1163&lt;Config!$B$6,"LOW",IF(J1163&gt;Config!$B$7,"EXCESS","HEALTHY")))))</f>
        <v/>
      </c>
      <c r="L1163" s="11" t="n">
        <v>1110</v>
      </c>
      <c r="M1163" s="11" t="n">
        <v>1412</v>
      </c>
      <c r="N1163" s="11">
        <f>H1163*L1163</f>
        <v/>
      </c>
      <c r="O1163" s="11">
        <f>IF(I1163&gt;0,I1163*(M1163-L1163),0)</f>
        <v/>
      </c>
      <c r="P1163" s="11" t="n">
        <v>570</v>
      </c>
    </row>
    <row r="1164">
      <c r="A1164" s="4" t="inlineStr">
        <is>
          <t>WH10</t>
        </is>
      </c>
      <c r="B1164" s="4" t="inlineStr">
        <is>
          <t>Kolkata DC</t>
        </is>
      </c>
      <c r="C1164" s="4" t="inlineStr">
        <is>
          <t>East</t>
        </is>
      </c>
      <c r="D1164" s="4" t="inlineStr">
        <is>
          <t>SKU080</t>
        </is>
      </c>
      <c r="E1164" s="4" t="inlineStr">
        <is>
          <t>TWS Earbuds</t>
        </is>
      </c>
      <c r="F1164" s="4" t="inlineStr">
        <is>
          <t>Electronics Accessories</t>
        </is>
      </c>
      <c r="G1164" s="4" t="inlineStr">
        <is>
          <t>A</t>
        </is>
      </c>
      <c r="H1164" s="11" t="n">
        <v>1206</v>
      </c>
      <c r="I1164" s="4" t="n">
        <v>232.25</v>
      </c>
      <c r="J1164" s="13">
        <f>IF(I1164&gt;0,H1164/I1164,"")</f>
        <v/>
      </c>
      <c r="K1164" s="4">
        <f>IF(I1164&lt;=0,"NO DEMAND",IF(H1164=0,"STOCKOUT",IF(J1164&lt;Config!$B$5,"CRITICAL",IF(J1164&lt;Config!$B$6,"LOW",IF(J1164&gt;Config!$B$7,"EXCESS","HEALTHY")))))</f>
        <v/>
      </c>
      <c r="L1164" s="11" t="n">
        <v>2238</v>
      </c>
      <c r="M1164" s="11" t="n">
        <v>2947</v>
      </c>
      <c r="N1164" s="11">
        <f>H1164*L1164</f>
        <v/>
      </c>
      <c r="O1164" s="11">
        <f>IF(I1164&gt;0,I1164*(M1164-L1164),0)</f>
        <v/>
      </c>
      <c r="P1164" s="11" t="n">
        <v>0</v>
      </c>
    </row>
    <row r="1165">
      <c r="A1165" s="4" t="inlineStr">
        <is>
          <t>WH10</t>
        </is>
      </c>
      <c r="B1165" s="4" t="inlineStr">
        <is>
          <t>Kolkata DC</t>
        </is>
      </c>
      <c r="C1165" s="4" t="inlineStr">
        <is>
          <t>East</t>
        </is>
      </c>
      <c r="D1165" s="4" t="inlineStr">
        <is>
          <t>SKU081</t>
        </is>
      </c>
      <c r="E1165" s="4" t="inlineStr">
        <is>
          <t>Bluetooth Speaker</t>
        </is>
      </c>
      <c r="F1165" s="4" t="inlineStr">
        <is>
          <t>Electronics Accessories</t>
        </is>
      </c>
      <c r="G1165" s="4" t="inlineStr">
        <is>
          <t>B</t>
        </is>
      </c>
      <c r="H1165" s="11" t="n">
        <v>1036</v>
      </c>
      <c r="I1165" s="4" t="n">
        <v>168.25</v>
      </c>
      <c r="J1165" s="13">
        <f>IF(I1165&gt;0,H1165/I1165,"")</f>
        <v/>
      </c>
      <c r="K1165" s="4">
        <f>IF(I1165&lt;=0,"NO DEMAND",IF(H1165=0,"STOCKOUT",IF(J1165&lt;Config!$B$5,"CRITICAL",IF(J1165&lt;Config!$B$6,"LOW",IF(J1165&gt;Config!$B$7,"EXCESS","HEALTHY")))))</f>
        <v/>
      </c>
      <c r="L1165" s="11" t="n">
        <v>227</v>
      </c>
      <c r="M1165" s="11" t="n">
        <v>293</v>
      </c>
      <c r="N1165" s="11">
        <f>H1165*L1165</f>
        <v/>
      </c>
      <c r="O1165" s="11">
        <f>IF(I1165&gt;0,I1165*(M1165-L1165),0)</f>
        <v/>
      </c>
      <c r="P1165" s="11" t="n">
        <v>0</v>
      </c>
    </row>
    <row r="1166">
      <c r="A1166" s="4" t="inlineStr">
        <is>
          <t>WH10</t>
        </is>
      </c>
      <c r="B1166" s="4" t="inlineStr">
        <is>
          <t>Kolkata DC</t>
        </is>
      </c>
      <c r="C1166" s="4" t="inlineStr">
        <is>
          <t>East</t>
        </is>
      </c>
      <c r="D1166" s="4" t="inlineStr">
        <is>
          <t>SKU082</t>
        </is>
      </c>
      <c r="E1166" s="4" t="inlineStr">
        <is>
          <t>Phone Case</t>
        </is>
      </c>
      <c r="F1166" s="4" t="inlineStr">
        <is>
          <t>Electronics Accessories</t>
        </is>
      </c>
      <c r="G1166" s="4" t="inlineStr">
        <is>
          <t>B</t>
        </is>
      </c>
      <c r="H1166" s="11" t="n">
        <v>332</v>
      </c>
      <c r="I1166" s="4" t="n">
        <v>79.5</v>
      </c>
      <c r="J1166" s="13">
        <f>IF(I1166&gt;0,H1166/I1166,"")</f>
        <v/>
      </c>
      <c r="K1166" s="4">
        <f>IF(I1166&lt;=0,"NO DEMAND",IF(H1166=0,"STOCKOUT",IF(J1166&lt;Config!$B$5,"CRITICAL",IF(J1166&lt;Config!$B$6,"LOW",IF(J1166&gt;Config!$B$7,"EXCESS","HEALTHY")))))</f>
        <v/>
      </c>
      <c r="L1166" s="11" t="n">
        <v>665</v>
      </c>
      <c r="M1166" s="11" t="n">
        <v>835</v>
      </c>
      <c r="N1166" s="11">
        <f>H1166*L1166</f>
        <v/>
      </c>
      <c r="O1166" s="11">
        <f>IF(I1166&gt;0,I1166*(M1166-L1166),0)</f>
        <v/>
      </c>
      <c r="P1166" s="11" t="n">
        <v>290</v>
      </c>
    </row>
    <row r="1167">
      <c r="A1167" s="4" t="inlineStr">
        <is>
          <t>WH10</t>
        </is>
      </c>
      <c r="B1167" s="4" t="inlineStr">
        <is>
          <t>Kolkata DC</t>
        </is>
      </c>
      <c r="C1167" s="4" t="inlineStr">
        <is>
          <t>East</t>
        </is>
      </c>
      <c r="D1167" s="4" t="inlineStr">
        <is>
          <t>SKU083</t>
        </is>
      </c>
      <c r="E1167" s="4" t="inlineStr">
        <is>
          <t>Screen Guard</t>
        </is>
      </c>
      <c r="F1167" s="4" t="inlineStr">
        <is>
          <t>Electronics Accessories</t>
        </is>
      </c>
      <c r="G1167" s="4" t="inlineStr">
        <is>
          <t>C</t>
        </is>
      </c>
      <c r="H1167" s="11" t="n">
        <v>111</v>
      </c>
      <c r="I1167" s="4" t="n">
        <v>105.5</v>
      </c>
      <c r="J1167" s="13">
        <f>IF(I1167&gt;0,H1167/I1167,"")</f>
        <v/>
      </c>
      <c r="K1167" s="4">
        <f>IF(I1167&lt;=0,"NO DEMAND",IF(H1167=0,"STOCKOUT",IF(J1167&lt;Config!$B$5,"CRITICAL",IF(J1167&lt;Config!$B$6,"LOW",IF(J1167&gt;Config!$B$7,"EXCESS","HEALTHY")))))</f>
        <v/>
      </c>
      <c r="L1167" s="11" t="n">
        <v>229</v>
      </c>
      <c r="M1167" s="11" t="n">
        <v>298</v>
      </c>
      <c r="N1167" s="11">
        <f>H1167*L1167</f>
        <v/>
      </c>
      <c r="O1167" s="11">
        <f>IF(I1167&gt;0,I1167*(M1167-L1167),0)</f>
        <v/>
      </c>
      <c r="P1167" s="11" t="n">
        <v>350</v>
      </c>
    </row>
    <row r="1168">
      <c r="A1168" s="4" t="inlineStr">
        <is>
          <t>WH10</t>
        </is>
      </c>
      <c r="B1168" s="4" t="inlineStr">
        <is>
          <t>Kolkata DC</t>
        </is>
      </c>
      <c r="C1168" s="4" t="inlineStr">
        <is>
          <t>East</t>
        </is>
      </c>
      <c r="D1168" s="4" t="inlineStr">
        <is>
          <t>SKU084</t>
        </is>
      </c>
      <c r="E1168" s="4" t="inlineStr">
        <is>
          <t>LED Bulb 9W</t>
        </is>
      </c>
      <c r="F1168" s="4" t="inlineStr">
        <is>
          <t>Electronics Accessories</t>
        </is>
      </c>
      <c r="G1168" s="4" t="inlineStr">
        <is>
          <t>C</t>
        </is>
      </c>
      <c r="H1168" s="11" t="n">
        <v>567</v>
      </c>
      <c r="I1168" s="4" t="n">
        <v>116.25</v>
      </c>
      <c r="J1168" s="13">
        <f>IF(I1168&gt;0,H1168/I1168,"")</f>
        <v/>
      </c>
      <c r="K1168" s="4">
        <f>IF(I1168&lt;=0,"NO DEMAND",IF(H1168=0,"STOCKOUT",IF(J1168&lt;Config!$B$5,"CRITICAL",IF(J1168&lt;Config!$B$6,"LOW",IF(J1168&gt;Config!$B$7,"EXCESS","HEALTHY")))))</f>
        <v/>
      </c>
      <c r="L1168" s="11" t="n">
        <v>160</v>
      </c>
      <c r="M1168" s="11" t="n">
        <v>207</v>
      </c>
      <c r="N1168" s="11">
        <f>H1168*L1168</f>
        <v/>
      </c>
      <c r="O1168" s="11">
        <f>IF(I1168&gt;0,I1168*(M1168-L1168),0)</f>
        <v/>
      </c>
      <c r="P1168" s="11" t="n">
        <v>0</v>
      </c>
    </row>
    <row r="1169">
      <c r="A1169" s="4" t="inlineStr">
        <is>
          <t>WH10</t>
        </is>
      </c>
      <c r="B1169" s="4" t="inlineStr">
        <is>
          <t>Kolkata DC</t>
        </is>
      </c>
      <c r="C1169" s="4" t="inlineStr">
        <is>
          <t>East</t>
        </is>
      </c>
      <c r="D1169" s="4" t="inlineStr">
        <is>
          <t>SKU085</t>
        </is>
      </c>
      <c r="E1169" s="4" t="inlineStr">
        <is>
          <t>Extension Board 4-socket</t>
        </is>
      </c>
      <c r="F1169" s="4" t="inlineStr">
        <is>
          <t>Electronics Accessories</t>
        </is>
      </c>
      <c r="G1169" s="4" t="inlineStr">
        <is>
          <t>B</t>
        </is>
      </c>
      <c r="H1169" s="11" t="n">
        <v>40</v>
      </c>
      <c r="I1169" s="4" t="n">
        <v>202.75</v>
      </c>
      <c r="J1169" s="13">
        <f>IF(I1169&gt;0,H1169/I1169,"")</f>
        <v/>
      </c>
      <c r="K1169" s="4">
        <f>IF(I1169&lt;=0,"NO DEMAND",IF(H1169=0,"STOCKOUT",IF(J1169&lt;Config!$B$5,"CRITICAL",IF(J1169&lt;Config!$B$6,"LOW",IF(J1169&gt;Config!$B$7,"EXCESS","HEALTHY")))))</f>
        <v/>
      </c>
      <c r="L1169" s="11" t="n">
        <v>336</v>
      </c>
      <c r="M1169" s="11" t="n">
        <v>431</v>
      </c>
      <c r="N1169" s="11">
        <f>H1169*L1169</f>
        <v/>
      </c>
      <c r="O1169" s="11">
        <f>IF(I1169&gt;0,I1169*(M1169-L1169),0)</f>
        <v/>
      </c>
      <c r="P1169" s="11" t="n">
        <v>780</v>
      </c>
    </row>
    <row r="1170">
      <c r="A1170" s="4" t="inlineStr">
        <is>
          <t>WH10</t>
        </is>
      </c>
      <c r="B1170" s="4" t="inlineStr">
        <is>
          <t>Kolkata DC</t>
        </is>
      </c>
      <c r="C1170" s="4" t="inlineStr">
        <is>
          <t>East</t>
        </is>
      </c>
      <c r="D1170" s="4" t="inlineStr">
        <is>
          <t>SKU086</t>
        </is>
      </c>
      <c r="E1170" s="4" t="inlineStr">
        <is>
          <t>AA Batteries 10pk</t>
        </is>
      </c>
      <c r="F1170" s="4" t="inlineStr">
        <is>
          <t>Electronics Accessories</t>
        </is>
      </c>
      <c r="G1170" s="4" t="inlineStr">
        <is>
          <t>A</t>
        </is>
      </c>
      <c r="H1170" s="11" t="n">
        <v>1035</v>
      </c>
      <c r="I1170" s="4" t="n">
        <v>217.5</v>
      </c>
      <c r="J1170" s="13">
        <f>IF(I1170&gt;0,H1170/I1170,"")</f>
        <v/>
      </c>
      <c r="K1170" s="4">
        <f>IF(I1170&lt;=0,"NO DEMAND",IF(H1170=0,"STOCKOUT",IF(J1170&lt;Config!$B$5,"CRITICAL",IF(J1170&lt;Config!$B$6,"LOW",IF(J1170&gt;Config!$B$7,"EXCESS","HEALTHY")))))</f>
        <v/>
      </c>
      <c r="L1170" s="11" t="n">
        <v>1335</v>
      </c>
      <c r="M1170" s="11" t="n">
        <v>1740</v>
      </c>
      <c r="N1170" s="11">
        <f>H1170*L1170</f>
        <v/>
      </c>
      <c r="O1170" s="11">
        <f>IF(I1170&gt;0,I1170*(M1170-L1170),0)</f>
        <v/>
      </c>
      <c r="P1170" s="11" t="n">
        <v>0</v>
      </c>
    </row>
    <row r="1171">
      <c r="A1171" s="4" t="inlineStr">
        <is>
          <t>WH10</t>
        </is>
      </c>
      <c r="B1171" s="4" t="inlineStr">
        <is>
          <t>Kolkata DC</t>
        </is>
      </c>
      <c r="C1171" s="4" t="inlineStr">
        <is>
          <t>East</t>
        </is>
      </c>
      <c r="D1171" s="4" t="inlineStr">
        <is>
          <t>SKU087</t>
        </is>
      </c>
      <c r="E1171" s="4" t="inlineStr">
        <is>
          <t>SD Card 64GB</t>
        </is>
      </c>
      <c r="F1171" s="4" t="inlineStr">
        <is>
          <t>Electronics Accessories</t>
        </is>
      </c>
      <c r="G1171" s="4" t="inlineStr">
        <is>
          <t>A</t>
        </is>
      </c>
      <c r="H1171" s="11" t="n">
        <v>466</v>
      </c>
      <c r="I1171" s="4" t="n">
        <v>271.25</v>
      </c>
      <c r="J1171" s="13">
        <f>IF(I1171&gt;0,H1171/I1171,"")</f>
        <v/>
      </c>
      <c r="K1171" s="4">
        <f>IF(I1171&lt;=0,"NO DEMAND",IF(H1171=0,"STOCKOUT",IF(J1171&lt;Config!$B$5,"CRITICAL",IF(J1171&lt;Config!$B$6,"LOW",IF(J1171&gt;Config!$B$7,"EXCESS","HEALTHY")))))</f>
        <v/>
      </c>
      <c r="L1171" s="11" t="n">
        <v>1750</v>
      </c>
      <c r="M1171" s="11" t="n">
        <v>2180</v>
      </c>
      <c r="N1171" s="11">
        <f>H1171*L1171</f>
        <v/>
      </c>
      <c r="O1171" s="11">
        <f>IF(I1171&gt;0,I1171*(M1171-L1171),0)</f>
        <v/>
      </c>
      <c r="P1171" s="11" t="n">
        <v>1000</v>
      </c>
    </row>
    <row r="1172">
      <c r="A1172" s="4" t="inlineStr">
        <is>
          <t>WH10</t>
        </is>
      </c>
      <c r="B1172" s="4" t="inlineStr">
        <is>
          <t>Kolkata DC</t>
        </is>
      </c>
      <c r="C1172" s="4" t="inlineStr">
        <is>
          <t>East</t>
        </is>
      </c>
      <c r="D1172" s="4" t="inlineStr">
        <is>
          <t>SKU088</t>
        </is>
      </c>
      <c r="E1172" s="4" t="inlineStr">
        <is>
          <t>Wireless Mouse</t>
        </is>
      </c>
      <c r="F1172" s="4" t="inlineStr">
        <is>
          <t>Electronics Accessories</t>
        </is>
      </c>
      <c r="G1172" s="4" t="inlineStr">
        <is>
          <t>A</t>
        </is>
      </c>
      <c r="H1172" s="11" t="n">
        <v>873</v>
      </c>
      <c r="I1172" s="4" t="n">
        <v>317.5</v>
      </c>
      <c r="J1172" s="13">
        <f>IF(I1172&gt;0,H1172/I1172,"")</f>
        <v/>
      </c>
      <c r="K1172" s="4">
        <f>IF(I1172&lt;=0,"NO DEMAND",IF(H1172=0,"STOCKOUT",IF(J1172&lt;Config!$B$5,"CRITICAL",IF(J1172&lt;Config!$B$6,"LOW",IF(J1172&gt;Config!$B$7,"EXCESS","HEALTHY")))))</f>
        <v/>
      </c>
      <c r="L1172" s="11" t="n">
        <v>429</v>
      </c>
      <c r="M1172" s="11" t="n">
        <v>534</v>
      </c>
      <c r="N1172" s="11">
        <f>H1172*L1172</f>
        <v/>
      </c>
      <c r="O1172" s="11">
        <f>IF(I1172&gt;0,I1172*(M1172-L1172),0)</f>
        <v/>
      </c>
      <c r="P1172" s="11" t="n">
        <v>1140</v>
      </c>
    </row>
    <row r="1173">
      <c r="A1173" s="4" t="inlineStr">
        <is>
          <t>WH10</t>
        </is>
      </c>
      <c r="B1173" s="4" t="inlineStr">
        <is>
          <t>Kolkata DC</t>
        </is>
      </c>
      <c r="C1173" s="4" t="inlineStr">
        <is>
          <t>East</t>
        </is>
      </c>
      <c r="D1173" s="4" t="inlineStr">
        <is>
          <t>SKU089</t>
        </is>
      </c>
      <c r="E1173" s="4" t="inlineStr">
        <is>
          <t>USB Keyboard</t>
        </is>
      </c>
      <c r="F1173" s="4" t="inlineStr">
        <is>
          <t>Electronics Accessories</t>
        </is>
      </c>
      <c r="G1173" s="4" t="inlineStr">
        <is>
          <t>A</t>
        </is>
      </c>
      <c r="H1173" s="11" t="n">
        <v>112</v>
      </c>
      <c r="I1173" s="4" t="n">
        <v>33.25</v>
      </c>
      <c r="J1173" s="13">
        <f>IF(I1173&gt;0,H1173/I1173,"")</f>
        <v/>
      </c>
      <c r="K1173" s="4">
        <f>IF(I1173&lt;=0,"NO DEMAND",IF(H1173=0,"STOCKOUT",IF(J1173&lt;Config!$B$5,"CRITICAL",IF(J1173&lt;Config!$B$6,"LOW",IF(J1173&gt;Config!$B$7,"EXCESS","HEALTHY")))))</f>
        <v/>
      </c>
      <c r="L1173" s="11" t="n">
        <v>2249</v>
      </c>
      <c r="M1173" s="11" t="n">
        <v>2812</v>
      </c>
      <c r="N1173" s="11">
        <f>H1173*L1173</f>
        <v/>
      </c>
      <c r="O1173" s="11">
        <f>IF(I1173&gt;0,I1173*(M1173-L1173),0)</f>
        <v/>
      </c>
      <c r="P1173" s="11" t="n">
        <v>0</v>
      </c>
    </row>
    <row r="1174">
      <c r="A1174" s="4" t="inlineStr">
        <is>
          <t>WH10</t>
        </is>
      </c>
      <c r="B1174" s="4" t="inlineStr">
        <is>
          <t>Kolkata DC</t>
        </is>
      </c>
      <c r="C1174" s="4" t="inlineStr">
        <is>
          <t>East</t>
        </is>
      </c>
      <c r="D1174" s="4" t="inlineStr">
        <is>
          <t>SKU090</t>
        </is>
      </c>
      <c r="E1174" s="4" t="inlineStr">
        <is>
          <t>HDMI Cable 2m</t>
        </is>
      </c>
      <c r="F1174" s="4" t="inlineStr">
        <is>
          <t>Electronics Accessories</t>
        </is>
      </c>
      <c r="G1174" s="4" t="inlineStr">
        <is>
          <t>C</t>
        </is>
      </c>
      <c r="H1174" s="11" t="n">
        <v>299</v>
      </c>
      <c r="I1174" s="4" t="n">
        <v>103</v>
      </c>
      <c r="J1174" s="13">
        <f>IF(I1174&gt;0,H1174/I1174,"")</f>
        <v/>
      </c>
      <c r="K1174" s="4">
        <f>IF(I1174&lt;=0,"NO DEMAND",IF(H1174=0,"STOCKOUT",IF(J1174&lt;Config!$B$5,"CRITICAL",IF(J1174&lt;Config!$B$6,"LOW",IF(J1174&gt;Config!$B$7,"EXCESS","HEALTHY")))))</f>
        <v/>
      </c>
      <c r="L1174" s="11" t="n">
        <v>292</v>
      </c>
      <c r="M1174" s="11" t="n">
        <v>378</v>
      </c>
      <c r="N1174" s="11">
        <f>H1174*L1174</f>
        <v/>
      </c>
      <c r="O1174" s="11">
        <f>IF(I1174&gt;0,I1174*(M1174-L1174),0)</f>
        <v/>
      </c>
      <c r="P1174" s="11" t="n">
        <v>0</v>
      </c>
    </row>
    <row r="1175">
      <c r="A1175" s="4" t="inlineStr">
        <is>
          <t>WH10</t>
        </is>
      </c>
      <c r="B1175" s="4" t="inlineStr">
        <is>
          <t>Kolkata DC</t>
        </is>
      </c>
      <c r="C1175" s="4" t="inlineStr">
        <is>
          <t>East</t>
        </is>
      </c>
      <c r="D1175" s="4" t="inlineStr">
        <is>
          <t>SKU091</t>
        </is>
      </c>
      <c r="E1175" s="4" t="inlineStr">
        <is>
          <t>Paracetamol 500mg 15s</t>
        </is>
      </c>
      <c r="F1175" s="4" t="inlineStr">
        <is>
          <t>OTC Pharma &amp; Wellness</t>
        </is>
      </c>
      <c r="G1175" s="4" t="inlineStr">
        <is>
          <t>C</t>
        </is>
      </c>
      <c r="H1175" s="11" t="n">
        <v>220</v>
      </c>
      <c r="I1175" s="4" t="n">
        <v>353.25</v>
      </c>
      <c r="J1175" s="13">
        <f>IF(I1175&gt;0,H1175/I1175,"")</f>
        <v/>
      </c>
      <c r="K1175" s="4">
        <f>IF(I1175&lt;=0,"NO DEMAND",IF(H1175=0,"STOCKOUT",IF(J1175&lt;Config!$B$5,"CRITICAL",IF(J1175&lt;Config!$B$6,"LOW",IF(J1175&gt;Config!$B$7,"EXCESS","HEALTHY")))))</f>
        <v/>
      </c>
      <c r="L1175" s="11" t="n">
        <v>113</v>
      </c>
      <c r="M1175" s="11" t="n">
        <v>144</v>
      </c>
      <c r="N1175" s="11">
        <f>H1175*L1175</f>
        <v/>
      </c>
      <c r="O1175" s="11">
        <f>IF(I1175&gt;0,I1175*(M1175-L1175),0)</f>
        <v/>
      </c>
      <c r="P1175" s="11" t="n">
        <v>1224</v>
      </c>
    </row>
    <row r="1176">
      <c r="A1176" s="4" t="inlineStr">
        <is>
          <t>WH10</t>
        </is>
      </c>
      <c r="B1176" s="4" t="inlineStr">
        <is>
          <t>Kolkata DC</t>
        </is>
      </c>
      <c r="C1176" s="4" t="inlineStr">
        <is>
          <t>East</t>
        </is>
      </c>
      <c r="D1176" s="4" t="inlineStr">
        <is>
          <t>SKU092</t>
        </is>
      </c>
      <c r="E1176" s="4" t="inlineStr">
        <is>
          <t>ORS Sachets 10pk</t>
        </is>
      </c>
      <c r="F1176" s="4" t="inlineStr">
        <is>
          <t>OTC Pharma &amp; Wellness</t>
        </is>
      </c>
      <c r="G1176" s="4" t="inlineStr">
        <is>
          <t>C</t>
        </is>
      </c>
      <c r="H1176" s="11" t="n">
        <v>454</v>
      </c>
      <c r="I1176" s="4" t="n">
        <v>314</v>
      </c>
      <c r="J1176" s="13">
        <f>IF(I1176&gt;0,H1176/I1176,"")</f>
        <v/>
      </c>
      <c r="K1176" s="4">
        <f>IF(I1176&lt;=0,"NO DEMAND",IF(H1176=0,"STOCKOUT",IF(J1176&lt;Config!$B$5,"CRITICAL",IF(J1176&lt;Config!$B$6,"LOW",IF(J1176&gt;Config!$B$7,"EXCESS","HEALTHY")))))</f>
        <v/>
      </c>
      <c r="L1176" s="11" t="n">
        <v>55</v>
      </c>
      <c r="M1176" s="11" t="n">
        <v>75</v>
      </c>
      <c r="N1176" s="11">
        <f>H1176*L1176</f>
        <v/>
      </c>
      <c r="O1176" s="11">
        <f>IF(I1176&gt;0,I1176*(M1176-L1176),0)</f>
        <v/>
      </c>
      <c r="P1176" s="11" t="n">
        <v>1644</v>
      </c>
    </row>
    <row r="1177">
      <c r="A1177" s="4" t="inlineStr">
        <is>
          <t>WH10</t>
        </is>
      </c>
      <c r="B1177" s="4" t="inlineStr">
        <is>
          <t>Kolkata DC</t>
        </is>
      </c>
      <c r="C1177" s="4" t="inlineStr">
        <is>
          <t>East</t>
        </is>
      </c>
      <c r="D1177" s="4" t="inlineStr">
        <is>
          <t>SKU093</t>
        </is>
      </c>
      <c r="E1177" s="4" t="inlineStr">
        <is>
          <t>Antacid Syrup 200ml</t>
        </is>
      </c>
      <c r="F1177" s="4" t="inlineStr">
        <is>
          <t>OTC Pharma &amp; Wellness</t>
        </is>
      </c>
      <c r="G1177" s="4" t="inlineStr">
        <is>
          <t>A</t>
        </is>
      </c>
      <c r="H1177" s="11" t="n">
        <v>537</v>
      </c>
      <c r="I1177" s="4" t="n">
        <v>239</v>
      </c>
      <c r="J1177" s="13">
        <f>IF(I1177&gt;0,H1177/I1177,"")</f>
        <v/>
      </c>
      <c r="K1177" s="4">
        <f>IF(I1177&lt;=0,"NO DEMAND",IF(H1177=0,"STOCKOUT",IF(J1177&lt;Config!$B$5,"CRITICAL",IF(J1177&lt;Config!$B$6,"LOW",IF(J1177&gt;Config!$B$7,"EXCESS","HEALTHY")))))</f>
        <v/>
      </c>
      <c r="L1177" s="11" t="n">
        <v>277</v>
      </c>
      <c r="M1177" s="11" t="n">
        <v>362</v>
      </c>
      <c r="N1177" s="11">
        <f>H1177*L1177</f>
        <v/>
      </c>
      <c r="O1177" s="11">
        <f>IF(I1177&gt;0,I1177*(M1177-L1177),0)</f>
        <v/>
      </c>
      <c r="P1177" s="11" t="n">
        <v>0</v>
      </c>
    </row>
    <row r="1178">
      <c r="A1178" s="4" t="inlineStr">
        <is>
          <t>WH10</t>
        </is>
      </c>
      <c r="B1178" s="4" t="inlineStr">
        <is>
          <t>Kolkata DC</t>
        </is>
      </c>
      <c r="C1178" s="4" t="inlineStr">
        <is>
          <t>East</t>
        </is>
      </c>
      <c r="D1178" s="4" t="inlineStr">
        <is>
          <t>SKU094</t>
        </is>
      </c>
      <c r="E1178" s="4" t="inlineStr">
        <is>
          <t>Cough Syrup 100ml</t>
        </is>
      </c>
      <c r="F1178" s="4" t="inlineStr">
        <is>
          <t>OTC Pharma &amp; Wellness</t>
        </is>
      </c>
      <c r="G1178" s="4" t="inlineStr">
        <is>
          <t>B</t>
        </is>
      </c>
      <c r="H1178" s="11" t="n">
        <v>0</v>
      </c>
      <c r="I1178" s="4" t="n">
        <v>165</v>
      </c>
      <c r="J1178" s="13">
        <f>IF(I1178&gt;0,H1178/I1178,"")</f>
        <v/>
      </c>
      <c r="K1178" s="4">
        <f>IF(I1178&lt;=0,"NO DEMAND",IF(H1178=0,"STOCKOUT",IF(J1178&lt;Config!$B$5,"CRITICAL",IF(J1178&lt;Config!$B$6,"LOW",IF(J1178&gt;Config!$B$7,"EXCESS","HEALTHY")))))</f>
        <v/>
      </c>
      <c r="L1178" s="11" t="n">
        <v>190</v>
      </c>
      <c r="M1178" s="11" t="n">
        <v>254</v>
      </c>
      <c r="N1178" s="11">
        <f>H1178*L1178</f>
        <v/>
      </c>
      <c r="O1178" s="11">
        <f>IF(I1178&gt;0,I1178*(M1178-L1178),0)</f>
        <v/>
      </c>
      <c r="P1178" s="11" t="n">
        <v>600</v>
      </c>
    </row>
    <row r="1179">
      <c r="A1179" s="4" t="inlineStr">
        <is>
          <t>WH10</t>
        </is>
      </c>
      <c r="B1179" s="4" t="inlineStr">
        <is>
          <t>Kolkata DC</t>
        </is>
      </c>
      <c r="C1179" s="4" t="inlineStr">
        <is>
          <t>East</t>
        </is>
      </c>
      <c r="D1179" s="4" t="inlineStr">
        <is>
          <t>SKU095</t>
        </is>
      </c>
      <c r="E1179" s="4" t="inlineStr">
        <is>
          <t>Multivitamin 30s</t>
        </is>
      </c>
      <c r="F1179" s="4" t="inlineStr">
        <is>
          <t>OTC Pharma &amp; Wellness</t>
        </is>
      </c>
      <c r="G1179" s="4" t="inlineStr">
        <is>
          <t>B</t>
        </is>
      </c>
      <c r="H1179" s="11" t="n">
        <v>344</v>
      </c>
      <c r="I1179" s="4" t="n">
        <v>144.75</v>
      </c>
      <c r="J1179" s="13">
        <f>IF(I1179&gt;0,H1179/I1179,"")</f>
        <v/>
      </c>
      <c r="K1179" s="4">
        <f>IF(I1179&lt;=0,"NO DEMAND",IF(H1179=0,"STOCKOUT",IF(J1179&lt;Config!$B$5,"CRITICAL",IF(J1179&lt;Config!$B$6,"LOW",IF(J1179&gt;Config!$B$7,"EXCESS","HEALTHY")))))</f>
        <v/>
      </c>
      <c r="L1179" s="11" t="n">
        <v>178</v>
      </c>
      <c r="M1179" s="11" t="n">
        <v>237</v>
      </c>
      <c r="N1179" s="11">
        <f>H1179*L1179</f>
        <v/>
      </c>
      <c r="O1179" s="11">
        <f>IF(I1179&gt;0,I1179*(M1179-L1179),0)</f>
        <v/>
      </c>
      <c r="P1179" s="11" t="n">
        <v>576</v>
      </c>
    </row>
    <row r="1180">
      <c r="A1180" s="4" t="inlineStr">
        <is>
          <t>WH10</t>
        </is>
      </c>
      <c r="B1180" s="4" t="inlineStr">
        <is>
          <t>Kolkata DC</t>
        </is>
      </c>
      <c r="C1180" s="4" t="inlineStr">
        <is>
          <t>East</t>
        </is>
      </c>
      <c r="D1180" s="4" t="inlineStr">
        <is>
          <t>SKU096</t>
        </is>
      </c>
      <c r="E1180" s="4" t="inlineStr">
        <is>
          <t>Antiseptic Liquid 250ml</t>
        </is>
      </c>
      <c r="F1180" s="4" t="inlineStr">
        <is>
          <t>OTC Pharma &amp; Wellness</t>
        </is>
      </c>
      <c r="G1180" s="4" t="inlineStr">
        <is>
          <t>C</t>
        </is>
      </c>
      <c r="H1180" s="11" t="n">
        <v>100</v>
      </c>
      <c r="I1180" s="4" t="n">
        <v>93.25</v>
      </c>
      <c r="J1180" s="13">
        <f>IF(I1180&gt;0,H1180/I1180,"")</f>
        <v/>
      </c>
      <c r="K1180" s="4">
        <f>IF(I1180&lt;=0,"NO DEMAND",IF(H1180=0,"STOCKOUT",IF(J1180&lt;Config!$B$5,"CRITICAL",IF(J1180&lt;Config!$B$6,"LOW",IF(J1180&gt;Config!$B$7,"EXCESS","HEALTHY")))))</f>
        <v/>
      </c>
      <c r="L1180" s="11" t="n">
        <v>88</v>
      </c>
      <c r="M1180" s="11" t="n">
        <v>112</v>
      </c>
      <c r="N1180" s="11">
        <f>H1180*L1180</f>
        <v/>
      </c>
      <c r="O1180" s="11">
        <f>IF(I1180&gt;0,I1180*(M1180-L1180),0)</f>
        <v/>
      </c>
      <c r="P1180" s="11" t="n">
        <v>336</v>
      </c>
    </row>
    <row r="1181">
      <c r="A1181" s="4" t="inlineStr">
        <is>
          <t>WH10</t>
        </is>
      </c>
      <c r="B1181" s="4" t="inlineStr">
        <is>
          <t>Kolkata DC</t>
        </is>
      </c>
      <c r="C1181" s="4" t="inlineStr">
        <is>
          <t>East</t>
        </is>
      </c>
      <c r="D1181" s="4" t="inlineStr">
        <is>
          <t>SKU097</t>
        </is>
      </c>
      <c r="E1181" s="4" t="inlineStr">
        <is>
          <t>Pain Balm 50g</t>
        </is>
      </c>
      <c r="F1181" s="4" t="inlineStr">
        <is>
          <t>OTC Pharma &amp; Wellness</t>
        </is>
      </c>
      <c r="G1181" s="4" t="inlineStr">
        <is>
          <t>C</t>
        </is>
      </c>
      <c r="H1181" s="11" t="n">
        <v>435</v>
      </c>
      <c r="I1181" s="4" t="n">
        <v>122.25</v>
      </c>
      <c r="J1181" s="13">
        <f>IF(I1181&gt;0,H1181/I1181,"")</f>
        <v/>
      </c>
      <c r="K1181" s="4">
        <f>IF(I1181&lt;=0,"NO DEMAND",IF(H1181=0,"STOCKOUT",IF(J1181&lt;Config!$B$5,"CRITICAL",IF(J1181&lt;Config!$B$6,"LOW",IF(J1181&gt;Config!$B$7,"EXCESS","HEALTHY")))))</f>
        <v/>
      </c>
      <c r="L1181" s="11" t="n">
        <v>68</v>
      </c>
      <c r="M1181" s="11" t="n">
        <v>91</v>
      </c>
      <c r="N1181" s="11">
        <f>H1181*L1181</f>
        <v/>
      </c>
      <c r="O1181" s="11">
        <f>IF(I1181&gt;0,I1181*(M1181-L1181),0)</f>
        <v/>
      </c>
      <c r="P1181" s="11" t="n">
        <v>0</v>
      </c>
    </row>
    <row r="1182">
      <c r="A1182" s="4" t="inlineStr">
        <is>
          <t>WH10</t>
        </is>
      </c>
      <c r="B1182" s="4" t="inlineStr">
        <is>
          <t>Kolkata DC</t>
        </is>
      </c>
      <c r="C1182" s="4" t="inlineStr">
        <is>
          <t>East</t>
        </is>
      </c>
      <c r="D1182" s="4" t="inlineStr">
        <is>
          <t>SKU098</t>
        </is>
      </c>
      <c r="E1182" s="4" t="inlineStr">
        <is>
          <t>Bandage Pack</t>
        </is>
      </c>
      <c r="F1182" s="4" t="inlineStr">
        <is>
          <t>OTC Pharma &amp; Wellness</t>
        </is>
      </c>
      <c r="G1182" s="4" t="inlineStr">
        <is>
          <t>C</t>
        </is>
      </c>
      <c r="H1182" s="11" t="n">
        <v>955</v>
      </c>
      <c r="I1182" s="4" t="n">
        <v>475.25</v>
      </c>
      <c r="J1182" s="13">
        <f>IF(I1182&gt;0,H1182/I1182,"")</f>
        <v/>
      </c>
      <c r="K1182" s="4">
        <f>IF(I1182&lt;=0,"NO DEMAND",IF(H1182=0,"STOCKOUT",IF(J1182&lt;Config!$B$5,"CRITICAL",IF(J1182&lt;Config!$B$6,"LOW",IF(J1182&gt;Config!$B$7,"EXCESS","HEALTHY")))))</f>
        <v/>
      </c>
      <c r="L1182" s="11" t="n">
        <v>49</v>
      </c>
      <c r="M1182" s="11" t="n">
        <v>66</v>
      </c>
      <c r="N1182" s="11">
        <f>H1182*L1182</f>
        <v/>
      </c>
      <c r="O1182" s="11">
        <f>IF(I1182&gt;0,I1182*(M1182-L1182),0)</f>
        <v/>
      </c>
      <c r="P1182" s="11" t="n">
        <v>1644</v>
      </c>
    </row>
    <row r="1183">
      <c r="A1183" s="4" t="inlineStr">
        <is>
          <t>WH10</t>
        </is>
      </c>
      <c r="B1183" s="4" t="inlineStr">
        <is>
          <t>Kolkata DC</t>
        </is>
      </c>
      <c r="C1183" s="4" t="inlineStr">
        <is>
          <t>East</t>
        </is>
      </c>
      <c r="D1183" s="4" t="inlineStr">
        <is>
          <t>SKU099</t>
        </is>
      </c>
      <c r="E1183" s="4" t="inlineStr">
        <is>
          <t>Digital Thermometer</t>
        </is>
      </c>
      <c r="F1183" s="4" t="inlineStr">
        <is>
          <t>OTC Pharma &amp; Wellness</t>
        </is>
      </c>
      <c r="G1183" s="4" t="inlineStr">
        <is>
          <t>B</t>
        </is>
      </c>
      <c r="H1183" s="11" t="n">
        <v>262</v>
      </c>
      <c r="I1183" s="4" t="n">
        <v>61.75</v>
      </c>
      <c r="J1183" s="13">
        <f>IF(I1183&gt;0,H1183/I1183,"")</f>
        <v/>
      </c>
      <c r="K1183" s="4">
        <f>IF(I1183&lt;=0,"NO DEMAND",IF(H1183=0,"STOCKOUT",IF(J1183&lt;Config!$B$5,"CRITICAL",IF(J1183&lt;Config!$B$6,"LOW",IF(J1183&gt;Config!$B$7,"EXCESS","HEALTHY")))))</f>
        <v/>
      </c>
      <c r="L1183" s="11" t="n">
        <v>88</v>
      </c>
      <c r="M1183" s="11" t="n">
        <v>112</v>
      </c>
      <c r="N1183" s="11">
        <f>H1183*L1183</f>
        <v/>
      </c>
      <c r="O1183" s="11">
        <f>IF(I1183&gt;0,I1183*(M1183-L1183),0)</f>
        <v/>
      </c>
      <c r="P1183" s="11" t="n">
        <v>0</v>
      </c>
    </row>
    <row r="1184">
      <c r="A1184" s="4" t="inlineStr">
        <is>
          <t>WH10</t>
        </is>
      </c>
      <c r="B1184" s="4" t="inlineStr">
        <is>
          <t>Kolkata DC</t>
        </is>
      </c>
      <c r="C1184" s="4" t="inlineStr">
        <is>
          <t>East</t>
        </is>
      </c>
      <c r="D1184" s="4" t="inlineStr">
        <is>
          <t>SKU100</t>
        </is>
      </c>
      <c r="E1184" s="4" t="inlineStr">
        <is>
          <t>Glucose Powder 500g</t>
        </is>
      </c>
      <c r="F1184" s="4" t="inlineStr">
        <is>
          <t>OTC Pharma &amp; Wellness</t>
        </is>
      </c>
      <c r="G1184" s="4" t="inlineStr">
        <is>
          <t>C</t>
        </is>
      </c>
      <c r="H1184" s="11" t="n">
        <v>252</v>
      </c>
      <c r="I1184" s="4" t="n">
        <v>97.25</v>
      </c>
      <c r="J1184" s="13">
        <f>IF(I1184&gt;0,H1184/I1184,"")</f>
        <v/>
      </c>
      <c r="K1184" s="4">
        <f>IF(I1184&lt;=0,"NO DEMAND",IF(H1184=0,"STOCKOUT",IF(J1184&lt;Config!$B$5,"CRITICAL",IF(J1184&lt;Config!$B$6,"LOW",IF(J1184&gt;Config!$B$7,"EXCESS","HEALTHY")))))</f>
        <v/>
      </c>
      <c r="L1184" s="11" t="n">
        <v>32</v>
      </c>
      <c r="M1184" s="11" t="n">
        <v>42</v>
      </c>
      <c r="N1184" s="11">
        <f>H1184*L1184</f>
        <v/>
      </c>
      <c r="O1184" s="11">
        <f>IF(I1184&gt;0,I1184*(M1184-L1184),0)</f>
        <v/>
      </c>
      <c r="P1184" s="11" t="n">
        <v>0</v>
      </c>
    </row>
    <row r="1185">
      <c r="A1185" s="4" t="inlineStr">
        <is>
          <t>WH10</t>
        </is>
      </c>
      <c r="B1185" s="4" t="inlineStr">
        <is>
          <t>Kolkata DC</t>
        </is>
      </c>
      <c r="C1185" s="4" t="inlineStr">
        <is>
          <t>East</t>
        </is>
      </c>
      <c r="D1185" s="4" t="inlineStr">
        <is>
          <t>SKU101</t>
        </is>
      </c>
      <c r="E1185" s="4" t="inlineStr">
        <is>
          <t>Vitamin C 30s</t>
        </is>
      </c>
      <c r="F1185" s="4" t="inlineStr">
        <is>
          <t>OTC Pharma &amp; Wellness</t>
        </is>
      </c>
      <c r="G1185" s="4" t="inlineStr">
        <is>
          <t>B</t>
        </is>
      </c>
      <c r="H1185" s="11" t="n">
        <v>892</v>
      </c>
      <c r="I1185" s="4" t="n">
        <v>110.75</v>
      </c>
      <c r="J1185" s="13">
        <f>IF(I1185&gt;0,H1185/I1185,"")</f>
        <v/>
      </c>
      <c r="K1185" s="4">
        <f>IF(I1185&lt;=0,"NO DEMAND",IF(H1185=0,"STOCKOUT",IF(J1185&lt;Config!$B$5,"CRITICAL",IF(J1185&lt;Config!$B$6,"LOW",IF(J1185&gt;Config!$B$7,"EXCESS","HEALTHY")))))</f>
        <v/>
      </c>
      <c r="L1185" s="11" t="n">
        <v>176</v>
      </c>
      <c r="M1185" s="11" t="n">
        <v>237</v>
      </c>
      <c r="N1185" s="11">
        <f>H1185*L1185</f>
        <v/>
      </c>
      <c r="O1185" s="11">
        <f>IF(I1185&gt;0,I1185*(M1185-L1185),0)</f>
        <v/>
      </c>
      <c r="P1185" s="11" t="n">
        <v>0</v>
      </c>
    </row>
    <row r="1186">
      <c r="A1186" s="4" t="inlineStr">
        <is>
          <t>WH10</t>
        </is>
      </c>
      <c r="B1186" s="4" t="inlineStr">
        <is>
          <t>Kolkata DC</t>
        </is>
      </c>
      <c r="C1186" s="4" t="inlineStr">
        <is>
          <t>East</t>
        </is>
      </c>
      <c r="D1186" s="4" t="inlineStr">
        <is>
          <t>SKU102</t>
        </is>
      </c>
      <c r="E1186" s="4" t="inlineStr">
        <is>
          <t>Eye Drops 10ml</t>
        </is>
      </c>
      <c r="F1186" s="4" t="inlineStr">
        <is>
          <t>OTC Pharma &amp; Wellness</t>
        </is>
      </c>
      <c r="G1186" s="4" t="inlineStr">
        <is>
          <t>C</t>
        </is>
      </c>
      <c r="H1186" s="11" t="n">
        <v>1388</v>
      </c>
      <c r="I1186" s="4" t="n">
        <v>368.75</v>
      </c>
      <c r="J1186" s="13">
        <f>IF(I1186&gt;0,H1186/I1186,"")</f>
        <v/>
      </c>
      <c r="K1186" s="4">
        <f>IF(I1186&lt;=0,"NO DEMAND",IF(H1186=0,"STOCKOUT",IF(J1186&lt;Config!$B$5,"CRITICAL",IF(J1186&lt;Config!$B$6,"LOW",IF(J1186&gt;Config!$B$7,"EXCESS","HEALTHY")))))</f>
        <v/>
      </c>
      <c r="L1186" s="11" t="n">
        <v>72</v>
      </c>
      <c r="M1186" s="11" t="n">
        <v>92</v>
      </c>
      <c r="N1186" s="11">
        <f>H1186*L1186</f>
        <v/>
      </c>
      <c r="O1186" s="11">
        <f>IF(I1186&gt;0,I1186*(M1186-L1186),0)</f>
        <v/>
      </c>
      <c r="P1186" s="11" t="n">
        <v>0</v>
      </c>
    </row>
    <row r="1187">
      <c r="A1187" s="4" t="inlineStr">
        <is>
          <t>WH10</t>
        </is>
      </c>
      <c r="B1187" s="4" t="inlineStr">
        <is>
          <t>Kolkata DC</t>
        </is>
      </c>
      <c r="C1187" s="4" t="inlineStr">
        <is>
          <t>East</t>
        </is>
      </c>
      <c r="D1187" s="4" t="inlineStr">
        <is>
          <t>SKU103</t>
        </is>
      </c>
      <c r="E1187" s="4" t="inlineStr">
        <is>
          <t>Zinc Tablets 20s</t>
        </is>
      </c>
      <c r="F1187" s="4" t="inlineStr">
        <is>
          <t>OTC Pharma &amp; Wellness</t>
        </is>
      </c>
      <c r="G1187" s="4" t="inlineStr">
        <is>
          <t>C</t>
        </is>
      </c>
      <c r="H1187" s="11" t="n">
        <v>172</v>
      </c>
      <c r="I1187" s="4" t="n">
        <v>105.75</v>
      </c>
      <c r="J1187" s="13">
        <f>IF(I1187&gt;0,H1187/I1187,"")</f>
        <v/>
      </c>
      <c r="K1187" s="4">
        <f>IF(I1187&lt;=0,"NO DEMAND",IF(H1187=0,"STOCKOUT",IF(J1187&lt;Config!$B$5,"CRITICAL",IF(J1187&lt;Config!$B$6,"LOW",IF(J1187&gt;Config!$B$7,"EXCESS","HEALTHY")))))</f>
        <v/>
      </c>
      <c r="L1187" s="11" t="n">
        <v>169</v>
      </c>
      <c r="M1187" s="11" t="n">
        <v>216</v>
      </c>
      <c r="N1187" s="11">
        <f>H1187*L1187</f>
        <v/>
      </c>
      <c r="O1187" s="11">
        <f>IF(I1187&gt;0,I1187*(M1187-L1187),0)</f>
        <v/>
      </c>
      <c r="P1187" s="11" t="n">
        <v>408</v>
      </c>
    </row>
    <row r="1188">
      <c r="A1188" s="4" t="inlineStr">
        <is>
          <t>WH10</t>
        </is>
      </c>
      <c r="B1188" s="4" t="inlineStr">
        <is>
          <t>Kolkata DC</t>
        </is>
      </c>
      <c r="C1188" s="4" t="inlineStr">
        <is>
          <t>East</t>
        </is>
      </c>
      <c r="D1188" s="4" t="inlineStr">
        <is>
          <t>SKU104</t>
        </is>
      </c>
      <c r="E1188" s="4" t="inlineStr">
        <is>
          <t>Hand Sanitizer 500ml</t>
        </is>
      </c>
      <c r="F1188" s="4" t="inlineStr">
        <is>
          <t>OTC Pharma &amp; Wellness</t>
        </is>
      </c>
      <c r="G1188" s="4" t="inlineStr">
        <is>
          <t>C</t>
        </is>
      </c>
      <c r="H1188" s="11" t="n">
        <v>920</v>
      </c>
      <c r="I1188" s="4" t="n">
        <v>272</v>
      </c>
      <c r="J1188" s="13">
        <f>IF(I1188&gt;0,H1188/I1188,"")</f>
        <v/>
      </c>
      <c r="K1188" s="4">
        <f>IF(I1188&lt;=0,"NO DEMAND",IF(H1188=0,"STOCKOUT",IF(J1188&lt;Config!$B$5,"CRITICAL",IF(J1188&lt;Config!$B$6,"LOW",IF(J1188&gt;Config!$B$7,"EXCESS","HEALTHY")))))</f>
        <v/>
      </c>
      <c r="L1188" s="11" t="n">
        <v>37</v>
      </c>
      <c r="M1188" s="11" t="n">
        <v>48</v>
      </c>
      <c r="N1188" s="11">
        <f>H1188*L1188</f>
        <v/>
      </c>
      <c r="O1188" s="11">
        <f>IF(I1188&gt;0,I1188*(M1188-L1188),0)</f>
        <v/>
      </c>
      <c r="P1188" s="11" t="n">
        <v>0</v>
      </c>
    </row>
    <row r="1189">
      <c r="A1189" s="4" t="inlineStr">
        <is>
          <t>WH10</t>
        </is>
      </c>
      <c r="B1189" s="4" t="inlineStr">
        <is>
          <t>Kolkata DC</t>
        </is>
      </c>
      <c r="C1189" s="4" t="inlineStr">
        <is>
          <t>East</t>
        </is>
      </c>
      <c r="D1189" s="4" t="inlineStr">
        <is>
          <t>SKU105</t>
        </is>
      </c>
      <c r="E1189" s="4" t="inlineStr">
        <is>
          <t>Face Masks 50pk</t>
        </is>
      </c>
      <c r="F1189" s="4" t="inlineStr">
        <is>
          <t>OTC Pharma &amp; Wellness</t>
        </is>
      </c>
      <c r="G1189" s="4" t="inlineStr">
        <is>
          <t>C</t>
        </is>
      </c>
      <c r="H1189" s="11" t="n">
        <v>0</v>
      </c>
      <c r="I1189" s="4" t="n">
        <v>405.5</v>
      </c>
      <c r="J1189" s="13">
        <f>IF(I1189&gt;0,H1189/I1189,"")</f>
        <v/>
      </c>
      <c r="K1189" s="4">
        <f>IF(I1189&lt;=0,"NO DEMAND",IF(H1189=0,"STOCKOUT",IF(J1189&lt;Config!$B$5,"CRITICAL",IF(J1189&lt;Config!$B$6,"LOW",IF(J1189&gt;Config!$B$7,"EXCESS","HEALTHY")))))</f>
        <v/>
      </c>
      <c r="L1189" s="11" t="n">
        <v>92</v>
      </c>
      <c r="M1189" s="11" t="n">
        <v>121</v>
      </c>
      <c r="N1189" s="11">
        <f>H1189*L1189</f>
        <v/>
      </c>
      <c r="O1189" s="11">
        <f>IF(I1189&gt;0,I1189*(M1189-L1189),0)</f>
        <v/>
      </c>
      <c r="P1189" s="11" t="n">
        <v>1992</v>
      </c>
    </row>
    <row r="1190">
      <c r="A1190" s="4" t="inlineStr">
        <is>
          <t>WH10</t>
        </is>
      </c>
      <c r="B1190" s="4" t="inlineStr">
        <is>
          <t>Kolkata DC</t>
        </is>
      </c>
      <c r="C1190" s="4" t="inlineStr">
        <is>
          <t>East</t>
        </is>
      </c>
      <c r="D1190" s="4" t="inlineStr">
        <is>
          <t>SKU106</t>
        </is>
      </c>
      <c r="E1190" s="4" t="inlineStr">
        <is>
          <t>Corrugated Box 12x12</t>
        </is>
      </c>
      <c r="F1190" s="4" t="inlineStr">
        <is>
          <t>Packaging &amp; Supplies</t>
        </is>
      </c>
      <c r="G1190" s="4" t="inlineStr">
        <is>
          <t>B</t>
        </is>
      </c>
      <c r="H1190" s="11" t="n">
        <v>352</v>
      </c>
      <c r="I1190" s="4" t="n">
        <v>40.25</v>
      </c>
      <c r="J1190" s="13">
        <f>IF(I1190&gt;0,H1190/I1190,"")</f>
        <v/>
      </c>
      <c r="K1190" s="4">
        <f>IF(I1190&lt;=0,"NO DEMAND",IF(H1190=0,"STOCKOUT",IF(J1190&lt;Config!$B$5,"CRITICAL",IF(J1190&lt;Config!$B$6,"LOW",IF(J1190&gt;Config!$B$7,"EXCESS","HEALTHY")))))</f>
        <v/>
      </c>
      <c r="L1190" s="11" t="n">
        <v>400</v>
      </c>
      <c r="M1190" s="11" t="n">
        <v>480</v>
      </c>
      <c r="N1190" s="11">
        <f>H1190*L1190</f>
        <v/>
      </c>
      <c r="O1190" s="11">
        <f>IF(I1190&gt;0,I1190*(M1190-L1190),0)</f>
        <v/>
      </c>
      <c r="P1190" s="11" t="n">
        <v>0</v>
      </c>
    </row>
    <row r="1191">
      <c r="A1191" s="4" t="inlineStr">
        <is>
          <t>WH10</t>
        </is>
      </c>
      <c r="B1191" s="4" t="inlineStr">
        <is>
          <t>Kolkata DC</t>
        </is>
      </c>
      <c r="C1191" s="4" t="inlineStr">
        <is>
          <t>East</t>
        </is>
      </c>
      <c r="D1191" s="4" t="inlineStr">
        <is>
          <t>SKU107</t>
        </is>
      </c>
      <c r="E1191" s="4" t="inlineStr">
        <is>
          <t>Stretch Film 500mm</t>
        </is>
      </c>
      <c r="F1191" s="4" t="inlineStr">
        <is>
          <t>Packaging &amp; Supplies</t>
        </is>
      </c>
      <c r="G1191" s="4" t="inlineStr">
        <is>
          <t>A</t>
        </is>
      </c>
      <c r="H1191" s="11" t="n">
        <v>0</v>
      </c>
      <c r="I1191" s="4" t="n">
        <v>74.25</v>
      </c>
      <c r="J1191" s="13">
        <f>IF(I1191&gt;0,H1191/I1191,"")</f>
        <v/>
      </c>
      <c r="K1191" s="4">
        <f>IF(I1191&lt;=0,"NO DEMAND",IF(H1191=0,"STOCKOUT",IF(J1191&lt;Config!$B$5,"CRITICAL",IF(J1191&lt;Config!$B$6,"LOW",IF(J1191&gt;Config!$B$7,"EXCESS","HEALTHY")))))</f>
        <v/>
      </c>
      <c r="L1191" s="11" t="n">
        <v>324</v>
      </c>
      <c r="M1191" s="11" t="n">
        <v>383</v>
      </c>
      <c r="N1191" s="11">
        <f>H1191*L1191</f>
        <v/>
      </c>
      <c r="O1191" s="11">
        <f>IF(I1191&gt;0,I1191*(M1191-L1191),0)</f>
        <v/>
      </c>
      <c r="P1191" s="11" t="n">
        <v>540</v>
      </c>
    </row>
    <row r="1192">
      <c r="A1192" s="4" t="inlineStr">
        <is>
          <t>WH10</t>
        </is>
      </c>
      <c r="B1192" s="4" t="inlineStr">
        <is>
          <t>Kolkata DC</t>
        </is>
      </c>
      <c r="C1192" s="4" t="inlineStr">
        <is>
          <t>East</t>
        </is>
      </c>
      <c r="D1192" s="4" t="inlineStr">
        <is>
          <t>SKU108</t>
        </is>
      </c>
      <c r="E1192" s="4" t="inlineStr">
        <is>
          <t>BOPP Tape 48mm</t>
        </is>
      </c>
      <c r="F1192" s="4" t="inlineStr">
        <is>
          <t>Packaging &amp; Supplies</t>
        </is>
      </c>
      <c r="G1192" s="4" t="inlineStr">
        <is>
          <t>A</t>
        </is>
      </c>
      <c r="H1192" s="11" t="n">
        <v>517</v>
      </c>
      <c r="I1192" s="4" t="n">
        <v>110.5</v>
      </c>
      <c r="J1192" s="13">
        <f>IF(I1192&gt;0,H1192/I1192,"")</f>
        <v/>
      </c>
      <c r="K1192" s="4">
        <f>IF(I1192&lt;=0,"NO DEMAND",IF(H1192=0,"STOCKOUT",IF(J1192&lt;Config!$B$5,"CRITICAL",IF(J1192&lt;Config!$B$6,"LOW",IF(J1192&gt;Config!$B$7,"EXCESS","HEALTHY")))))</f>
        <v/>
      </c>
      <c r="L1192" s="11" t="n">
        <v>699</v>
      </c>
      <c r="M1192" s="11" t="n">
        <v>822</v>
      </c>
      <c r="N1192" s="11">
        <f>H1192*L1192</f>
        <v/>
      </c>
      <c r="O1192" s="11">
        <f>IF(I1192&gt;0,I1192*(M1192-L1192),0)</f>
        <v/>
      </c>
      <c r="P1192" s="11" t="n">
        <v>0</v>
      </c>
    </row>
    <row r="1193">
      <c r="A1193" s="4" t="inlineStr">
        <is>
          <t>WH10</t>
        </is>
      </c>
      <c r="B1193" s="4" t="inlineStr">
        <is>
          <t>Kolkata DC</t>
        </is>
      </c>
      <c r="C1193" s="4" t="inlineStr">
        <is>
          <t>East</t>
        </is>
      </c>
      <c r="D1193" s="4" t="inlineStr">
        <is>
          <t>SKU109</t>
        </is>
      </c>
      <c r="E1193" s="4" t="inlineStr">
        <is>
          <t>Bubble Wrap Roll</t>
        </is>
      </c>
      <c r="F1193" s="4" t="inlineStr">
        <is>
          <t>Packaging &amp; Supplies</t>
        </is>
      </c>
      <c r="G1193" s="4" t="inlineStr">
        <is>
          <t>C</t>
        </is>
      </c>
      <c r="H1193" s="11" t="n">
        <v>1022</v>
      </c>
      <c r="I1193" s="4" t="n">
        <v>311.25</v>
      </c>
      <c r="J1193" s="13">
        <f>IF(I1193&gt;0,H1193/I1193,"")</f>
        <v/>
      </c>
      <c r="K1193" s="4">
        <f>IF(I1193&lt;=0,"NO DEMAND",IF(H1193=0,"STOCKOUT",IF(J1193&lt;Config!$B$5,"CRITICAL",IF(J1193&lt;Config!$B$6,"LOW",IF(J1193&gt;Config!$B$7,"EXCESS","HEALTHY")))))</f>
        <v/>
      </c>
      <c r="L1193" s="11" t="n">
        <v>68</v>
      </c>
      <c r="M1193" s="11" t="n">
        <v>80</v>
      </c>
      <c r="N1193" s="11">
        <f>H1193*L1193</f>
        <v/>
      </c>
      <c r="O1193" s="11">
        <f>IF(I1193&gt;0,I1193*(M1193-L1193),0)</f>
        <v/>
      </c>
      <c r="P1193" s="11" t="n">
        <v>0</v>
      </c>
    </row>
    <row r="1194">
      <c r="A1194" s="4" t="inlineStr">
        <is>
          <t>WH10</t>
        </is>
      </c>
      <c r="B1194" s="4" t="inlineStr">
        <is>
          <t>Kolkata DC</t>
        </is>
      </c>
      <c r="C1194" s="4" t="inlineStr">
        <is>
          <t>East</t>
        </is>
      </c>
      <c r="D1194" s="4" t="inlineStr">
        <is>
          <t>SKU110</t>
        </is>
      </c>
      <c r="E1194" s="4" t="inlineStr">
        <is>
          <t>Pallet Strapping Roll</t>
        </is>
      </c>
      <c r="F1194" s="4" t="inlineStr">
        <is>
          <t>Packaging &amp; Supplies</t>
        </is>
      </c>
      <c r="G1194" s="4" t="inlineStr">
        <is>
          <t>C</t>
        </is>
      </c>
      <c r="H1194" s="11" t="n">
        <v>1103</v>
      </c>
      <c r="I1194" s="4" t="n">
        <v>579.75</v>
      </c>
      <c r="J1194" s="13">
        <f>IF(I1194&gt;0,H1194/I1194,"")</f>
        <v/>
      </c>
      <c r="K1194" s="4">
        <f>IF(I1194&lt;=0,"NO DEMAND",IF(H1194=0,"STOCKOUT",IF(J1194&lt;Config!$B$5,"CRITICAL",IF(J1194&lt;Config!$B$6,"LOW",IF(J1194&gt;Config!$B$7,"EXCESS","HEALTHY")))))</f>
        <v/>
      </c>
      <c r="L1194" s="11" t="n">
        <v>45</v>
      </c>
      <c r="M1194" s="11" t="n">
        <v>53</v>
      </c>
      <c r="N1194" s="11">
        <f>H1194*L1194</f>
        <v/>
      </c>
      <c r="O1194" s="11">
        <f>IF(I1194&gt;0,I1194*(M1194-L1194),0)</f>
        <v/>
      </c>
      <c r="P1194" s="11" t="n">
        <v>1780</v>
      </c>
    </row>
    <row r="1195">
      <c r="A1195" s="4" t="inlineStr">
        <is>
          <t>WH10</t>
        </is>
      </c>
      <c r="B1195" s="4" t="inlineStr">
        <is>
          <t>Kolkata DC</t>
        </is>
      </c>
      <c r="C1195" s="4" t="inlineStr">
        <is>
          <t>East</t>
        </is>
      </c>
      <c r="D1195" s="4" t="inlineStr">
        <is>
          <t>SKU111</t>
        </is>
      </c>
      <c r="E1195" s="4" t="inlineStr">
        <is>
          <t>Shipping Labels 1000</t>
        </is>
      </c>
      <c r="F1195" s="4" t="inlineStr">
        <is>
          <t>Packaging &amp; Supplies</t>
        </is>
      </c>
      <c r="G1195" s="4" t="inlineStr">
        <is>
          <t>A</t>
        </is>
      </c>
      <c r="H1195" s="11" t="n">
        <v>217</v>
      </c>
      <c r="I1195" s="4" t="n">
        <v>138.75</v>
      </c>
      <c r="J1195" s="13">
        <f>IF(I1195&gt;0,H1195/I1195,"")</f>
        <v/>
      </c>
      <c r="K1195" s="4">
        <f>IF(I1195&lt;=0,"NO DEMAND",IF(H1195=0,"STOCKOUT",IF(J1195&lt;Config!$B$5,"CRITICAL",IF(J1195&lt;Config!$B$6,"LOW",IF(J1195&gt;Config!$B$7,"EXCESS","HEALTHY")))))</f>
        <v/>
      </c>
      <c r="L1195" s="11" t="n">
        <v>617</v>
      </c>
      <c r="M1195" s="11" t="n">
        <v>741</v>
      </c>
      <c r="N1195" s="11">
        <f>H1195*L1195</f>
        <v/>
      </c>
      <c r="O1195" s="11">
        <f>IF(I1195&gt;0,I1195*(M1195-L1195),0)</f>
        <v/>
      </c>
      <c r="P1195" s="11" t="n">
        <v>580</v>
      </c>
    </row>
    <row r="1196">
      <c r="A1196" s="4" t="inlineStr">
        <is>
          <t>WH10</t>
        </is>
      </c>
      <c r="B1196" s="4" t="inlineStr">
        <is>
          <t>Kolkata DC</t>
        </is>
      </c>
      <c r="C1196" s="4" t="inlineStr">
        <is>
          <t>East</t>
        </is>
      </c>
      <c r="D1196" s="4" t="inlineStr">
        <is>
          <t>SKU112</t>
        </is>
      </c>
      <c r="E1196" s="4" t="inlineStr">
        <is>
          <t>Poly Mailer 100pk</t>
        </is>
      </c>
      <c r="F1196" s="4" t="inlineStr">
        <is>
          <t>Packaging &amp; Supplies</t>
        </is>
      </c>
      <c r="G1196" s="4" t="inlineStr">
        <is>
          <t>C</t>
        </is>
      </c>
      <c r="H1196" s="11" t="n">
        <v>0</v>
      </c>
      <c r="I1196" s="4" t="n">
        <v>116</v>
      </c>
      <c r="J1196" s="13">
        <f>IF(I1196&gt;0,H1196/I1196,"")</f>
        <v/>
      </c>
      <c r="K1196" s="4">
        <f>IF(I1196&lt;=0,"NO DEMAND",IF(H1196=0,"STOCKOUT",IF(J1196&lt;Config!$B$5,"CRITICAL",IF(J1196&lt;Config!$B$6,"LOW",IF(J1196&gt;Config!$B$7,"EXCESS","HEALTHY")))))</f>
        <v/>
      </c>
      <c r="L1196" s="11" t="n">
        <v>93</v>
      </c>
      <c r="M1196" s="11" t="n">
        <v>113</v>
      </c>
      <c r="N1196" s="11">
        <f>H1196*L1196</f>
        <v/>
      </c>
      <c r="O1196" s="11">
        <f>IF(I1196&gt;0,I1196*(M1196-L1196),0)</f>
        <v/>
      </c>
      <c r="P1196" s="11" t="n">
        <v>320</v>
      </c>
    </row>
    <row r="1197">
      <c r="A1197" s="4" t="inlineStr">
        <is>
          <t>WH10</t>
        </is>
      </c>
      <c r="B1197" s="4" t="inlineStr">
        <is>
          <t>Kolkata DC</t>
        </is>
      </c>
      <c r="C1197" s="4" t="inlineStr">
        <is>
          <t>East</t>
        </is>
      </c>
      <c r="D1197" s="4" t="inlineStr">
        <is>
          <t>SKU113</t>
        </is>
      </c>
      <c r="E1197" s="4" t="inlineStr">
        <is>
          <t>Void Fill Paper</t>
        </is>
      </c>
      <c r="F1197" s="4" t="inlineStr">
        <is>
          <t>Packaging &amp; Supplies</t>
        </is>
      </c>
      <c r="G1197" s="4" t="inlineStr">
        <is>
          <t>C</t>
        </is>
      </c>
      <c r="H1197" s="11" t="n">
        <v>571</v>
      </c>
      <c r="I1197" s="4" t="n">
        <v>263.5</v>
      </c>
      <c r="J1197" s="13">
        <f>IF(I1197&gt;0,H1197/I1197,"")</f>
        <v/>
      </c>
      <c r="K1197" s="4">
        <f>IF(I1197&lt;=0,"NO DEMAND",IF(H1197=0,"STOCKOUT",IF(J1197&lt;Config!$B$5,"CRITICAL",IF(J1197&lt;Config!$B$6,"LOW",IF(J1197&gt;Config!$B$7,"EXCESS","HEALTHY")))))</f>
        <v/>
      </c>
      <c r="L1197" s="11" t="n">
        <v>89</v>
      </c>
      <c r="M1197" s="11" t="n">
        <v>108</v>
      </c>
      <c r="N1197" s="11">
        <f>H1197*L1197</f>
        <v/>
      </c>
      <c r="O1197" s="11">
        <f>IF(I1197&gt;0,I1197*(M1197-L1197),0)</f>
        <v/>
      </c>
      <c r="P1197" s="11" t="n">
        <v>1040</v>
      </c>
    </row>
    <row r="1198">
      <c r="A1198" s="4" t="inlineStr">
        <is>
          <t>WH10</t>
        </is>
      </c>
      <c r="B1198" s="4" t="inlineStr">
        <is>
          <t>Kolkata DC</t>
        </is>
      </c>
      <c r="C1198" s="4" t="inlineStr">
        <is>
          <t>East</t>
        </is>
      </c>
      <c r="D1198" s="4" t="inlineStr">
        <is>
          <t>SKU114</t>
        </is>
      </c>
      <c r="E1198" s="4" t="inlineStr">
        <is>
          <t>Cable Ties 100pk</t>
        </is>
      </c>
      <c r="F1198" s="4" t="inlineStr">
        <is>
          <t>Packaging &amp; Supplies</t>
        </is>
      </c>
      <c r="G1198" s="4" t="inlineStr">
        <is>
          <t>C</t>
        </is>
      </c>
      <c r="H1198" s="11" t="n">
        <v>139</v>
      </c>
      <c r="I1198" s="4" t="n">
        <v>111.5</v>
      </c>
      <c r="J1198" s="13">
        <f>IF(I1198&gt;0,H1198/I1198,"")</f>
        <v/>
      </c>
      <c r="K1198" s="4">
        <f>IF(I1198&lt;=0,"NO DEMAND",IF(H1198=0,"STOCKOUT",IF(J1198&lt;Config!$B$5,"CRITICAL",IF(J1198&lt;Config!$B$6,"LOW",IF(J1198&gt;Config!$B$7,"EXCESS","HEALTHY")))))</f>
        <v/>
      </c>
      <c r="L1198" s="11" t="n">
        <v>66</v>
      </c>
      <c r="M1198" s="11" t="n">
        <v>80</v>
      </c>
      <c r="N1198" s="11">
        <f>H1198*L1198</f>
        <v/>
      </c>
      <c r="O1198" s="11">
        <f>IF(I1198&gt;0,I1198*(M1198-L1198),0)</f>
        <v/>
      </c>
      <c r="P1198" s="11" t="n">
        <v>660</v>
      </c>
    </row>
    <row r="1199">
      <c r="A1199" s="4" t="inlineStr">
        <is>
          <t>WH10</t>
        </is>
      </c>
      <c r="B1199" s="4" t="inlineStr">
        <is>
          <t>Kolkata DC</t>
        </is>
      </c>
      <c r="C1199" s="4" t="inlineStr">
        <is>
          <t>East</t>
        </is>
      </c>
      <c r="D1199" s="4" t="inlineStr">
        <is>
          <t>SKU115</t>
        </is>
      </c>
      <c r="E1199" s="4" t="inlineStr">
        <is>
          <t>Edge Protectors 50pk</t>
        </is>
      </c>
      <c r="F1199" s="4" t="inlineStr">
        <is>
          <t>Packaging &amp; Supplies</t>
        </is>
      </c>
      <c r="G1199" s="4" t="inlineStr">
        <is>
          <t>C</t>
        </is>
      </c>
      <c r="H1199" s="11" t="n">
        <v>281</v>
      </c>
      <c r="I1199" s="4" t="n">
        <v>235.5</v>
      </c>
      <c r="J1199" s="13">
        <f>IF(I1199&gt;0,H1199/I1199,"")</f>
        <v/>
      </c>
      <c r="K1199" s="4">
        <f>IF(I1199&lt;=0,"NO DEMAND",IF(H1199=0,"STOCKOUT",IF(J1199&lt;Config!$B$5,"CRITICAL",IF(J1199&lt;Config!$B$6,"LOW",IF(J1199&gt;Config!$B$7,"EXCESS","HEALTHY")))))</f>
        <v/>
      </c>
      <c r="L1199" s="11" t="n">
        <v>52</v>
      </c>
      <c r="M1199" s="11" t="n">
        <v>63</v>
      </c>
      <c r="N1199" s="11">
        <f>H1199*L1199</f>
        <v/>
      </c>
      <c r="O1199" s="11">
        <f>IF(I1199&gt;0,I1199*(M1199-L1199),0)</f>
        <v/>
      </c>
      <c r="P1199" s="11" t="n">
        <v>820</v>
      </c>
    </row>
    <row r="1200">
      <c r="A1200" s="4" t="inlineStr">
        <is>
          <t>WH10</t>
        </is>
      </c>
      <c r="B1200" s="4" t="inlineStr">
        <is>
          <t>Kolkata DC</t>
        </is>
      </c>
      <c r="C1200" s="4" t="inlineStr">
        <is>
          <t>East</t>
        </is>
      </c>
      <c r="D1200" s="4" t="inlineStr">
        <is>
          <t>SKU116</t>
        </is>
      </c>
      <c r="E1200" s="4" t="inlineStr">
        <is>
          <t>Pallet Wrap Hand</t>
        </is>
      </c>
      <c r="F1200" s="4" t="inlineStr">
        <is>
          <t>Packaging &amp; Supplies</t>
        </is>
      </c>
      <c r="G1200" s="4" t="inlineStr">
        <is>
          <t>C</t>
        </is>
      </c>
      <c r="H1200" s="11" t="n">
        <v>0</v>
      </c>
      <c r="I1200" s="4" t="n">
        <v>108.5</v>
      </c>
      <c r="J1200" s="13">
        <f>IF(I1200&gt;0,H1200/I1200,"")</f>
        <v/>
      </c>
      <c r="K1200" s="4">
        <f>IF(I1200&lt;=0,"NO DEMAND",IF(H1200=0,"STOCKOUT",IF(J1200&lt;Config!$B$5,"CRITICAL",IF(J1200&lt;Config!$B$6,"LOW",IF(J1200&gt;Config!$B$7,"EXCESS","HEALTHY")))))</f>
        <v/>
      </c>
      <c r="L1200" s="11" t="n">
        <v>39</v>
      </c>
      <c r="M1200" s="11" t="n">
        <v>47</v>
      </c>
      <c r="N1200" s="11">
        <f>H1200*L1200</f>
        <v/>
      </c>
      <c r="O1200" s="11">
        <f>IF(I1200&gt;0,I1200*(M1200-L1200),0)</f>
        <v/>
      </c>
      <c r="P1200" s="11" t="n">
        <v>380</v>
      </c>
    </row>
    <row r="1201">
      <c r="A1201" s="4" t="inlineStr">
        <is>
          <t>WH10</t>
        </is>
      </c>
      <c r="B1201" s="4" t="inlineStr">
        <is>
          <t>Kolkata DC</t>
        </is>
      </c>
      <c r="C1201" s="4" t="inlineStr">
        <is>
          <t>East</t>
        </is>
      </c>
      <c r="D1201" s="4" t="inlineStr">
        <is>
          <t>SKU117</t>
        </is>
      </c>
      <c r="E1201" s="4" t="inlineStr">
        <is>
          <t>Courier Bags 100pk</t>
        </is>
      </c>
      <c r="F1201" s="4" t="inlineStr">
        <is>
          <t>Packaging &amp; Supplies</t>
        </is>
      </c>
      <c r="G1201" s="4" t="inlineStr">
        <is>
          <t>C</t>
        </is>
      </c>
      <c r="H1201" s="11" t="n">
        <v>704</v>
      </c>
      <c r="I1201" s="4" t="n">
        <v>352.75</v>
      </c>
      <c r="J1201" s="13">
        <f>IF(I1201&gt;0,H1201/I1201,"")</f>
        <v/>
      </c>
      <c r="K1201" s="4">
        <f>IF(I1201&lt;=0,"NO DEMAND",IF(H1201=0,"STOCKOUT",IF(J1201&lt;Config!$B$5,"CRITICAL",IF(J1201&lt;Config!$B$6,"LOW",IF(J1201&gt;Config!$B$7,"EXCESS","HEALTHY")))))</f>
        <v/>
      </c>
      <c r="L1201" s="11" t="n">
        <v>21</v>
      </c>
      <c r="M1201" s="11" t="n">
        <v>25</v>
      </c>
      <c r="N1201" s="11">
        <f>H1201*L1201</f>
        <v/>
      </c>
      <c r="O1201" s="11">
        <f>IF(I1201&gt;0,I1201*(M1201-L1201),0)</f>
        <v/>
      </c>
      <c r="P1201" s="11" t="n">
        <v>1100</v>
      </c>
    </row>
    <row r="1202">
      <c r="A1202" s="4" t="inlineStr">
        <is>
          <t>WH10</t>
        </is>
      </c>
      <c r="B1202" s="4" t="inlineStr">
        <is>
          <t>Kolkata DC</t>
        </is>
      </c>
      <c r="C1202" s="4" t="inlineStr">
        <is>
          <t>East</t>
        </is>
      </c>
      <c r="D1202" s="4" t="inlineStr">
        <is>
          <t>SKU118</t>
        </is>
      </c>
      <c r="E1202" s="4" t="inlineStr">
        <is>
          <t>Thermal Paper Roll 20pk</t>
        </is>
      </c>
      <c r="F1202" s="4" t="inlineStr">
        <is>
          <t>Packaging &amp; Supplies</t>
        </is>
      </c>
      <c r="G1202" s="4" t="inlineStr">
        <is>
          <t>B</t>
        </is>
      </c>
      <c r="H1202" s="11" t="n">
        <v>0</v>
      </c>
      <c r="I1202" s="4" t="n">
        <v>397.25</v>
      </c>
      <c r="J1202" s="13">
        <f>IF(I1202&gt;0,H1202/I1202,"")</f>
        <v/>
      </c>
      <c r="K1202" s="4">
        <f>IF(I1202&lt;=0,"NO DEMAND",IF(H1202=0,"STOCKOUT",IF(J1202&lt;Config!$B$5,"CRITICAL",IF(J1202&lt;Config!$B$6,"LOW",IF(J1202&gt;Config!$B$7,"EXCESS","HEALTHY")))))</f>
        <v/>
      </c>
      <c r="L1202" s="11" t="n">
        <v>181</v>
      </c>
      <c r="M1202" s="11" t="n">
        <v>218</v>
      </c>
      <c r="N1202" s="11">
        <f>H1202*L1202</f>
        <v/>
      </c>
      <c r="O1202" s="11">
        <f>IF(I1202&gt;0,I1202*(M1202-L1202),0)</f>
        <v/>
      </c>
      <c r="P1202" s="11" t="n">
        <v>1280</v>
      </c>
    </row>
    <row r="1203">
      <c r="A1203" s="4" t="inlineStr">
        <is>
          <t>WH10</t>
        </is>
      </c>
      <c r="B1203" s="4" t="inlineStr">
        <is>
          <t>Kolkata DC</t>
        </is>
      </c>
      <c r="C1203" s="4" t="inlineStr">
        <is>
          <t>East</t>
        </is>
      </c>
      <c r="D1203" s="4" t="inlineStr">
        <is>
          <t>SKU119</t>
        </is>
      </c>
      <c r="E1203" s="4" t="inlineStr">
        <is>
          <t>Safety Gloves 12pk</t>
        </is>
      </c>
      <c r="F1203" s="4" t="inlineStr">
        <is>
          <t>Packaging &amp; Supplies</t>
        </is>
      </c>
      <c r="G1203" s="4" t="inlineStr">
        <is>
          <t>A</t>
        </is>
      </c>
      <c r="H1203" s="11" t="n">
        <v>342</v>
      </c>
      <c r="I1203" s="4" t="n">
        <v>221</v>
      </c>
      <c r="J1203" s="13">
        <f>IF(I1203&gt;0,H1203/I1203,"")</f>
        <v/>
      </c>
      <c r="K1203" s="4">
        <f>IF(I1203&lt;=0,"NO DEMAND",IF(H1203=0,"STOCKOUT",IF(J1203&lt;Config!$B$5,"CRITICAL",IF(J1203&lt;Config!$B$6,"LOW",IF(J1203&gt;Config!$B$7,"EXCESS","HEALTHY")))))</f>
        <v/>
      </c>
      <c r="L1203" s="11" t="n">
        <v>420</v>
      </c>
      <c r="M1203" s="11" t="n">
        <v>511</v>
      </c>
      <c r="N1203" s="11">
        <f>H1203*L1203</f>
        <v/>
      </c>
      <c r="O1203" s="11">
        <f>IF(I1203&gt;0,I1203*(M1203-L1203),0)</f>
        <v/>
      </c>
      <c r="P1203" s="11" t="n">
        <v>700</v>
      </c>
    </row>
    <row r="1204">
      <c r="A1204" s="4" t="inlineStr">
        <is>
          <t>WH10</t>
        </is>
      </c>
      <c r="B1204" s="4" t="inlineStr">
        <is>
          <t>Kolkata DC</t>
        </is>
      </c>
      <c r="C1204" s="4" t="inlineStr">
        <is>
          <t>East</t>
        </is>
      </c>
      <c r="D1204" s="4" t="inlineStr">
        <is>
          <t>SKU120</t>
        </is>
      </c>
      <c r="E1204" s="4" t="inlineStr">
        <is>
          <t>Cutter Blades 10pk</t>
        </is>
      </c>
      <c r="F1204" s="4" t="inlineStr">
        <is>
          <t>Packaging &amp; Supplies</t>
        </is>
      </c>
      <c r="G1204" s="4" t="inlineStr">
        <is>
          <t>C</t>
        </is>
      </c>
      <c r="H1204" s="11" t="n">
        <v>573</v>
      </c>
      <c r="I1204" s="4" t="n">
        <v>387.5</v>
      </c>
      <c r="J1204" s="13">
        <f>IF(I1204&gt;0,H1204/I1204,"")</f>
        <v/>
      </c>
      <c r="K1204" s="4">
        <f>IF(I1204&lt;=0,"NO DEMAND",IF(H1204=0,"STOCKOUT",IF(J1204&lt;Config!$B$5,"CRITICAL",IF(J1204&lt;Config!$B$6,"LOW",IF(J1204&gt;Config!$B$7,"EXCESS","HEALTHY")))))</f>
        <v/>
      </c>
      <c r="L1204" s="11" t="n">
        <v>30</v>
      </c>
      <c r="M1204" s="11" t="n">
        <v>35</v>
      </c>
      <c r="N1204" s="11">
        <f>H1204*L1204</f>
        <v/>
      </c>
      <c r="O1204" s="11">
        <f>IF(I1204&gt;0,I1204*(M1204-L1204),0)</f>
        <v/>
      </c>
      <c r="P1204" s="11" t="n">
        <v>1260</v>
      </c>
    </row>
    <row r="1205">
      <c r="A1205" s="4" t="inlineStr">
        <is>
          <t>WH11</t>
        </is>
      </c>
      <c r="B1205" s="4" t="inlineStr">
        <is>
          <t>Guwahati DC</t>
        </is>
      </c>
      <c r="C1205" s="4" t="inlineStr">
        <is>
          <t>East</t>
        </is>
      </c>
      <c r="D1205" s="4" t="inlineStr">
        <is>
          <t>SKU001</t>
        </is>
      </c>
      <c r="E1205" s="4" t="inlineStr">
        <is>
          <t>Atta 5kg</t>
        </is>
      </c>
      <c r="F1205" s="4" t="inlineStr">
        <is>
          <t>Packaged Staples</t>
        </is>
      </c>
      <c r="G1205" s="4" t="inlineStr">
        <is>
          <t>A</t>
        </is>
      </c>
      <c r="H1205" s="11" t="n">
        <v>195</v>
      </c>
      <c r="I1205" s="4" t="n">
        <v>56.5</v>
      </c>
      <c r="J1205" s="13">
        <f>IF(I1205&gt;0,H1205/I1205,"")</f>
        <v/>
      </c>
      <c r="K1205" s="4">
        <f>IF(I1205&lt;=0,"NO DEMAND",IF(H1205=0,"STOCKOUT",IF(J1205&lt;Config!$B$5,"CRITICAL",IF(J1205&lt;Config!$B$6,"LOW",IF(J1205&gt;Config!$B$7,"EXCESS","HEALTHY")))))</f>
        <v/>
      </c>
      <c r="L1205" s="11" t="n">
        <v>152</v>
      </c>
      <c r="M1205" s="11" t="n">
        <v>168</v>
      </c>
      <c r="N1205" s="11">
        <f>H1205*L1205</f>
        <v/>
      </c>
      <c r="O1205" s="11">
        <f>IF(I1205&gt;0,I1205*(M1205-L1205),0)</f>
        <v/>
      </c>
      <c r="P1205" s="11" t="n">
        <v>0</v>
      </c>
    </row>
    <row r="1206">
      <c r="A1206" s="4" t="inlineStr">
        <is>
          <t>WH11</t>
        </is>
      </c>
      <c r="B1206" s="4" t="inlineStr">
        <is>
          <t>Guwahati DC</t>
        </is>
      </c>
      <c r="C1206" s="4" t="inlineStr">
        <is>
          <t>East</t>
        </is>
      </c>
      <c r="D1206" s="4" t="inlineStr">
        <is>
          <t>SKU002</t>
        </is>
      </c>
      <c r="E1206" s="4" t="inlineStr">
        <is>
          <t>Basmati Rice 5kg</t>
        </is>
      </c>
      <c r="F1206" s="4" t="inlineStr">
        <is>
          <t>Packaged Staples</t>
        </is>
      </c>
      <c r="G1206" s="4" t="inlineStr">
        <is>
          <t>B</t>
        </is>
      </c>
      <c r="H1206" s="11" t="n">
        <v>1084</v>
      </c>
      <c r="I1206" s="4" t="n">
        <v>300</v>
      </c>
      <c r="J1206" s="13">
        <f>IF(I1206&gt;0,H1206/I1206,"")</f>
        <v/>
      </c>
      <c r="K1206" s="4">
        <f>IF(I1206&lt;=0,"NO DEMAND",IF(H1206=0,"STOCKOUT",IF(J1206&lt;Config!$B$5,"CRITICAL",IF(J1206&lt;Config!$B$6,"LOW",IF(J1206&gt;Config!$B$7,"EXCESS","HEALTHY")))))</f>
        <v/>
      </c>
      <c r="L1206" s="11" t="n">
        <v>59</v>
      </c>
      <c r="M1206" s="11" t="n">
        <v>66</v>
      </c>
      <c r="N1206" s="11">
        <f>H1206*L1206</f>
        <v/>
      </c>
      <c r="O1206" s="11">
        <f>IF(I1206&gt;0,I1206*(M1206-L1206),0)</f>
        <v/>
      </c>
      <c r="P1206" s="11" t="n">
        <v>0</v>
      </c>
    </row>
    <row r="1207">
      <c r="A1207" s="4" t="inlineStr">
        <is>
          <t>WH11</t>
        </is>
      </c>
      <c r="B1207" s="4" t="inlineStr">
        <is>
          <t>Guwahati DC</t>
        </is>
      </c>
      <c r="C1207" s="4" t="inlineStr">
        <is>
          <t>East</t>
        </is>
      </c>
      <c r="D1207" s="4" t="inlineStr">
        <is>
          <t>SKU003</t>
        </is>
      </c>
      <c r="E1207" s="4" t="inlineStr">
        <is>
          <t>Toor Dal 1kg</t>
        </is>
      </c>
      <c r="F1207" s="4" t="inlineStr">
        <is>
          <t>Packaged Staples</t>
        </is>
      </c>
      <c r="G1207" s="4" t="inlineStr">
        <is>
          <t>A</t>
        </is>
      </c>
      <c r="H1207" s="11" t="n">
        <v>0</v>
      </c>
      <c r="I1207" s="4" t="n">
        <v>699.25</v>
      </c>
      <c r="J1207" s="13">
        <f>IF(I1207&gt;0,H1207/I1207,"")</f>
        <v/>
      </c>
      <c r="K1207" s="4">
        <f>IF(I1207&lt;=0,"NO DEMAND",IF(H1207=0,"STOCKOUT",IF(J1207&lt;Config!$B$5,"CRITICAL",IF(J1207&lt;Config!$B$6,"LOW",IF(J1207&gt;Config!$B$7,"EXCESS","HEALTHY")))))</f>
        <v/>
      </c>
      <c r="L1207" s="11" t="n">
        <v>61</v>
      </c>
      <c r="M1207" s="11" t="n">
        <v>69</v>
      </c>
      <c r="N1207" s="11">
        <f>H1207*L1207</f>
        <v/>
      </c>
      <c r="O1207" s="11">
        <f>IF(I1207&gt;0,I1207*(M1207-L1207),0)</f>
        <v/>
      </c>
      <c r="P1207" s="11" t="n">
        <v>2340</v>
      </c>
    </row>
    <row r="1208">
      <c r="A1208" s="4" t="inlineStr">
        <is>
          <t>WH11</t>
        </is>
      </c>
      <c r="B1208" s="4" t="inlineStr">
        <is>
          <t>Guwahati DC</t>
        </is>
      </c>
      <c r="C1208" s="4" t="inlineStr">
        <is>
          <t>East</t>
        </is>
      </c>
      <c r="D1208" s="4" t="inlineStr">
        <is>
          <t>SKU004</t>
        </is>
      </c>
      <c r="E1208" s="4" t="inlineStr">
        <is>
          <t>Moong Dal 1kg</t>
        </is>
      </c>
      <c r="F1208" s="4" t="inlineStr">
        <is>
          <t>Packaged Staples</t>
        </is>
      </c>
      <c r="G1208" s="4" t="inlineStr">
        <is>
          <t>B</t>
        </is>
      </c>
      <c r="H1208" s="11" t="n">
        <v>1624</v>
      </c>
      <c r="I1208" s="4" t="n">
        <v>383.5</v>
      </c>
      <c r="J1208" s="13">
        <f>IF(I1208&gt;0,H1208/I1208,"")</f>
        <v/>
      </c>
      <c r="K1208" s="4">
        <f>IF(I1208&lt;=0,"NO DEMAND",IF(H1208=0,"STOCKOUT",IF(J1208&lt;Config!$B$5,"CRITICAL",IF(J1208&lt;Config!$B$6,"LOW",IF(J1208&gt;Config!$B$7,"EXCESS","HEALTHY")))))</f>
        <v/>
      </c>
      <c r="L1208" s="11" t="n">
        <v>80</v>
      </c>
      <c r="M1208" s="11" t="n">
        <v>91</v>
      </c>
      <c r="N1208" s="11">
        <f>H1208*L1208</f>
        <v/>
      </c>
      <c r="O1208" s="11">
        <f>IF(I1208&gt;0,I1208*(M1208-L1208),0)</f>
        <v/>
      </c>
      <c r="P1208" s="11" t="n">
        <v>0</v>
      </c>
    </row>
    <row r="1209">
      <c r="A1209" s="4" t="inlineStr">
        <is>
          <t>WH11</t>
        </is>
      </c>
      <c r="B1209" s="4" t="inlineStr">
        <is>
          <t>Guwahati DC</t>
        </is>
      </c>
      <c r="C1209" s="4" t="inlineStr">
        <is>
          <t>East</t>
        </is>
      </c>
      <c r="D1209" s="4" t="inlineStr">
        <is>
          <t>SKU005</t>
        </is>
      </c>
      <c r="E1209" s="4" t="inlineStr">
        <is>
          <t>Sunflower Oil 1L</t>
        </is>
      </c>
      <c r="F1209" s="4" t="inlineStr">
        <is>
          <t>Packaged Staples</t>
        </is>
      </c>
      <c r="G1209" s="4" t="inlineStr">
        <is>
          <t>A</t>
        </is>
      </c>
      <c r="H1209" s="11" t="n">
        <v>352</v>
      </c>
      <c r="I1209" s="4" t="n">
        <v>518</v>
      </c>
      <c r="J1209" s="13">
        <f>IF(I1209&gt;0,H1209/I1209,"")</f>
        <v/>
      </c>
      <c r="K1209" s="4">
        <f>IF(I1209&lt;=0,"NO DEMAND",IF(H1209=0,"STOCKOUT",IF(J1209&lt;Config!$B$5,"CRITICAL",IF(J1209&lt;Config!$B$6,"LOW",IF(J1209&gt;Config!$B$7,"EXCESS","HEALTHY")))))</f>
        <v/>
      </c>
      <c r="L1209" s="11" t="n">
        <v>245</v>
      </c>
      <c r="M1209" s="11" t="n">
        <v>273</v>
      </c>
      <c r="N1209" s="11">
        <f>H1209*L1209</f>
        <v/>
      </c>
      <c r="O1209" s="11">
        <f>IF(I1209&gt;0,I1209*(M1209-L1209),0)</f>
        <v/>
      </c>
      <c r="P1209" s="11" t="n">
        <v>0</v>
      </c>
    </row>
    <row r="1210">
      <c r="A1210" s="4" t="inlineStr">
        <is>
          <t>WH11</t>
        </is>
      </c>
      <c r="B1210" s="4" t="inlineStr">
        <is>
          <t>Guwahati DC</t>
        </is>
      </c>
      <c r="C1210" s="4" t="inlineStr">
        <is>
          <t>East</t>
        </is>
      </c>
      <c r="D1210" s="4" t="inlineStr">
        <is>
          <t>SKU006</t>
        </is>
      </c>
      <c r="E1210" s="4" t="inlineStr">
        <is>
          <t>Mustard Oil 1L</t>
        </is>
      </c>
      <c r="F1210" s="4" t="inlineStr">
        <is>
          <t>Packaged Staples</t>
        </is>
      </c>
      <c r="G1210" s="4" t="inlineStr">
        <is>
          <t>B</t>
        </is>
      </c>
      <c r="H1210" s="11" t="n">
        <v>888</v>
      </c>
      <c r="I1210" s="4" t="n">
        <v>441.75</v>
      </c>
      <c r="J1210" s="13">
        <f>IF(I1210&gt;0,H1210/I1210,"")</f>
        <v/>
      </c>
      <c r="K1210" s="4">
        <f>IF(I1210&lt;=0,"NO DEMAND",IF(H1210=0,"STOCKOUT",IF(J1210&lt;Config!$B$5,"CRITICAL",IF(J1210&lt;Config!$B$6,"LOW",IF(J1210&gt;Config!$B$7,"EXCESS","HEALTHY")))))</f>
        <v/>
      </c>
      <c r="L1210" s="11" t="n">
        <v>68</v>
      </c>
      <c r="M1210" s="11" t="n">
        <v>77</v>
      </c>
      <c r="N1210" s="11">
        <f>H1210*L1210</f>
        <v/>
      </c>
      <c r="O1210" s="11">
        <f>IF(I1210&gt;0,I1210*(M1210-L1210),0)</f>
        <v/>
      </c>
      <c r="P1210" s="11" t="n">
        <v>0</v>
      </c>
    </row>
    <row r="1211">
      <c r="A1211" s="4" t="inlineStr">
        <is>
          <t>WH11</t>
        </is>
      </c>
      <c r="B1211" s="4" t="inlineStr">
        <is>
          <t>Guwahati DC</t>
        </is>
      </c>
      <c r="C1211" s="4" t="inlineStr">
        <is>
          <t>East</t>
        </is>
      </c>
      <c r="D1211" s="4" t="inlineStr">
        <is>
          <t>SKU007</t>
        </is>
      </c>
      <c r="E1211" s="4" t="inlineStr">
        <is>
          <t>Sugar 1kg</t>
        </is>
      </c>
      <c r="F1211" s="4" t="inlineStr">
        <is>
          <t>Packaged Staples</t>
        </is>
      </c>
      <c r="G1211" s="4" t="inlineStr">
        <is>
          <t>A</t>
        </is>
      </c>
      <c r="H1211" s="11" t="n">
        <v>501</v>
      </c>
      <c r="I1211" s="4" t="n">
        <v>354</v>
      </c>
      <c r="J1211" s="13">
        <f>IF(I1211&gt;0,H1211/I1211,"")</f>
        <v/>
      </c>
      <c r="K1211" s="4">
        <f>IF(I1211&lt;=0,"NO DEMAND",IF(H1211=0,"STOCKOUT",IF(J1211&lt;Config!$B$5,"CRITICAL",IF(J1211&lt;Config!$B$6,"LOW",IF(J1211&gt;Config!$B$7,"EXCESS","HEALTHY")))))</f>
        <v/>
      </c>
      <c r="L1211" s="11" t="n">
        <v>129</v>
      </c>
      <c r="M1211" s="11" t="n">
        <v>143</v>
      </c>
      <c r="N1211" s="11">
        <f>H1211*L1211</f>
        <v/>
      </c>
      <c r="O1211" s="11">
        <f>IF(I1211&gt;0,I1211*(M1211-L1211),0)</f>
        <v/>
      </c>
      <c r="P1211" s="11" t="n">
        <v>2220</v>
      </c>
    </row>
    <row r="1212">
      <c r="A1212" s="4" t="inlineStr">
        <is>
          <t>WH11</t>
        </is>
      </c>
      <c r="B1212" s="4" t="inlineStr">
        <is>
          <t>Guwahati DC</t>
        </is>
      </c>
      <c r="C1212" s="4" t="inlineStr">
        <is>
          <t>East</t>
        </is>
      </c>
      <c r="D1212" s="4" t="inlineStr">
        <is>
          <t>SKU008</t>
        </is>
      </c>
      <c r="E1212" s="4" t="inlineStr">
        <is>
          <t>Iodized Salt 1kg</t>
        </is>
      </c>
      <c r="F1212" s="4" t="inlineStr">
        <is>
          <t>Packaged Staples</t>
        </is>
      </c>
      <c r="G1212" s="4" t="inlineStr">
        <is>
          <t>A</t>
        </is>
      </c>
      <c r="H1212" s="11" t="n">
        <v>4</v>
      </c>
      <c r="I1212" s="4" t="n">
        <v>206</v>
      </c>
      <c r="J1212" s="13">
        <f>IF(I1212&gt;0,H1212/I1212,"")</f>
        <v/>
      </c>
      <c r="K1212" s="4">
        <f>IF(I1212&lt;=0,"NO DEMAND",IF(H1212=0,"STOCKOUT",IF(J1212&lt;Config!$B$5,"CRITICAL",IF(J1212&lt;Config!$B$6,"LOW",IF(J1212&gt;Config!$B$7,"EXCESS","HEALTHY")))))</f>
        <v/>
      </c>
      <c r="L1212" s="11" t="n">
        <v>140</v>
      </c>
      <c r="M1212" s="11" t="n">
        <v>156</v>
      </c>
      <c r="N1212" s="11">
        <f>H1212*L1212</f>
        <v/>
      </c>
      <c r="O1212" s="11">
        <f>IF(I1212&gt;0,I1212*(M1212-L1212),0)</f>
        <v/>
      </c>
      <c r="P1212" s="11" t="n">
        <v>1656</v>
      </c>
    </row>
    <row r="1213">
      <c r="A1213" s="4" t="inlineStr">
        <is>
          <t>WH11</t>
        </is>
      </c>
      <c r="B1213" s="4" t="inlineStr">
        <is>
          <t>Guwahati DC</t>
        </is>
      </c>
      <c r="C1213" s="4" t="inlineStr">
        <is>
          <t>East</t>
        </is>
      </c>
      <c r="D1213" s="4" t="inlineStr">
        <is>
          <t>SKU009</t>
        </is>
      </c>
      <c r="E1213" s="4" t="inlineStr">
        <is>
          <t>Tea Leaves 500g</t>
        </is>
      </c>
      <c r="F1213" s="4" t="inlineStr">
        <is>
          <t>Packaged Staples</t>
        </is>
      </c>
      <c r="G1213" s="4" t="inlineStr">
        <is>
          <t>A</t>
        </is>
      </c>
      <c r="H1213" s="11" t="n">
        <v>0</v>
      </c>
      <c r="I1213" s="4" t="n">
        <v>685.5</v>
      </c>
      <c r="J1213" s="13">
        <f>IF(I1213&gt;0,H1213/I1213,"")</f>
        <v/>
      </c>
      <c r="K1213" s="4">
        <f>IF(I1213&lt;=0,"NO DEMAND",IF(H1213=0,"STOCKOUT",IF(J1213&lt;Config!$B$5,"CRITICAL",IF(J1213&lt;Config!$B$6,"LOW",IF(J1213&gt;Config!$B$7,"EXCESS","HEALTHY")))))</f>
        <v/>
      </c>
      <c r="L1213" s="11" t="n">
        <v>103</v>
      </c>
      <c r="M1213" s="11" t="n">
        <v>116</v>
      </c>
      <c r="N1213" s="11">
        <f>H1213*L1213</f>
        <v/>
      </c>
      <c r="O1213" s="11">
        <f>IF(I1213&gt;0,I1213*(M1213-L1213),0)</f>
        <v/>
      </c>
      <c r="P1213" s="11" t="n">
        <v>2112</v>
      </c>
    </row>
    <row r="1214">
      <c r="A1214" s="4" t="inlineStr">
        <is>
          <t>WH11</t>
        </is>
      </c>
      <c r="B1214" s="4" t="inlineStr">
        <is>
          <t>Guwahati DC</t>
        </is>
      </c>
      <c r="C1214" s="4" t="inlineStr">
        <is>
          <t>East</t>
        </is>
      </c>
      <c r="D1214" s="4" t="inlineStr">
        <is>
          <t>SKU010</t>
        </is>
      </c>
      <c r="E1214" s="4" t="inlineStr">
        <is>
          <t>Poha 500g</t>
        </is>
      </c>
      <c r="F1214" s="4" t="inlineStr">
        <is>
          <t>Packaged Staples</t>
        </is>
      </c>
      <c r="G1214" s="4" t="inlineStr">
        <is>
          <t>B</t>
        </is>
      </c>
      <c r="H1214" s="11" t="n">
        <v>174</v>
      </c>
      <c r="I1214" s="4" t="n">
        <v>277</v>
      </c>
      <c r="J1214" s="13">
        <f>IF(I1214&gt;0,H1214/I1214,"")</f>
        <v/>
      </c>
      <c r="K1214" s="4">
        <f>IF(I1214&lt;=0,"NO DEMAND",IF(H1214=0,"STOCKOUT",IF(J1214&lt;Config!$B$5,"CRITICAL",IF(J1214&lt;Config!$B$6,"LOW",IF(J1214&gt;Config!$B$7,"EXCESS","HEALTHY")))))</f>
        <v/>
      </c>
      <c r="L1214" s="11" t="n">
        <v>40</v>
      </c>
      <c r="M1214" s="11" t="n">
        <v>45</v>
      </c>
      <c r="N1214" s="11">
        <f>H1214*L1214</f>
        <v/>
      </c>
      <c r="O1214" s="11">
        <f>IF(I1214&gt;0,I1214*(M1214-L1214),0)</f>
        <v/>
      </c>
      <c r="P1214" s="11" t="n">
        <v>1836</v>
      </c>
    </row>
    <row r="1215">
      <c r="A1215" s="4" t="inlineStr">
        <is>
          <t>WH11</t>
        </is>
      </c>
      <c r="B1215" s="4" t="inlineStr">
        <is>
          <t>Guwahati DC</t>
        </is>
      </c>
      <c r="C1215" s="4" t="inlineStr">
        <is>
          <t>East</t>
        </is>
      </c>
      <c r="D1215" s="4" t="inlineStr">
        <is>
          <t>SKU011</t>
        </is>
      </c>
      <c r="E1215" s="4" t="inlineStr">
        <is>
          <t>Besan 1kg</t>
        </is>
      </c>
      <c r="F1215" s="4" t="inlineStr">
        <is>
          <t>Packaged Staples</t>
        </is>
      </c>
      <c r="G1215" s="4" t="inlineStr">
        <is>
          <t>A</t>
        </is>
      </c>
      <c r="H1215" s="11" t="n">
        <v>1865</v>
      </c>
      <c r="I1215" s="4" t="n">
        <v>717.25</v>
      </c>
      <c r="J1215" s="13">
        <f>IF(I1215&gt;0,H1215/I1215,"")</f>
        <v/>
      </c>
      <c r="K1215" s="4">
        <f>IF(I1215&lt;=0,"NO DEMAND",IF(H1215=0,"STOCKOUT",IF(J1215&lt;Config!$B$5,"CRITICAL",IF(J1215&lt;Config!$B$6,"LOW",IF(J1215&gt;Config!$B$7,"EXCESS","HEALTHY")))))</f>
        <v/>
      </c>
      <c r="L1215" s="11" t="n">
        <v>110</v>
      </c>
      <c r="M1215" s="11" t="n">
        <v>122</v>
      </c>
      <c r="N1215" s="11">
        <f>H1215*L1215</f>
        <v/>
      </c>
      <c r="O1215" s="11">
        <f>IF(I1215&gt;0,I1215*(M1215-L1215),0)</f>
        <v/>
      </c>
      <c r="P1215" s="11" t="n">
        <v>0</v>
      </c>
    </row>
    <row r="1216">
      <c r="A1216" s="4" t="inlineStr">
        <is>
          <t>WH11</t>
        </is>
      </c>
      <c r="B1216" s="4" t="inlineStr">
        <is>
          <t>Guwahati DC</t>
        </is>
      </c>
      <c r="C1216" s="4" t="inlineStr">
        <is>
          <t>East</t>
        </is>
      </c>
      <c r="D1216" s="4" t="inlineStr">
        <is>
          <t>SKU012</t>
        </is>
      </c>
      <c r="E1216" s="4" t="inlineStr">
        <is>
          <t>Rajma 1kg</t>
        </is>
      </c>
      <c r="F1216" s="4" t="inlineStr">
        <is>
          <t>Packaged Staples</t>
        </is>
      </c>
      <c r="G1216" s="4" t="inlineStr">
        <is>
          <t>B</t>
        </is>
      </c>
      <c r="H1216" s="11" t="n">
        <v>2152</v>
      </c>
      <c r="I1216" s="4" t="n">
        <v>87.75</v>
      </c>
      <c r="J1216" s="13">
        <f>IF(I1216&gt;0,H1216/I1216,"")</f>
        <v/>
      </c>
      <c r="K1216" s="4">
        <f>IF(I1216&lt;=0,"NO DEMAND",IF(H1216=0,"STOCKOUT",IF(J1216&lt;Config!$B$5,"CRITICAL",IF(J1216&lt;Config!$B$6,"LOW",IF(J1216&gt;Config!$B$7,"EXCESS","HEALTHY")))))</f>
        <v/>
      </c>
      <c r="L1216" s="11" t="n">
        <v>45</v>
      </c>
      <c r="M1216" s="11" t="n">
        <v>50</v>
      </c>
      <c r="N1216" s="11">
        <f>H1216*L1216</f>
        <v/>
      </c>
      <c r="O1216" s="11">
        <f>IF(I1216&gt;0,I1216*(M1216-L1216),0)</f>
        <v/>
      </c>
      <c r="P1216" s="11" t="n">
        <v>0</v>
      </c>
    </row>
    <row r="1217">
      <c r="A1217" s="4" t="inlineStr">
        <is>
          <t>WH11</t>
        </is>
      </c>
      <c r="B1217" s="4" t="inlineStr">
        <is>
          <t>Guwahati DC</t>
        </is>
      </c>
      <c r="C1217" s="4" t="inlineStr">
        <is>
          <t>East</t>
        </is>
      </c>
      <c r="D1217" s="4" t="inlineStr">
        <is>
          <t>SKU013</t>
        </is>
      </c>
      <c r="E1217" s="4" t="inlineStr">
        <is>
          <t>Jaggery 1kg</t>
        </is>
      </c>
      <c r="F1217" s="4" t="inlineStr">
        <is>
          <t>Packaged Staples</t>
        </is>
      </c>
      <c r="G1217" s="4" t="inlineStr">
        <is>
          <t>A</t>
        </is>
      </c>
      <c r="H1217" s="11" t="n">
        <v>0</v>
      </c>
      <c r="I1217" s="4" t="n">
        <v>286.25</v>
      </c>
      <c r="J1217" s="13">
        <f>IF(I1217&gt;0,H1217/I1217,"")</f>
        <v/>
      </c>
      <c r="K1217" s="4">
        <f>IF(I1217&lt;=0,"NO DEMAND",IF(H1217=0,"STOCKOUT",IF(J1217&lt;Config!$B$5,"CRITICAL",IF(J1217&lt;Config!$B$6,"LOW",IF(J1217&gt;Config!$B$7,"EXCESS","HEALTHY")))))</f>
        <v/>
      </c>
      <c r="L1217" s="11" t="n">
        <v>125</v>
      </c>
      <c r="M1217" s="11" t="n">
        <v>140</v>
      </c>
      <c r="N1217" s="11">
        <f>H1217*L1217</f>
        <v/>
      </c>
      <c r="O1217" s="11">
        <f>IF(I1217&gt;0,I1217*(M1217-L1217),0)</f>
        <v/>
      </c>
      <c r="P1217" s="11" t="n">
        <v>2304</v>
      </c>
    </row>
    <row r="1218">
      <c r="A1218" s="4" t="inlineStr">
        <is>
          <t>WH11</t>
        </is>
      </c>
      <c r="B1218" s="4" t="inlineStr">
        <is>
          <t>Guwahati DC</t>
        </is>
      </c>
      <c r="C1218" s="4" t="inlineStr">
        <is>
          <t>East</t>
        </is>
      </c>
      <c r="D1218" s="4" t="inlineStr">
        <is>
          <t>SKU014</t>
        </is>
      </c>
      <c r="E1218" s="4" t="inlineStr">
        <is>
          <t>Ghee 500ml</t>
        </is>
      </c>
      <c r="F1218" s="4" t="inlineStr">
        <is>
          <t>Packaged Staples</t>
        </is>
      </c>
      <c r="G1218" s="4" t="inlineStr">
        <is>
          <t>A</t>
        </is>
      </c>
      <c r="H1218" s="11" t="n">
        <v>382</v>
      </c>
      <c r="I1218" s="4" t="n">
        <v>273.75</v>
      </c>
      <c r="J1218" s="13">
        <f>IF(I1218&gt;0,H1218/I1218,"")</f>
        <v/>
      </c>
      <c r="K1218" s="4">
        <f>IF(I1218&lt;=0,"NO DEMAND",IF(H1218=0,"STOCKOUT",IF(J1218&lt;Config!$B$5,"CRITICAL",IF(J1218&lt;Config!$B$6,"LOW",IF(J1218&gt;Config!$B$7,"EXCESS","HEALTHY")))))</f>
        <v/>
      </c>
      <c r="L1218" s="11" t="n">
        <v>240</v>
      </c>
      <c r="M1218" s="11" t="n">
        <v>270</v>
      </c>
      <c r="N1218" s="11">
        <f>H1218*L1218</f>
        <v/>
      </c>
      <c r="O1218" s="11">
        <f>IF(I1218&gt;0,I1218*(M1218-L1218),0)</f>
        <v/>
      </c>
      <c r="P1218" s="11" t="n">
        <v>0</v>
      </c>
    </row>
    <row r="1219">
      <c r="A1219" s="4" t="inlineStr">
        <is>
          <t>WH11</t>
        </is>
      </c>
      <c r="B1219" s="4" t="inlineStr">
        <is>
          <t>Guwahati DC</t>
        </is>
      </c>
      <c r="C1219" s="4" t="inlineStr">
        <is>
          <t>East</t>
        </is>
      </c>
      <c r="D1219" s="4" t="inlineStr">
        <is>
          <t>SKU015</t>
        </is>
      </c>
      <c r="E1219" s="4" t="inlineStr">
        <is>
          <t>Suji 1kg</t>
        </is>
      </c>
      <c r="F1219" s="4" t="inlineStr">
        <is>
          <t>Packaged Staples</t>
        </is>
      </c>
      <c r="G1219" s="4" t="inlineStr">
        <is>
          <t>C</t>
        </is>
      </c>
      <c r="H1219" s="11" t="n">
        <v>0</v>
      </c>
      <c r="I1219" s="4" t="n">
        <v>426.5</v>
      </c>
      <c r="J1219" s="13">
        <f>IF(I1219&gt;0,H1219/I1219,"")</f>
        <v/>
      </c>
      <c r="K1219" s="4">
        <f>IF(I1219&lt;=0,"NO DEMAND",IF(H1219=0,"STOCKOUT",IF(J1219&lt;Config!$B$5,"CRITICAL",IF(J1219&lt;Config!$B$6,"LOW",IF(J1219&gt;Config!$B$7,"EXCESS","HEALTHY")))))</f>
        <v/>
      </c>
      <c r="L1219" s="11" t="n">
        <v>42</v>
      </c>
      <c r="M1219" s="11" t="n">
        <v>47</v>
      </c>
      <c r="N1219" s="11">
        <f>H1219*L1219</f>
        <v/>
      </c>
      <c r="O1219" s="11">
        <f>IF(I1219&gt;0,I1219*(M1219-L1219),0)</f>
        <v/>
      </c>
      <c r="P1219" s="11" t="n">
        <v>1416</v>
      </c>
    </row>
    <row r="1220">
      <c r="A1220" s="4" t="inlineStr">
        <is>
          <t>WH11</t>
        </is>
      </c>
      <c r="B1220" s="4" t="inlineStr">
        <is>
          <t>Guwahati DC</t>
        </is>
      </c>
      <c r="C1220" s="4" t="inlineStr">
        <is>
          <t>East</t>
        </is>
      </c>
      <c r="D1220" s="4" t="inlineStr">
        <is>
          <t>SKU016</t>
        </is>
      </c>
      <c r="E1220" s="4" t="inlineStr">
        <is>
          <t>Cola 750ml</t>
        </is>
      </c>
      <c r="F1220" s="4" t="inlineStr">
        <is>
          <t>Beverages</t>
        </is>
      </c>
      <c r="G1220" s="4" t="inlineStr">
        <is>
          <t>C</t>
        </is>
      </c>
      <c r="H1220" s="11" t="n">
        <v>319</v>
      </c>
      <c r="I1220" s="4" t="n">
        <v>232.25</v>
      </c>
      <c r="J1220" s="13">
        <f>IF(I1220&gt;0,H1220/I1220,"")</f>
        <v/>
      </c>
      <c r="K1220" s="4">
        <f>IF(I1220&lt;=0,"NO DEMAND",IF(H1220=0,"STOCKOUT",IF(J1220&lt;Config!$B$5,"CRITICAL",IF(J1220&lt;Config!$B$6,"LOW",IF(J1220&gt;Config!$B$7,"EXCESS","HEALTHY")))))</f>
        <v/>
      </c>
      <c r="L1220" s="11" t="n">
        <v>41</v>
      </c>
      <c r="M1220" s="11" t="n">
        <v>47</v>
      </c>
      <c r="N1220" s="11">
        <f>H1220*L1220</f>
        <v/>
      </c>
      <c r="O1220" s="11">
        <f>IF(I1220&gt;0,I1220*(M1220-L1220),0)</f>
        <v/>
      </c>
      <c r="P1220" s="11" t="n">
        <v>0</v>
      </c>
    </row>
    <row r="1221">
      <c r="A1221" s="4" t="inlineStr">
        <is>
          <t>WH11</t>
        </is>
      </c>
      <c r="B1221" s="4" t="inlineStr">
        <is>
          <t>Guwahati DC</t>
        </is>
      </c>
      <c r="C1221" s="4" t="inlineStr">
        <is>
          <t>East</t>
        </is>
      </c>
      <c r="D1221" s="4" t="inlineStr">
        <is>
          <t>SKU017</t>
        </is>
      </c>
      <c r="E1221" s="4" t="inlineStr">
        <is>
          <t>Lemon Soda 600ml</t>
        </is>
      </c>
      <c r="F1221" s="4" t="inlineStr">
        <is>
          <t>Beverages</t>
        </is>
      </c>
      <c r="G1221" s="4" t="inlineStr">
        <is>
          <t>B</t>
        </is>
      </c>
      <c r="H1221" s="11" t="n">
        <v>1027</v>
      </c>
      <c r="I1221" s="4" t="n">
        <v>385.25</v>
      </c>
      <c r="J1221" s="13">
        <f>IF(I1221&gt;0,H1221/I1221,"")</f>
        <v/>
      </c>
      <c r="K1221" s="4">
        <f>IF(I1221&lt;=0,"NO DEMAND",IF(H1221=0,"STOCKOUT",IF(J1221&lt;Config!$B$5,"CRITICAL",IF(J1221&lt;Config!$B$6,"LOW",IF(J1221&gt;Config!$B$7,"EXCESS","HEALTHY")))))</f>
        <v/>
      </c>
      <c r="L1221" s="11" t="n">
        <v>42</v>
      </c>
      <c r="M1221" s="11" t="n">
        <v>50</v>
      </c>
      <c r="N1221" s="11">
        <f>H1221*L1221</f>
        <v/>
      </c>
      <c r="O1221" s="11">
        <f>IF(I1221&gt;0,I1221*(M1221-L1221),0)</f>
        <v/>
      </c>
      <c r="P1221" s="11" t="n">
        <v>0</v>
      </c>
    </row>
    <row r="1222">
      <c r="A1222" s="4" t="inlineStr">
        <is>
          <t>WH11</t>
        </is>
      </c>
      <c r="B1222" s="4" t="inlineStr">
        <is>
          <t>Guwahati DC</t>
        </is>
      </c>
      <c r="C1222" s="4" t="inlineStr">
        <is>
          <t>East</t>
        </is>
      </c>
      <c r="D1222" s="4" t="inlineStr">
        <is>
          <t>SKU018</t>
        </is>
      </c>
      <c r="E1222" s="4" t="inlineStr">
        <is>
          <t>Mango Drink 1L</t>
        </is>
      </c>
      <c r="F1222" s="4" t="inlineStr">
        <is>
          <t>Beverages</t>
        </is>
      </c>
      <c r="G1222" s="4" t="inlineStr">
        <is>
          <t>A</t>
        </is>
      </c>
      <c r="H1222" s="11" t="n">
        <v>1613</v>
      </c>
      <c r="I1222" s="4" t="n">
        <v>888.5</v>
      </c>
      <c r="J1222" s="13">
        <f>IF(I1222&gt;0,H1222/I1222,"")</f>
        <v/>
      </c>
      <c r="K1222" s="4">
        <f>IF(I1222&lt;=0,"NO DEMAND",IF(H1222=0,"STOCKOUT",IF(J1222&lt;Config!$B$5,"CRITICAL",IF(J1222&lt;Config!$B$6,"LOW",IF(J1222&gt;Config!$B$7,"EXCESS","HEALTHY")))))</f>
        <v/>
      </c>
      <c r="L1222" s="11" t="n">
        <v>101</v>
      </c>
      <c r="M1222" s="11" t="n">
        <v>117</v>
      </c>
      <c r="N1222" s="11">
        <f>H1222*L1222</f>
        <v/>
      </c>
      <c r="O1222" s="11">
        <f>IF(I1222&gt;0,I1222*(M1222-L1222),0)</f>
        <v/>
      </c>
      <c r="P1222" s="11" t="n">
        <v>0</v>
      </c>
    </row>
    <row r="1223">
      <c r="A1223" s="4" t="inlineStr">
        <is>
          <t>WH11</t>
        </is>
      </c>
      <c r="B1223" s="4" t="inlineStr">
        <is>
          <t>Guwahati DC</t>
        </is>
      </c>
      <c r="C1223" s="4" t="inlineStr">
        <is>
          <t>East</t>
        </is>
      </c>
      <c r="D1223" s="4" t="inlineStr">
        <is>
          <t>SKU019</t>
        </is>
      </c>
      <c r="E1223" s="4" t="inlineStr">
        <is>
          <t>Packaged Water 1L</t>
        </is>
      </c>
      <c r="F1223" s="4" t="inlineStr">
        <is>
          <t>Beverages</t>
        </is>
      </c>
      <c r="G1223" s="4" t="inlineStr">
        <is>
          <t>A</t>
        </is>
      </c>
      <c r="H1223" s="11" t="n">
        <v>178</v>
      </c>
      <c r="I1223" s="4" t="n">
        <v>930.25</v>
      </c>
      <c r="J1223" s="13">
        <f>IF(I1223&gt;0,H1223/I1223,"")</f>
        <v/>
      </c>
      <c r="K1223" s="4">
        <f>IF(I1223&lt;=0,"NO DEMAND",IF(H1223=0,"STOCKOUT",IF(J1223&lt;Config!$B$5,"CRITICAL",IF(J1223&lt;Config!$B$6,"LOW",IF(J1223&gt;Config!$B$7,"EXCESS","HEALTHY")))))</f>
        <v/>
      </c>
      <c r="L1223" s="11" t="n">
        <v>57</v>
      </c>
      <c r="M1223" s="11" t="n">
        <v>68</v>
      </c>
      <c r="N1223" s="11">
        <f>H1223*L1223</f>
        <v/>
      </c>
      <c r="O1223" s="11">
        <f>IF(I1223&gt;0,I1223*(M1223-L1223),0)</f>
        <v/>
      </c>
      <c r="P1223" s="11" t="n">
        <v>2520</v>
      </c>
    </row>
    <row r="1224">
      <c r="A1224" s="4" t="inlineStr">
        <is>
          <t>WH11</t>
        </is>
      </c>
      <c r="B1224" s="4" t="inlineStr">
        <is>
          <t>Guwahati DC</t>
        </is>
      </c>
      <c r="C1224" s="4" t="inlineStr">
        <is>
          <t>East</t>
        </is>
      </c>
      <c r="D1224" s="4" t="inlineStr">
        <is>
          <t>SKU020</t>
        </is>
      </c>
      <c r="E1224" s="4" t="inlineStr">
        <is>
          <t>Energy Drink 250ml</t>
        </is>
      </c>
      <c r="F1224" s="4" t="inlineStr">
        <is>
          <t>Beverages</t>
        </is>
      </c>
      <c r="G1224" s="4" t="inlineStr">
        <is>
          <t>B</t>
        </is>
      </c>
      <c r="H1224" s="11" t="n">
        <v>0</v>
      </c>
      <c r="I1224" s="4" t="n">
        <v>524</v>
      </c>
      <c r="J1224" s="13">
        <f>IF(I1224&gt;0,H1224/I1224,"")</f>
        <v/>
      </c>
      <c r="K1224" s="4">
        <f>IF(I1224&lt;=0,"NO DEMAND",IF(H1224=0,"STOCKOUT",IF(J1224&lt;Config!$B$5,"CRITICAL",IF(J1224&lt;Config!$B$6,"LOW",IF(J1224&gt;Config!$B$7,"EXCESS","HEALTHY")))))</f>
        <v/>
      </c>
      <c r="L1224" s="11" t="n">
        <v>24</v>
      </c>
      <c r="M1224" s="11" t="n">
        <v>28</v>
      </c>
      <c r="N1224" s="11">
        <f>H1224*L1224</f>
        <v/>
      </c>
      <c r="O1224" s="11">
        <f>IF(I1224&gt;0,I1224*(M1224-L1224),0)</f>
        <v/>
      </c>
      <c r="P1224" s="11" t="n">
        <v>3168</v>
      </c>
    </row>
    <row r="1225">
      <c r="A1225" s="4" t="inlineStr">
        <is>
          <t>WH11</t>
        </is>
      </c>
      <c r="B1225" s="4" t="inlineStr">
        <is>
          <t>Guwahati DC</t>
        </is>
      </c>
      <c r="C1225" s="4" t="inlineStr">
        <is>
          <t>East</t>
        </is>
      </c>
      <c r="D1225" s="4" t="inlineStr">
        <is>
          <t>SKU021</t>
        </is>
      </c>
      <c r="E1225" s="4" t="inlineStr">
        <is>
          <t>Fruit Juice 1L</t>
        </is>
      </c>
      <c r="F1225" s="4" t="inlineStr">
        <is>
          <t>Beverages</t>
        </is>
      </c>
      <c r="G1225" s="4" t="inlineStr">
        <is>
          <t>A</t>
        </is>
      </c>
      <c r="H1225" s="11" t="n">
        <v>821</v>
      </c>
      <c r="I1225" s="4" t="n">
        <v>913.5</v>
      </c>
      <c r="J1225" s="13">
        <f>IF(I1225&gt;0,H1225/I1225,"")</f>
        <v/>
      </c>
      <c r="K1225" s="4">
        <f>IF(I1225&lt;=0,"NO DEMAND",IF(H1225=0,"STOCKOUT",IF(J1225&lt;Config!$B$5,"CRITICAL",IF(J1225&lt;Config!$B$6,"LOW",IF(J1225&gt;Config!$B$7,"EXCESS","HEALTHY")))))</f>
        <v/>
      </c>
      <c r="L1225" s="11" t="n">
        <v>54</v>
      </c>
      <c r="M1225" s="11" t="n">
        <v>63</v>
      </c>
      <c r="N1225" s="11">
        <f>H1225*L1225</f>
        <v/>
      </c>
      <c r="O1225" s="11">
        <f>IF(I1225&gt;0,I1225*(M1225-L1225),0)</f>
        <v/>
      </c>
      <c r="P1225" s="11" t="n">
        <v>0</v>
      </c>
    </row>
    <row r="1226">
      <c r="A1226" s="4" t="inlineStr">
        <is>
          <t>WH11</t>
        </is>
      </c>
      <c r="B1226" s="4" t="inlineStr">
        <is>
          <t>Guwahati DC</t>
        </is>
      </c>
      <c r="C1226" s="4" t="inlineStr">
        <is>
          <t>East</t>
        </is>
      </c>
      <c r="D1226" s="4" t="inlineStr">
        <is>
          <t>SKU022</t>
        </is>
      </c>
      <c r="E1226" s="4" t="inlineStr">
        <is>
          <t>Iced Tea 500ml</t>
        </is>
      </c>
      <c r="F1226" s="4" t="inlineStr">
        <is>
          <t>Beverages</t>
        </is>
      </c>
      <c r="G1226" s="4" t="inlineStr">
        <is>
          <t>A</t>
        </is>
      </c>
      <c r="H1226" s="11" t="n">
        <v>0</v>
      </c>
      <c r="I1226" s="4" t="n">
        <v>786.25</v>
      </c>
      <c r="J1226" s="13">
        <f>IF(I1226&gt;0,H1226/I1226,"")</f>
        <v/>
      </c>
      <c r="K1226" s="4">
        <f>IF(I1226&lt;=0,"NO DEMAND",IF(H1226=0,"STOCKOUT",IF(J1226&lt;Config!$B$5,"CRITICAL",IF(J1226&lt;Config!$B$6,"LOW",IF(J1226&gt;Config!$B$7,"EXCESS","HEALTHY")))))</f>
        <v/>
      </c>
      <c r="L1226" s="11" t="n">
        <v>53</v>
      </c>
      <c r="M1226" s="11" t="n">
        <v>64</v>
      </c>
      <c r="N1226" s="11">
        <f>H1226*L1226</f>
        <v/>
      </c>
      <c r="O1226" s="11">
        <f>IF(I1226&gt;0,I1226*(M1226-L1226),0)</f>
        <v/>
      </c>
      <c r="P1226" s="11" t="n">
        <v>2712</v>
      </c>
    </row>
    <row r="1227">
      <c r="A1227" s="4" t="inlineStr">
        <is>
          <t>WH11</t>
        </is>
      </c>
      <c r="B1227" s="4" t="inlineStr">
        <is>
          <t>Guwahati DC</t>
        </is>
      </c>
      <c r="C1227" s="4" t="inlineStr">
        <is>
          <t>East</t>
        </is>
      </c>
      <c r="D1227" s="4" t="inlineStr">
        <is>
          <t>SKU023</t>
        </is>
      </c>
      <c r="E1227" s="4" t="inlineStr">
        <is>
          <t>Coconut Water 200ml</t>
        </is>
      </c>
      <c r="F1227" s="4" t="inlineStr">
        <is>
          <t>Beverages</t>
        </is>
      </c>
      <c r="G1227" s="4" t="inlineStr">
        <is>
          <t>A</t>
        </is>
      </c>
      <c r="H1227" s="11" t="n">
        <v>2318</v>
      </c>
      <c r="I1227" s="4" t="n">
        <v>547.75</v>
      </c>
      <c r="J1227" s="13">
        <f>IF(I1227&gt;0,H1227/I1227,"")</f>
        <v/>
      </c>
      <c r="K1227" s="4">
        <f>IF(I1227&lt;=0,"NO DEMAND",IF(H1227=0,"STOCKOUT",IF(J1227&lt;Config!$B$5,"CRITICAL",IF(J1227&lt;Config!$B$6,"LOW",IF(J1227&gt;Config!$B$7,"EXCESS","HEALTHY")))))</f>
        <v/>
      </c>
      <c r="L1227" s="11" t="n">
        <v>59</v>
      </c>
      <c r="M1227" s="11" t="n">
        <v>69</v>
      </c>
      <c r="N1227" s="11">
        <f>H1227*L1227</f>
        <v/>
      </c>
      <c r="O1227" s="11">
        <f>IF(I1227&gt;0,I1227*(M1227-L1227),0)</f>
        <v/>
      </c>
      <c r="P1227" s="11" t="n">
        <v>0</v>
      </c>
    </row>
    <row r="1228">
      <c r="A1228" s="4" t="inlineStr">
        <is>
          <t>WH11</t>
        </is>
      </c>
      <c r="B1228" s="4" t="inlineStr">
        <is>
          <t>Guwahati DC</t>
        </is>
      </c>
      <c r="C1228" s="4" t="inlineStr">
        <is>
          <t>East</t>
        </is>
      </c>
      <c r="D1228" s="4" t="inlineStr">
        <is>
          <t>SKU024</t>
        </is>
      </c>
      <c r="E1228" s="4" t="inlineStr">
        <is>
          <t>Instant Coffee 100g</t>
        </is>
      </c>
      <c r="F1228" s="4" t="inlineStr">
        <is>
          <t>Beverages</t>
        </is>
      </c>
      <c r="G1228" s="4" t="inlineStr">
        <is>
          <t>C</t>
        </is>
      </c>
      <c r="H1228" s="11" t="n">
        <v>1101</v>
      </c>
      <c r="I1228" s="4" t="n">
        <v>117.25</v>
      </c>
      <c r="J1228" s="13">
        <f>IF(I1228&gt;0,H1228/I1228,"")</f>
        <v/>
      </c>
      <c r="K1228" s="4">
        <f>IF(I1228&lt;=0,"NO DEMAND",IF(H1228=0,"STOCKOUT",IF(J1228&lt;Config!$B$5,"CRITICAL",IF(J1228&lt;Config!$B$6,"LOW",IF(J1228&gt;Config!$B$7,"EXCESS","HEALTHY")))))</f>
        <v/>
      </c>
      <c r="L1228" s="11" t="n">
        <v>27</v>
      </c>
      <c r="M1228" s="11" t="n">
        <v>31</v>
      </c>
      <c r="N1228" s="11">
        <f>H1228*L1228</f>
        <v/>
      </c>
      <c r="O1228" s="11">
        <f>IF(I1228&gt;0,I1228*(M1228-L1228),0)</f>
        <v/>
      </c>
      <c r="P1228" s="11" t="n">
        <v>0</v>
      </c>
    </row>
    <row r="1229">
      <c r="A1229" s="4" t="inlineStr">
        <is>
          <t>WH11</t>
        </is>
      </c>
      <c r="B1229" s="4" t="inlineStr">
        <is>
          <t>Guwahati DC</t>
        </is>
      </c>
      <c r="C1229" s="4" t="inlineStr">
        <is>
          <t>East</t>
        </is>
      </c>
      <c r="D1229" s="4" t="inlineStr">
        <is>
          <t>SKU025</t>
        </is>
      </c>
      <c r="E1229" s="4" t="inlineStr">
        <is>
          <t>Tea Bags 100pk</t>
        </is>
      </c>
      <c r="F1229" s="4" t="inlineStr">
        <is>
          <t>Beverages</t>
        </is>
      </c>
      <c r="G1229" s="4" t="inlineStr">
        <is>
          <t>C</t>
        </is>
      </c>
      <c r="H1229" s="11" t="n">
        <v>2237</v>
      </c>
      <c r="I1229" s="4" t="n">
        <v>650</v>
      </c>
      <c r="J1229" s="13">
        <f>IF(I1229&gt;0,H1229/I1229,"")</f>
        <v/>
      </c>
      <c r="K1229" s="4">
        <f>IF(I1229&lt;=0,"NO DEMAND",IF(H1229=0,"STOCKOUT",IF(J1229&lt;Config!$B$5,"CRITICAL",IF(J1229&lt;Config!$B$6,"LOW",IF(J1229&gt;Config!$B$7,"EXCESS","HEALTHY")))))</f>
        <v/>
      </c>
      <c r="L1229" s="11" t="n">
        <v>24</v>
      </c>
      <c r="M1229" s="11" t="n">
        <v>28</v>
      </c>
      <c r="N1229" s="11">
        <f>H1229*L1229</f>
        <v/>
      </c>
      <c r="O1229" s="11">
        <f>IF(I1229&gt;0,I1229*(M1229-L1229),0)</f>
        <v/>
      </c>
      <c r="P1229" s="11" t="n">
        <v>0</v>
      </c>
    </row>
    <row r="1230">
      <c r="A1230" s="4" t="inlineStr">
        <is>
          <t>WH11</t>
        </is>
      </c>
      <c r="B1230" s="4" t="inlineStr">
        <is>
          <t>Guwahati DC</t>
        </is>
      </c>
      <c r="C1230" s="4" t="inlineStr">
        <is>
          <t>East</t>
        </is>
      </c>
      <c r="D1230" s="4" t="inlineStr">
        <is>
          <t>SKU026</t>
        </is>
      </c>
      <c r="E1230" s="4" t="inlineStr">
        <is>
          <t>Buttermilk 200ml</t>
        </is>
      </c>
      <c r="F1230" s="4" t="inlineStr">
        <is>
          <t>Beverages</t>
        </is>
      </c>
      <c r="G1230" s="4" t="inlineStr">
        <is>
          <t>B</t>
        </is>
      </c>
      <c r="H1230" s="11" t="n">
        <v>1345</v>
      </c>
      <c r="I1230" s="4" t="n">
        <v>439.5</v>
      </c>
      <c r="J1230" s="13">
        <f>IF(I1230&gt;0,H1230/I1230,"")</f>
        <v/>
      </c>
      <c r="K1230" s="4">
        <f>IF(I1230&lt;=0,"NO DEMAND",IF(H1230=0,"STOCKOUT",IF(J1230&lt;Config!$B$5,"CRITICAL",IF(J1230&lt;Config!$B$6,"LOW",IF(J1230&gt;Config!$B$7,"EXCESS","HEALTHY")))))</f>
        <v/>
      </c>
      <c r="L1230" s="11" t="n">
        <v>31</v>
      </c>
      <c r="M1230" s="11" t="n">
        <v>36</v>
      </c>
      <c r="N1230" s="11">
        <f>H1230*L1230</f>
        <v/>
      </c>
      <c r="O1230" s="11">
        <f>IF(I1230&gt;0,I1230*(M1230-L1230),0)</f>
        <v/>
      </c>
      <c r="P1230" s="11" t="n">
        <v>0</v>
      </c>
    </row>
    <row r="1231">
      <c r="A1231" s="4" t="inlineStr">
        <is>
          <t>WH11</t>
        </is>
      </c>
      <c r="B1231" s="4" t="inlineStr">
        <is>
          <t>Guwahati DC</t>
        </is>
      </c>
      <c r="C1231" s="4" t="inlineStr">
        <is>
          <t>East</t>
        </is>
      </c>
      <c r="D1231" s="4" t="inlineStr">
        <is>
          <t>SKU027</t>
        </is>
      </c>
      <c r="E1231" s="4" t="inlineStr">
        <is>
          <t>Lassi 200ml</t>
        </is>
      </c>
      <c r="F1231" s="4" t="inlineStr">
        <is>
          <t>Beverages</t>
        </is>
      </c>
      <c r="G1231" s="4" t="inlineStr">
        <is>
          <t>A</t>
        </is>
      </c>
      <c r="H1231" s="11" t="n">
        <v>705</v>
      </c>
      <c r="I1231" s="4" t="n">
        <v>853.75</v>
      </c>
      <c r="J1231" s="13">
        <f>IF(I1231&gt;0,H1231/I1231,"")</f>
        <v/>
      </c>
      <c r="K1231" s="4">
        <f>IF(I1231&lt;=0,"NO DEMAND",IF(H1231=0,"STOCKOUT",IF(J1231&lt;Config!$B$5,"CRITICAL",IF(J1231&lt;Config!$B$6,"LOW",IF(J1231&gt;Config!$B$7,"EXCESS","HEALTHY")))))</f>
        <v/>
      </c>
      <c r="L1231" s="11" t="n">
        <v>60</v>
      </c>
      <c r="M1231" s="11" t="n">
        <v>72</v>
      </c>
      <c r="N1231" s="11">
        <f>H1231*L1231</f>
        <v/>
      </c>
      <c r="O1231" s="11">
        <f>IF(I1231&gt;0,I1231*(M1231-L1231),0)</f>
        <v/>
      </c>
      <c r="P1231" s="11" t="n">
        <v>0</v>
      </c>
    </row>
    <row r="1232">
      <c r="A1232" s="4" t="inlineStr">
        <is>
          <t>WH11</t>
        </is>
      </c>
      <c r="B1232" s="4" t="inlineStr">
        <is>
          <t>Guwahati DC</t>
        </is>
      </c>
      <c r="C1232" s="4" t="inlineStr">
        <is>
          <t>East</t>
        </is>
      </c>
      <c r="D1232" s="4" t="inlineStr">
        <is>
          <t>SKU028</t>
        </is>
      </c>
      <c r="E1232" s="4" t="inlineStr">
        <is>
          <t>Sports Drink 500ml</t>
        </is>
      </c>
      <c r="F1232" s="4" t="inlineStr">
        <is>
          <t>Beverages</t>
        </is>
      </c>
      <c r="G1232" s="4" t="inlineStr">
        <is>
          <t>A</t>
        </is>
      </c>
      <c r="H1232" s="11" t="n">
        <v>580</v>
      </c>
      <c r="I1232" s="4" t="n">
        <v>194</v>
      </c>
      <c r="J1232" s="13">
        <f>IF(I1232&gt;0,H1232/I1232,"")</f>
        <v/>
      </c>
      <c r="K1232" s="4">
        <f>IF(I1232&lt;=0,"NO DEMAND",IF(H1232=0,"STOCKOUT",IF(J1232&lt;Config!$B$5,"CRITICAL",IF(J1232&lt;Config!$B$6,"LOW",IF(J1232&gt;Config!$B$7,"EXCESS","HEALTHY")))))</f>
        <v/>
      </c>
      <c r="L1232" s="11" t="n">
        <v>110</v>
      </c>
      <c r="M1232" s="11" t="n">
        <v>131</v>
      </c>
      <c r="N1232" s="11">
        <f>H1232*L1232</f>
        <v/>
      </c>
      <c r="O1232" s="11">
        <f>IF(I1232&gt;0,I1232*(M1232-L1232),0)</f>
        <v/>
      </c>
      <c r="P1232" s="11" t="n">
        <v>0</v>
      </c>
    </row>
    <row r="1233">
      <c r="A1233" s="4" t="inlineStr">
        <is>
          <t>WH11</t>
        </is>
      </c>
      <c r="B1233" s="4" t="inlineStr">
        <is>
          <t>Guwahati DC</t>
        </is>
      </c>
      <c r="C1233" s="4" t="inlineStr">
        <is>
          <t>East</t>
        </is>
      </c>
      <c r="D1233" s="4" t="inlineStr">
        <is>
          <t>SKU029</t>
        </is>
      </c>
      <c r="E1233" s="4" t="inlineStr">
        <is>
          <t>Tonic Water 300ml</t>
        </is>
      </c>
      <c r="F1233" s="4" t="inlineStr">
        <is>
          <t>Beverages</t>
        </is>
      </c>
      <c r="G1233" s="4" t="inlineStr">
        <is>
          <t>B</t>
        </is>
      </c>
      <c r="H1233" s="11" t="n">
        <v>1238</v>
      </c>
      <c r="I1233" s="4" t="n">
        <v>836.75</v>
      </c>
      <c r="J1233" s="13">
        <f>IF(I1233&gt;0,H1233/I1233,"")</f>
        <v/>
      </c>
      <c r="K1233" s="4">
        <f>IF(I1233&lt;=0,"NO DEMAND",IF(H1233=0,"STOCKOUT",IF(J1233&lt;Config!$B$5,"CRITICAL",IF(J1233&lt;Config!$B$6,"LOW",IF(J1233&gt;Config!$B$7,"EXCESS","HEALTHY")))))</f>
        <v/>
      </c>
      <c r="L1233" s="11" t="n">
        <v>23</v>
      </c>
      <c r="M1233" s="11" t="n">
        <v>27</v>
      </c>
      <c r="N1233" s="11">
        <f>H1233*L1233</f>
        <v/>
      </c>
      <c r="O1233" s="11">
        <f>IF(I1233&gt;0,I1233*(M1233-L1233),0)</f>
        <v/>
      </c>
      <c r="P1233" s="11" t="n">
        <v>0</v>
      </c>
    </row>
    <row r="1234">
      <c r="A1234" s="4" t="inlineStr">
        <is>
          <t>WH11</t>
        </is>
      </c>
      <c r="B1234" s="4" t="inlineStr">
        <is>
          <t>Guwahati DC</t>
        </is>
      </c>
      <c r="C1234" s="4" t="inlineStr">
        <is>
          <t>East</t>
        </is>
      </c>
      <c r="D1234" s="4" t="inlineStr">
        <is>
          <t>SKU030</t>
        </is>
      </c>
      <c r="E1234" s="4" t="inlineStr">
        <is>
          <t>Malt Drink 500g</t>
        </is>
      </c>
      <c r="F1234" s="4" t="inlineStr">
        <is>
          <t>Beverages</t>
        </is>
      </c>
      <c r="G1234" s="4" t="inlineStr">
        <is>
          <t>C</t>
        </is>
      </c>
      <c r="H1234" s="11" t="n">
        <v>2035</v>
      </c>
      <c r="I1234" s="4" t="n">
        <v>240</v>
      </c>
      <c r="J1234" s="13">
        <f>IF(I1234&gt;0,H1234/I1234,"")</f>
        <v/>
      </c>
      <c r="K1234" s="4">
        <f>IF(I1234&lt;=0,"NO DEMAND",IF(H1234=0,"STOCKOUT",IF(J1234&lt;Config!$B$5,"CRITICAL",IF(J1234&lt;Config!$B$6,"LOW",IF(J1234&gt;Config!$B$7,"EXCESS","HEALTHY")))))</f>
        <v/>
      </c>
      <c r="L1234" s="11" t="n">
        <v>31</v>
      </c>
      <c r="M1234" s="11" t="n">
        <v>37</v>
      </c>
      <c r="N1234" s="11">
        <f>H1234*L1234</f>
        <v/>
      </c>
      <c r="O1234" s="11">
        <f>IF(I1234&gt;0,I1234*(M1234-L1234),0)</f>
        <v/>
      </c>
      <c r="P1234" s="11" t="n">
        <v>0</v>
      </c>
    </row>
    <row r="1235">
      <c r="A1235" s="4" t="inlineStr">
        <is>
          <t>WH11</t>
        </is>
      </c>
      <c r="B1235" s="4" t="inlineStr">
        <is>
          <t>Guwahati DC</t>
        </is>
      </c>
      <c r="C1235" s="4" t="inlineStr">
        <is>
          <t>East</t>
        </is>
      </c>
      <c r="D1235" s="4" t="inlineStr">
        <is>
          <t>SKU031</t>
        </is>
      </c>
      <c r="E1235" s="4" t="inlineStr">
        <is>
          <t>Potato Chips 90g</t>
        </is>
      </c>
      <c r="F1235" s="4" t="inlineStr">
        <is>
          <t>Snacks &amp; Confectionery</t>
        </is>
      </c>
      <c r="G1235" s="4" t="inlineStr">
        <is>
          <t>C</t>
        </is>
      </c>
      <c r="H1235" s="11" t="n">
        <v>1369</v>
      </c>
      <c r="I1235" s="4" t="n">
        <v>492.75</v>
      </c>
      <c r="J1235" s="13">
        <f>IF(I1235&gt;0,H1235/I1235,"")</f>
        <v/>
      </c>
      <c r="K1235" s="4">
        <f>IF(I1235&lt;=0,"NO DEMAND",IF(H1235=0,"STOCKOUT",IF(J1235&lt;Config!$B$5,"CRITICAL",IF(J1235&lt;Config!$B$6,"LOW",IF(J1235&gt;Config!$B$7,"EXCESS","HEALTHY")))))</f>
        <v/>
      </c>
      <c r="L1235" s="11" t="n">
        <v>13</v>
      </c>
      <c r="M1235" s="11" t="n">
        <v>16</v>
      </c>
      <c r="N1235" s="11">
        <f>H1235*L1235</f>
        <v/>
      </c>
      <c r="O1235" s="11">
        <f>IF(I1235&gt;0,I1235*(M1235-L1235),0)</f>
        <v/>
      </c>
      <c r="P1235" s="11" t="n">
        <v>0</v>
      </c>
    </row>
    <row r="1236">
      <c r="A1236" s="4" t="inlineStr">
        <is>
          <t>WH11</t>
        </is>
      </c>
      <c r="B1236" s="4" t="inlineStr">
        <is>
          <t>Guwahati DC</t>
        </is>
      </c>
      <c r="C1236" s="4" t="inlineStr">
        <is>
          <t>East</t>
        </is>
      </c>
      <c r="D1236" s="4" t="inlineStr">
        <is>
          <t>SKU032</t>
        </is>
      </c>
      <c r="E1236" s="4" t="inlineStr">
        <is>
          <t>Namkeen Mix 400g</t>
        </is>
      </c>
      <c r="F1236" s="4" t="inlineStr">
        <is>
          <t>Snacks &amp; Confectionery</t>
        </is>
      </c>
      <c r="G1236" s="4" t="inlineStr">
        <is>
          <t>C</t>
        </is>
      </c>
      <c r="H1236" s="11" t="n">
        <v>561</v>
      </c>
      <c r="I1236" s="4" t="n">
        <v>45.75</v>
      </c>
      <c r="J1236" s="13">
        <f>IF(I1236&gt;0,H1236/I1236,"")</f>
        <v/>
      </c>
      <c r="K1236" s="4">
        <f>IF(I1236&lt;=0,"NO DEMAND",IF(H1236=0,"STOCKOUT",IF(J1236&lt;Config!$B$5,"CRITICAL",IF(J1236&lt;Config!$B$6,"LOW",IF(J1236&gt;Config!$B$7,"EXCESS","HEALTHY")))))</f>
        <v/>
      </c>
      <c r="L1236" s="11" t="n">
        <v>14</v>
      </c>
      <c r="M1236" s="11" t="n">
        <v>17</v>
      </c>
      <c r="N1236" s="11">
        <f>H1236*L1236</f>
        <v/>
      </c>
      <c r="O1236" s="11">
        <f>IF(I1236&gt;0,I1236*(M1236-L1236),0)</f>
        <v/>
      </c>
      <c r="P1236" s="11" t="n">
        <v>0</v>
      </c>
    </row>
    <row r="1237">
      <c r="A1237" s="4" t="inlineStr">
        <is>
          <t>WH11</t>
        </is>
      </c>
      <c r="B1237" s="4" t="inlineStr">
        <is>
          <t>Guwahati DC</t>
        </is>
      </c>
      <c r="C1237" s="4" t="inlineStr">
        <is>
          <t>East</t>
        </is>
      </c>
      <c r="D1237" s="4" t="inlineStr">
        <is>
          <t>SKU033</t>
        </is>
      </c>
      <c r="E1237" s="4" t="inlineStr">
        <is>
          <t>Glucose Biscuits 300g</t>
        </is>
      </c>
      <c r="F1237" s="4" t="inlineStr">
        <is>
          <t>Snacks &amp; Confectionery</t>
        </is>
      </c>
      <c r="G1237" s="4" t="inlineStr">
        <is>
          <t>A</t>
        </is>
      </c>
      <c r="H1237" s="11" t="n">
        <v>1462</v>
      </c>
      <c r="I1237" s="4" t="n">
        <v>309.5</v>
      </c>
      <c r="J1237" s="13">
        <f>IF(I1237&gt;0,H1237/I1237,"")</f>
        <v/>
      </c>
      <c r="K1237" s="4">
        <f>IF(I1237&lt;=0,"NO DEMAND",IF(H1237=0,"STOCKOUT",IF(J1237&lt;Config!$B$5,"CRITICAL",IF(J1237&lt;Config!$B$6,"LOW",IF(J1237&gt;Config!$B$7,"EXCESS","HEALTHY")))))</f>
        <v/>
      </c>
      <c r="L1237" s="11" t="n">
        <v>119</v>
      </c>
      <c r="M1237" s="11" t="n">
        <v>144</v>
      </c>
      <c r="N1237" s="11">
        <f>H1237*L1237</f>
        <v/>
      </c>
      <c r="O1237" s="11">
        <f>IF(I1237&gt;0,I1237*(M1237-L1237),0)</f>
        <v/>
      </c>
      <c r="P1237" s="11" t="n">
        <v>0</v>
      </c>
    </row>
    <row r="1238">
      <c r="A1238" s="4" t="inlineStr">
        <is>
          <t>WH11</t>
        </is>
      </c>
      <c r="B1238" s="4" t="inlineStr">
        <is>
          <t>Guwahati DC</t>
        </is>
      </c>
      <c r="C1238" s="4" t="inlineStr">
        <is>
          <t>East</t>
        </is>
      </c>
      <c r="D1238" s="4" t="inlineStr">
        <is>
          <t>SKU034</t>
        </is>
      </c>
      <c r="E1238" s="4" t="inlineStr">
        <is>
          <t>Cream Biscuits 120g</t>
        </is>
      </c>
      <c r="F1238" s="4" t="inlineStr">
        <is>
          <t>Snacks &amp; Confectionery</t>
        </is>
      </c>
      <c r="G1238" s="4" t="inlineStr">
        <is>
          <t>B</t>
        </is>
      </c>
      <c r="H1238" s="11" t="n">
        <v>1650</v>
      </c>
      <c r="I1238" s="4" t="n">
        <v>628</v>
      </c>
      <c r="J1238" s="13">
        <f>IF(I1238&gt;0,H1238/I1238,"")</f>
        <v/>
      </c>
      <c r="K1238" s="4">
        <f>IF(I1238&lt;=0,"NO DEMAND",IF(H1238=0,"STOCKOUT",IF(J1238&lt;Config!$B$5,"CRITICAL",IF(J1238&lt;Config!$B$6,"LOW",IF(J1238&gt;Config!$B$7,"EXCESS","HEALTHY")))))</f>
        <v/>
      </c>
      <c r="L1238" s="11" t="n">
        <v>61</v>
      </c>
      <c r="M1238" s="11" t="n">
        <v>73</v>
      </c>
      <c r="N1238" s="11">
        <f>H1238*L1238</f>
        <v/>
      </c>
      <c r="O1238" s="11">
        <f>IF(I1238&gt;0,I1238*(M1238-L1238),0)</f>
        <v/>
      </c>
      <c r="P1238" s="11" t="n">
        <v>0</v>
      </c>
    </row>
    <row r="1239">
      <c r="A1239" s="4" t="inlineStr">
        <is>
          <t>WH11</t>
        </is>
      </c>
      <c r="B1239" s="4" t="inlineStr">
        <is>
          <t>Guwahati DC</t>
        </is>
      </c>
      <c r="C1239" s="4" t="inlineStr">
        <is>
          <t>East</t>
        </is>
      </c>
      <c r="D1239" s="4" t="inlineStr">
        <is>
          <t>SKU035</t>
        </is>
      </c>
      <c r="E1239" s="4" t="inlineStr">
        <is>
          <t>Chocolate Bar 40g</t>
        </is>
      </c>
      <c r="F1239" s="4" t="inlineStr">
        <is>
          <t>Snacks &amp; Confectionery</t>
        </is>
      </c>
      <c r="G1239" s="4" t="inlineStr">
        <is>
          <t>C</t>
        </is>
      </c>
      <c r="H1239" s="11" t="n">
        <v>1117</v>
      </c>
      <c r="I1239" s="4" t="n">
        <v>279.25</v>
      </c>
      <c r="J1239" s="13">
        <f>IF(I1239&gt;0,H1239/I1239,"")</f>
        <v/>
      </c>
      <c r="K1239" s="4">
        <f>IF(I1239&lt;=0,"NO DEMAND",IF(H1239=0,"STOCKOUT",IF(J1239&lt;Config!$B$5,"CRITICAL",IF(J1239&lt;Config!$B$6,"LOW",IF(J1239&gt;Config!$B$7,"EXCESS","HEALTHY")))))</f>
        <v/>
      </c>
      <c r="L1239" s="11" t="n">
        <v>16</v>
      </c>
      <c r="M1239" s="11" t="n">
        <v>20</v>
      </c>
      <c r="N1239" s="11">
        <f>H1239*L1239</f>
        <v/>
      </c>
      <c r="O1239" s="11">
        <f>IF(I1239&gt;0,I1239*(M1239-L1239),0)</f>
        <v/>
      </c>
      <c r="P1239" s="11" t="n">
        <v>0</v>
      </c>
    </row>
    <row r="1240">
      <c r="A1240" s="4" t="inlineStr">
        <is>
          <t>WH11</t>
        </is>
      </c>
      <c r="B1240" s="4" t="inlineStr">
        <is>
          <t>Guwahati DC</t>
        </is>
      </c>
      <c r="C1240" s="4" t="inlineStr">
        <is>
          <t>East</t>
        </is>
      </c>
      <c r="D1240" s="4" t="inlineStr">
        <is>
          <t>SKU036</t>
        </is>
      </c>
      <c r="E1240" s="4" t="inlineStr">
        <is>
          <t>Instant Noodles 70g</t>
        </is>
      </c>
      <c r="F1240" s="4" t="inlineStr">
        <is>
          <t>Snacks &amp; Confectionery</t>
        </is>
      </c>
      <c r="G1240" s="4" t="inlineStr">
        <is>
          <t>C</t>
        </is>
      </c>
      <c r="H1240" s="11" t="n">
        <v>1505</v>
      </c>
      <c r="I1240" s="4" t="n">
        <v>250</v>
      </c>
      <c r="J1240" s="13">
        <f>IF(I1240&gt;0,H1240/I1240,"")</f>
        <v/>
      </c>
      <c r="K1240" s="4">
        <f>IF(I1240&lt;=0,"NO DEMAND",IF(H1240=0,"STOCKOUT",IF(J1240&lt;Config!$B$5,"CRITICAL",IF(J1240&lt;Config!$B$6,"LOW",IF(J1240&gt;Config!$B$7,"EXCESS","HEALTHY")))))</f>
        <v/>
      </c>
      <c r="L1240" s="11" t="n">
        <v>19</v>
      </c>
      <c r="M1240" s="11" t="n">
        <v>24</v>
      </c>
      <c r="N1240" s="11">
        <f>H1240*L1240</f>
        <v/>
      </c>
      <c r="O1240" s="11">
        <f>IF(I1240&gt;0,I1240*(M1240-L1240),0)</f>
        <v/>
      </c>
      <c r="P1240" s="11" t="n">
        <v>0</v>
      </c>
    </row>
    <row r="1241">
      <c r="A1241" s="4" t="inlineStr">
        <is>
          <t>WH11</t>
        </is>
      </c>
      <c r="B1241" s="4" t="inlineStr">
        <is>
          <t>Guwahati DC</t>
        </is>
      </c>
      <c r="C1241" s="4" t="inlineStr">
        <is>
          <t>East</t>
        </is>
      </c>
      <c r="D1241" s="4" t="inlineStr">
        <is>
          <t>SKU037</t>
        </is>
      </c>
      <c r="E1241" s="4" t="inlineStr">
        <is>
          <t>Popcorn 60g</t>
        </is>
      </c>
      <c r="F1241" s="4" t="inlineStr">
        <is>
          <t>Snacks &amp; Confectionery</t>
        </is>
      </c>
      <c r="G1241" s="4" t="inlineStr">
        <is>
          <t>A</t>
        </is>
      </c>
      <c r="H1241" s="11" t="n">
        <v>251</v>
      </c>
      <c r="I1241" s="4" t="n">
        <v>162</v>
      </c>
      <c r="J1241" s="13">
        <f>IF(I1241&gt;0,H1241/I1241,"")</f>
        <v/>
      </c>
      <c r="K1241" s="4">
        <f>IF(I1241&lt;=0,"NO DEMAND",IF(H1241=0,"STOCKOUT",IF(J1241&lt;Config!$B$5,"CRITICAL",IF(J1241&lt;Config!$B$6,"LOW",IF(J1241&gt;Config!$B$7,"EXCESS","HEALTHY")))))</f>
        <v/>
      </c>
      <c r="L1241" s="11" t="n">
        <v>137</v>
      </c>
      <c r="M1241" s="11" t="n">
        <v>163</v>
      </c>
      <c r="N1241" s="11">
        <f>H1241*L1241</f>
        <v/>
      </c>
      <c r="O1241" s="11">
        <f>IF(I1241&gt;0,I1241*(M1241-L1241),0)</f>
        <v/>
      </c>
      <c r="P1241" s="11" t="n">
        <v>0</v>
      </c>
    </row>
    <row r="1242">
      <c r="A1242" s="4" t="inlineStr">
        <is>
          <t>WH11</t>
        </is>
      </c>
      <c r="B1242" s="4" t="inlineStr">
        <is>
          <t>Guwahati DC</t>
        </is>
      </c>
      <c r="C1242" s="4" t="inlineStr">
        <is>
          <t>East</t>
        </is>
      </c>
      <c r="D1242" s="4" t="inlineStr">
        <is>
          <t>SKU038</t>
        </is>
      </c>
      <c r="E1242" s="4" t="inlineStr">
        <is>
          <t>Peanut Chikki 200g</t>
        </is>
      </c>
      <c r="F1242" s="4" t="inlineStr">
        <is>
          <t>Snacks &amp; Confectionery</t>
        </is>
      </c>
      <c r="G1242" s="4" t="inlineStr">
        <is>
          <t>C</t>
        </is>
      </c>
      <c r="H1242" s="11" t="n">
        <v>1691</v>
      </c>
      <c r="I1242" s="4" t="n">
        <v>69</v>
      </c>
      <c r="J1242" s="13">
        <f>IF(I1242&gt;0,H1242/I1242,"")</f>
        <v/>
      </c>
      <c r="K1242" s="4">
        <f>IF(I1242&lt;=0,"NO DEMAND",IF(H1242=0,"STOCKOUT",IF(J1242&lt;Config!$B$5,"CRITICAL",IF(J1242&lt;Config!$B$6,"LOW",IF(J1242&gt;Config!$B$7,"EXCESS","HEALTHY")))))</f>
        <v/>
      </c>
      <c r="L1242" s="11" t="n">
        <v>18</v>
      </c>
      <c r="M1242" s="11" t="n">
        <v>22</v>
      </c>
      <c r="N1242" s="11">
        <f>H1242*L1242</f>
        <v/>
      </c>
      <c r="O1242" s="11">
        <f>IF(I1242&gt;0,I1242*(M1242-L1242),0)</f>
        <v/>
      </c>
      <c r="P1242" s="11" t="n">
        <v>0</v>
      </c>
    </row>
    <row r="1243">
      <c r="A1243" s="4" t="inlineStr">
        <is>
          <t>WH11</t>
        </is>
      </c>
      <c r="B1243" s="4" t="inlineStr">
        <is>
          <t>Guwahati DC</t>
        </is>
      </c>
      <c r="C1243" s="4" t="inlineStr">
        <is>
          <t>East</t>
        </is>
      </c>
      <c r="D1243" s="4" t="inlineStr">
        <is>
          <t>SKU039</t>
        </is>
      </c>
      <c r="E1243" s="4" t="inlineStr">
        <is>
          <t>Cookies 200g</t>
        </is>
      </c>
      <c r="F1243" s="4" t="inlineStr">
        <is>
          <t>Snacks &amp; Confectionery</t>
        </is>
      </c>
      <c r="G1243" s="4" t="inlineStr">
        <is>
          <t>A</t>
        </is>
      </c>
      <c r="H1243" s="11" t="n">
        <v>2317</v>
      </c>
      <c r="I1243" s="4" t="n">
        <v>435</v>
      </c>
      <c r="J1243" s="13">
        <f>IF(I1243&gt;0,H1243/I1243,"")</f>
        <v/>
      </c>
      <c r="K1243" s="4">
        <f>IF(I1243&lt;=0,"NO DEMAND",IF(H1243=0,"STOCKOUT",IF(J1243&lt;Config!$B$5,"CRITICAL",IF(J1243&lt;Config!$B$6,"LOW",IF(J1243&gt;Config!$B$7,"EXCESS","HEALTHY")))))</f>
        <v/>
      </c>
      <c r="L1243" s="11" t="n">
        <v>126</v>
      </c>
      <c r="M1243" s="11" t="n">
        <v>150</v>
      </c>
      <c r="N1243" s="11">
        <f>H1243*L1243</f>
        <v/>
      </c>
      <c r="O1243" s="11">
        <f>IF(I1243&gt;0,I1243*(M1243-L1243),0)</f>
        <v/>
      </c>
      <c r="P1243" s="11" t="n">
        <v>0</v>
      </c>
    </row>
    <row r="1244">
      <c r="A1244" s="4" t="inlineStr">
        <is>
          <t>WH11</t>
        </is>
      </c>
      <c r="B1244" s="4" t="inlineStr">
        <is>
          <t>Guwahati DC</t>
        </is>
      </c>
      <c r="C1244" s="4" t="inlineStr">
        <is>
          <t>East</t>
        </is>
      </c>
      <c r="D1244" s="4" t="inlineStr">
        <is>
          <t>SKU040</t>
        </is>
      </c>
      <c r="E1244" s="4" t="inlineStr">
        <is>
          <t>Wafers 75g</t>
        </is>
      </c>
      <c r="F1244" s="4" t="inlineStr">
        <is>
          <t>Snacks &amp; Confectionery</t>
        </is>
      </c>
      <c r="G1244" s="4" t="inlineStr">
        <is>
          <t>A</t>
        </is>
      </c>
      <c r="H1244" s="11" t="n">
        <v>1598</v>
      </c>
      <c r="I1244" s="4" t="n">
        <v>557.75</v>
      </c>
      <c r="J1244" s="13">
        <f>IF(I1244&gt;0,H1244/I1244,"")</f>
        <v/>
      </c>
      <c r="K1244" s="4">
        <f>IF(I1244&lt;=0,"NO DEMAND",IF(H1244=0,"STOCKOUT",IF(J1244&lt;Config!$B$5,"CRITICAL",IF(J1244&lt;Config!$B$6,"LOW",IF(J1244&gt;Config!$B$7,"EXCESS","HEALTHY")))))</f>
        <v/>
      </c>
      <c r="L1244" s="11" t="n">
        <v>90</v>
      </c>
      <c r="M1244" s="11" t="n">
        <v>109</v>
      </c>
      <c r="N1244" s="11">
        <f>H1244*L1244</f>
        <v/>
      </c>
      <c r="O1244" s="11">
        <f>IF(I1244&gt;0,I1244*(M1244-L1244),0)</f>
        <v/>
      </c>
      <c r="P1244" s="11" t="n">
        <v>0</v>
      </c>
    </row>
    <row r="1245">
      <c r="A1245" s="4" t="inlineStr">
        <is>
          <t>WH11</t>
        </is>
      </c>
      <c r="B1245" s="4" t="inlineStr">
        <is>
          <t>Guwahati DC</t>
        </is>
      </c>
      <c r="C1245" s="4" t="inlineStr">
        <is>
          <t>East</t>
        </is>
      </c>
      <c r="D1245" s="4" t="inlineStr">
        <is>
          <t>SKU041</t>
        </is>
      </c>
      <c r="E1245" s="4" t="inlineStr">
        <is>
          <t>Mathri 250g</t>
        </is>
      </c>
      <c r="F1245" s="4" t="inlineStr">
        <is>
          <t>Snacks &amp; Confectionery</t>
        </is>
      </c>
      <c r="G1245" s="4" t="inlineStr">
        <is>
          <t>A</t>
        </is>
      </c>
      <c r="H1245" s="11" t="n">
        <v>696</v>
      </c>
      <c r="I1245" s="4" t="n">
        <v>277.25</v>
      </c>
      <c r="J1245" s="13">
        <f>IF(I1245&gt;0,H1245/I1245,"")</f>
        <v/>
      </c>
      <c r="K1245" s="4">
        <f>IF(I1245&lt;=0,"NO DEMAND",IF(H1245=0,"STOCKOUT",IF(J1245&lt;Config!$B$5,"CRITICAL",IF(J1245&lt;Config!$B$6,"LOW",IF(J1245&gt;Config!$B$7,"EXCESS","HEALTHY")))))</f>
        <v/>
      </c>
      <c r="L1245" s="11" t="n">
        <v>100</v>
      </c>
      <c r="M1245" s="11" t="n">
        <v>125</v>
      </c>
      <c r="N1245" s="11">
        <f>H1245*L1245</f>
        <v/>
      </c>
      <c r="O1245" s="11">
        <f>IF(I1245&gt;0,I1245*(M1245-L1245),0)</f>
        <v/>
      </c>
      <c r="P1245" s="11" t="n">
        <v>0</v>
      </c>
    </row>
    <row r="1246">
      <c r="A1246" s="4" t="inlineStr">
        <is>
          <t>WH11</t>
        </is>
      </c>
      <c r="B1246" s="4" t="inlineStr">
        <is>
          <t>Guwahati DC</t>
        </is>
      </c>
      <c r="C1246" s="4" t="inlineStr">
        <is>
          <t>East</t>
        </is>
      </c>
      <c r="D1246" s="4" t="inlineStr">
        <is>
          <t>SKU042</t>
        </is>
      </c>
      <c r="E1246" s="4" t="inlineStr">
        <is>
          <t>Dry Fruit Mix 250g</t>
        </is>
      </c>
      <c r="F1246" s="4" t="inlineStr">
        <is>
          <t>Snacks &amp; Confectionery</t>
        </is>
      </c>
      <c r="G1246" s="4" t="inlineStr">
        <is>
          <t>A</t>
        </is>
      </c>
      <c r="H1246" s="11" t="n">
        <v>1020</v>
      </c>
      <c r="I1246" s="4" t="n">
        <v>225.5</v>
      </c>
      <c r="J1246" s="13">
        <f>IF(I1246&gt;0,H1246/I1246,"")</f>
        <v/>
      </c>
      <c r="K1246" s="4">
        <f>IF(I1246&lt;=0,"NO DEMAND",IF(H1246=0,"STOCKOUT",IF(J1246&lt;Config!$B$5,"CRITICAL",IF(J1246&lt;Config!$B$6,"LOW",IF(J1246&gt;Config!$B$7,"EXCESS","HEALTHY")))))</f>
        <v/>
      </c>
      <c r="L1246" s="11" t="n">
        <v>74</v>
      </c>
      <c r="M1246" s="11" t="n">
        <v>88</v>
      </c>
      <c r="N1246" s="11">
        <f>H1246*L1246</f>
        <v/>
      </c>
      <c r="O1246" s="11">
        <f>IF(I1246&gt;0,I1246*(M1246-L1246),0)</f>
        <v/>
      </c>
      <c r="P1246" s="11" t="n">
        <v>0</v>
      </c>
    </row>
    <row r="1247">
      <c r="A1247" s="4" t="inlineStr">
        <is>
          <t>WH11</t>
        </is>
      </c>
      <c r="B1247" s="4" t="inlineStr">
        <is>
          <t>Guwahati DC</t>
        </is>
      </c>
      <c r="C1247" s="4" t="inlineStr">
        <is>
          <t>East</t>
        </is>
      </c>
      <c r="D1247" s="4" t="inlineStr">
        <is>
          <t>SKU043</t>
        </is>
      </c>
      <c r="E1247" s="4" t="inlineStr">
        <is>
          <t>Soan Papdi 500g</t>
        </is>
      </c>
      <c r="F1247" s="4" t="inlineStr">
        <is>
          <t>Snacks &amp; Confectionery</t>
        </is>
      </c>
      <c r="G1247" s="4" t="inlineStr">
        <is>
          <t>C</t>
        </is>
      </c>
      <c r="H1247" s="11" t="n">
        <v>970</v>
      </c>
      <c r="I1247" s="4" t="n">
        <v>413.75</v>
      </c>
      <c r="J1247" s="13">
        <f>IF(I1247&gt;0,H1247/I1247,"")</f>
        <v/>
      </c>
      <c r="K1247" s="4">
        <f>IF(I1247&lt;=0,"NO DEMAND",IF(H1247=0,"STOCKOUT",IF(J1247&lt;Config!$B$5,"CRITICAL",IF(J1247&lt;Config!$B$6,"LOW",IF(J1247&gt;Config!$B$7,"EXCESS","HEALTHY")))))</f>
        <v/>
      </c>
      <c r="L1247" s="11" t="n">
        <v>15</v>
      </c>
      <c r="M1247" s="11" t="n">
        <v>18</v>
      </c>
      <c r="N1247" s="11">
        <f>H1247*L1247</f>
        <v/>
      </c>
      <c r="O1247" s="11">
        <f>IF(I1247&gt;0,I1247*(M1247-L1247),0)</f>
        <v/>
      </c>
      <c r="P1247" s="11" t="n">
        <v>0</v>
      </c>
    </row>
    <row r="1248">
      <c r="A1248" s="4" t="inlineStr">
        <is>
          <t>WH11</t>
        </is>
      </c>
      <c r="B1248" s="4" t="inlineStr">
        <is>
          <t>Guwahati DC</t>
        </is>
      </c>
      <c r="C1248" s="4" t="inlineStr">
        <is>
          <t>East</t>
        </is>
      </c>
      <c r="D1248" s="4" t="inlineStr">
        <is>
          <t>SKU044</t>
        </is>
      </c>
      <c r="E1248" s="4" t="inlineStr">
        <is>
          <t>Rusk 300g</t>
        </is>
      </c>
      <c r="F1248" s="4" t="inlineStr">
        <is>
          <t>Snacks &amp; Confectionery</t>
        </is>
      </c>
      <c r="G1248" s="4" t="inlineStr">
        <is>
          <t>A</t>
        </is>
      </c>
      <c r="H1248" s="11" t="n">
        <v>2330</v>
      </c>
      <c r="I1248" s="4" t="n">
        <v>551.75</v>
      </c>
      <c r="J1248" s="13">
        <f>IF(I1248&gt;0,H1248/I1248,"")</f>
        <v/>
      </c>
      <c r="K1248" s="4">
        <f>IF(I1248&lt;=0,"NO DEMAND",IF(H1248=0,"STOCKOUT",IF(J1248&lt;Config!$B$5,"CRITICAL",IF(J1248&lt;Config!$B$6,"LOW",IF(J1248&gt;Config!$B$7,"EXCESS","HEALTHY")))))</f>
        <v/>
      </c>
      <c r="L1248" s="11" t="n">
        <v>57</v>
      </c>
      <c r="M1248" s="11" t="n">
        <v>70</v>
      </c>
      <c r="N1248" s="11">
        <f>H1248*L1248</f>
        <v/>
      </c>
      <c r="O1248" s="11">
        <f>IF(I1248&gt;0,I1248*(M1248-L1248),0)</f>
        <v/>
      </c>
      <c r="P1248" s="11" t="n">
        <v>0</v>
      </c>
    </row>
    <row r="1249">
      <c r="A1249" s="4" t="inlineStr">
        <is>
          <t>WH11</t>
        </is>
      </c>
      <c r="B1249" s="4" t="inlineStr">
        <is>
          <t>Guwahati DC</t>
        </is>
      </c>
      <c r="C1249" s="4" t="inlineStr">
        <is>
          <t>East</t>
        </is>
      </c>
      <c r="D1249" s="4" t="inlineStr">
        <is>
          <t>SKU045</t>
        </is>
      </c>
      <c r="E1249" s="4" t="inlineStr">
        <is>
          <t>Candy Pack 150g</t>
        </is>
      </c>
      <c r="F1249" s="4" t="inlineStr">
        <is>
          <t>Snacks &amp; Confectionery</t>
        </is>
      </c>
      <c r="G1249" s="4" t="inlineStr">
        <is>
          <t>C</t>
        </is>
      </c>
      <c r="H1249" s="11" t="n">
        <v>1759</v>
      </c>
      <c r="I1249" s="4" t="n">
        <v>396.75</v>
      </c>
      <c r="J1249" s="13">
        <f>IF(I1249&gt;0,H1249/I1249,"")</f>
        <v/>
      </c>
      <c r="K1249" s="4">
        <f>IF(I1249&lt;=0,"NO DEMAND",IF(H1249=0,"STOCKOUT",IF(J1249&lt;Config!$B$5,"CRITICAL",IF(J1249&lt;Config!$B$6,"LOW",IF(J1249&gt;Config!$B$7,"EXCESS","HEALTHY")))))</f>
        <v/>
      </c>
      <c r="L1249" s="11" t="n">
        <v>22</v>
      </c>
      <c r="M1249" s="11" t="n">
        <v>27</v>
      </c>
      <c r="N1249" s="11">
        <f>H1249*L1249</f>
        <v/>
      </c>
      <c r="O1249" s="11">
        <f>IF(I1249&gt;0,I1249*(M1249-L1249),0)</f>
        <v/>
      </c>
      <c r="P1249" s="11" t="n">
        <v>0</v>
      </c>
    </row>
    <row r="1250">
      <c r="A1250" s="4" t="inlineStr">
        <is>
          <t>WH11</t>
        </is>
      </c>
      <c r="B1250" s="4" t="inlineStr">
        <is>
          <t>Guwahati DC</t>
        </is>
      </c>
      <c r="C1250" s="4" t="inlineStr">
        <is>
          <t>East</t>
        </is>
      </c>
      <c r="D1250" s="4" t="inlineStr">
        <is>
          <t>SKU046</t>
        </is>
      </c>
      <c r="E1250" s="4" t="inlineStr">
        <is>
          <t>Shampoo 340ml</t>
        </is>
      </c>
      <c r="F1250" s="4" t="inlineStr">
        <is>
          <t>Personal Care</t>
        </is>
      </c>
      <c r="G1250" s="4" t="inlineStr">
        <is>
          <t>C</t>
        </is>
      </c>
      <c r="H1250" s="11" t="n">
        <v>0</v>
      </c>
      <c r="I1250" s="4" t="n">
        <v>322.75</v>
      </c>
      <c r="J1250" s="13">
        <f>IF(I1250&gt;0,H1250/I1250,"")</f>
        <v/>
      </c>
      <c r="K1250" s="4">
        <f>IF(I1250&lt;=0,"NO DEMAND",IF(H1250=0,"STOCKOUT",IF(J1250&lt;Config!$B$5,"CRITICAL",IF(J1250&lt;Config!$B$6,"LOW",IF(J1250&gt;Config!$B$7,"EXCESS","HEALTHY")))))</f>
        <v/>
      </c>
      <c r="L1250" s="11" t="n">
        <v>51</v>
      </c>
      <c r="M1250" s="11" t="n">
        <v>67</v>
      </c>
      <c r="N1250" s="11">
        <f>H1250*L1250</f>
        <v/>
      </c>
      <c r="O1250" s="11">
        <f>IF(I1250&gt;0,I1250*(M1250-L1250),0)</f>
        <v/>
      </c>
      <c r="P1250" s="11" t="n">
        <v>1260</v>
      </c>
    </row>
    <row r="1251">
      <c r="A1251" s="4" t="inlineStr">
        <is>
          <t>WH11</t>
        </is>
      </c>
      <c r="B1251" s="4" t="inlineStr">
        <is>
          <t>Guwahati DC</t>
        </is>
      </c>
      <c r="C1251" s="4" t="inlineStr">
        <is>
          <t>East</t>
        </is>
      </c>
      <c r="D1251" s="4" t="inlineStr">
        <is>
          <t>SKU047</t>
        </is>
      </c>
      <c r="E1251" s="4" t="inlineStr">
        <is>
          <t>Soap 4-pack</t>
        </is>
      </c>
      <c r="F1251" s="4" t="inlineStr">
        <is>
          <t>Personal Care</t>
        </is>
      </c>
      <c r="G1251" s="4" t="inlineStr">
        <is>
          <t>C</t>
        </is>
      </c>
      <c r="H1251" s="11" t="n">
        <v>0</v>
      </c>
      <c r="I1251" s="4" t="n">
        <v>61</v>
      </c>
      <c r="J1251" s="13">
        <f>IF(I1251&gt;0,H1251/I1251,"")</f>
        <v/>
      </c>
      <c r="K1251" s="4">
        <f>IF(I1251&lt;=0,"NO DEMAND",IF(H1251=0,"STOCKOUT",IF(J1251&lt;Config!$B$5,"CRITICAL",IF(J1251&lt;Config!$B$6,"LOW",IF(J1251&gt;Config!$B$7,"EXCESS","HEALTHY")))))</f>
        <v/>
      </c>
      <c r="L1251" s="11" t="n">
        <v>37</v>
      </c>
      <c r="M1251" s="11" t="n">
        <v>47</v>
      </c>
      <c r="N1251" s="11">
        <f>H1251*L1251</f>
        <v/>
      </c>
      <c r="O1251" s="11">
        <f>IF(I1251&gt;0,I1251*(M1251-L1251),0)</f>
        <v/>
      </c>
      <c r="P1251" s="11" t="n">
        <v>1392</v>
      </c>
    </row>
    <row r="1252">
      <c r="A1252" s="4" t="inlineStr">
        <is>
          <t>WH11</t>
        </is>
      </c>
      <c r="B1252" s="4" t="inlineStr">
        <is>
          <t>Guwahati DC</t>
        </is>
      </c>
      <c r="C1252" s="4" t="inlineStr">
        <is>
          <t>East</t>
        </is>
      </c>
      <c r="D1252" s="4" t="inlineStr">
        <is>
          <t>SKU048</t>
        </is>
      </c>
      <c r="E1252" s="4" t="inlineStr">
        <is>
          <t>Toothpaste 150g</t>
        </is>
      </c>
      <c r="F1252" s="4" t="inlineStr">
        <is>
          <t>Personal Care</t>
        </is>
      </c>
      <c r="G1252" s="4" t="inlineStr">
        <is>
          <t>C</t>
        </is>
      </c>
      <c r="H1252" s="11" t="n">
        <v>0</v>
      </c>
      <c r="I1252" s="4" t="n">
        <v>122.25</v>
      </c>
      <c r="J1252" s="13">
        <f>IF(I1252&gt;0,H1252/I1252,"")</f>
        <v/>
      </c>
      <c r="K1252" s="4">
        <f>IF(I1252&lt;=0,"NO DEMAND",IF(H1252=0,"STOCKOUT",IF(J1252&lt;Config!$B$5,"CRITICAL",IF(J1252&lt;Config!$B$6,"LOW",IF(J1252&gt;Config!$B$7,"EXCESS","HEALTHY")))))</f>
        <v/>
      </c>
      <c r="L1252" s="11" t="n">
        <v>51</v>
      </c>
      <c r="M1252" s="11" t="n">
        <v>67</v>
      </c>
      <c r="N1252" s="11">
        <f>H1252*L1252</f>
        <v/>
      </c>
      <c r="O1252" s="11">
        <f>IF(I1252&gt;0,I1252*(M1252-L1252),0)</f>
        <v/>
      </c>
      <c r="P1252" s="11" t="n">
        <v>732</v>
      </c>
    </row>
    <row r="1253">
      <c r="A1253" s="4" t="inlineStr">
        <is>
          <t>WH11</t>
        </is>
      </c>
      <c r="B1253" s="4" t="inlineStr">
        <is>
          <t>Guwahati DC</t>
        </is>
      </c>
      <c r="C1253" s="4" t="inlineStr">
        <is>
          <t>East</t>
        </is>
      </c>
      <c r="D1253" s="4" t="inlineStr">
        <is>
          <t>SKU049</t>
        </is>
      </c>
      <c r="E1253" s="4" t="inlineStr">
        <is>
          <t>Face Wash 100ml</t>
        </is>
      </c>
      <c r="F1253" s="4" t="inlineStr">
        <is>
          <t>Personal Care</t>
        </is>
      </c>
      <c r="G1253" s="4" t="inlineStr">
        <is>
          <t>C</t>
        </is>
      </c>
      <c r="H1253" s="11" t="n">
        <v>272</v>
      </c>
      <c r="I1253" s="4" t="n">
        <v>33.5</v>
      </c>
      <c r="J1253" s="13">
        <f>IF(I1253&gt;0,H1253/I1253,"")</f>
        <v/>
      </c>
      <c r="K1253" s="4">
        <f>IF(I1253&lt;=0,"NO DEMAND",IF(H1253=0,"STOCKOUT",IF(J1253&lt;Config!$B$5,"CRITICAL",IF(J1253&lt;Config!$B$6,"LOW",IF(J1253&gt;Config!$B$7,"EXCESS","HEALTHY")))))</f>
        <v/>
      </c>
      <c r="L1253" s="11" t="n">
        <v>32</v>
      </c>
      <c r="M1253" s="11" t="n">
        <v>41</v>
      </c>
      <c r="N1253" s="11">
        <f>H1253*L1253</f>
        <v/>
      </c>
      <c r="O1253" s="11">
        <f>IF(I1253&gt;0,I1253*(M1253-L1253),0)</f>
        <v/>
      </c>
      <c r="P1253" s="11" t="n">
        <v>0</v>
      </c>
    </row>
    <row r="1254">
      <c r="A1254" s="4" t="inlineStr">
        <is>
          <t>WH11</t>
        </is>
      </c>
      <c r="B1254" s="4" t="inlineStr">
        <is>
          <t>Guwahati DC</t>
        </is>
      </c>
      <c r="C1254" s="4" t="inlineStr">
        <is>
          <t>East</t>
        </is>
      </c>
      <c r="D1254" s="4" t="inlineStr">
        <is>
          <t>SKU050</t>
        </is>
      </c>
      <c r="E1254" s="4" t="inlineStr">
        <is>
          <t>Body Lotion 400ml</t>
        </is>
      </c>
      <c r="F1254" s="4" t="inlineStr">
        <is>
          <t>Personal Care</t>
        </is>
      </c>
      <c r="G1254" s="4" t="inlineStr">
        <is>
          <t>B</t>
        </is>
      </c>
      <c r="H1254" s="11" t="n">
        <v>311</v>
      </c>
      <c r="I1254" s="4" t="n">
        <v>311</v>
      </c>
      <c r="J1254" s="13">
        <f>IF(I1254&gt;0,H1254/I1254,"")</f>
        <v/>
      </c>
      <c r="K1254" s="4">
        <f>IF(I1254&lt;=0,"NO DEMAND",IF(H1254=0,"STOCKOUT",IF(J1254&lt;Config!$B$5,"CRITICAL",IF(J1254&lt;Config!$B$6,"LOW",IF(J1254&gt;Config!$B$7,"EXCESS","HEALTHY")))))</f>
        <v/>
      </c>
      <c r="L1254" s="11" t="n">
        <v>138</v>
      </c>
      <c r="M1254" s="11" t="n">
        <v>175</v>
      </c>
      <c r="N1254" s="11">
        <f>H1254*L1254</f>
        <v/>
      </c>
      <c r="O1254" s="11">
        <f>IF(I1254&gt;0,I1254*(M1254-L1254),0)</f>
        <v/>
      </c>
      <c r="P1254" s="11" t="n">
        <v>0</v>
      </c>
    </row>
    <row r="1255">
      <c r="A1255" s="4" t="inlineStr">
        <is>
          <t>WH11</t>
        </is>
      </c>
      <c r="B1255" s="4" t="inlineStr">
        <is>
          <t>Guwahati DC</t>
        </is>
      </c>
      <c r="C1255" s="4" t="inlineStr">
        <is>
          <t>East</t>
        </is>
      </c>
      <c r="D1255" s="4" t="inlineStr">
        <is>
          <t>SKU051</t>
        </is>
      </c>
      <c r="E1255" s="4" t="inlineStr">
        <is>
          <t>Hair Oil 200ml</t>
        </is>
      </c>
      <c r="F1255" s="4" t="inlineStr">
        <is>
          <t>Personal Care</t>
        </is>
      </c>
      <c r="G1255" s="4" t="inlineStr">
        <is>
          <t>B</t>
        </is>
      </c>
      <c r="H1255" s="11" t="n">
        <v>0</v>
      </c>
      <c r="I1255" s="4" t="n">
        <v>305.25</v>
      </c>
      <c r="J1255" s="13">
        <f>IF(I1255&gt;0,H1255/I1255,"")</f>
        <v/>
      </c>
      <c r="K1255" s="4">
        <f>IF(I1255&lt;=0,"NO DEMAND",IF(H1255=0,"STOCKOUT",IF(J1255&lt;Config!$B$5,"CRITICAL",IF(J1255&lt;Config!$B$6,"LOW",IF(J1255&gt;Config!$B$7,"EXCESS","HEALTHY")))))</f>
        <v/>
      </c>
      <c r="L1255" s="11" t="n">
        <v>156</v>
      </c>
      <c r="M1255" s="11" t="n">
        <v>203</v>
      </c>
      <c r="N1255" s="11">
        <f>H1255*L1255</f>
        <v/>
      </c>
      <c r="O1255" s="11">
        <f>IF(I1255&gt;0,I1255*(M1255-L1255),0)</f>
        <v/>
      </c>
      <c r="P1255" s="11" t="n">
        <v>900</v>
      </c>
    </row>
    <row r="1256">
      <c r="A1256" s="4" t="inlineStr">
        <is>
          <t>WH11</t>
        </is>
      </c>
      <c r="B1256" s="4" t="inlineStr">
        <is>
          <t>Guwahati DC</t>
        </is>
      </c>
      <c r="C1256" s="4" t="inlineStr">
        <is>
          <t>East</t>
        </is>
      </c>
      <c r="D1256" s="4" t="inlineStr">
        <is>
          <t>SKU052</t>
        </is>
      </c>
      <c r="E1256" s="4" t="inlineStr">
        <is>
          <t>Deodorant 150ml</t>
        </is>
      </c>
      <c r="F1256" s="4" t="inlineStr">
        <is>
          <t>Personal Care</t>
        </is>
      </c>
      <c r="G1256" s="4" t="inlineStr">
        <is>
          <t>B</t>
        </is>
      </c>
      <c r="H1256" s="11" t="n">
        <v>651</v>
      </c>
      <c r="I1256" s="4" t="n">
        <v>67.5</v>
      </c>
      <c r="J1256" s="13">
        <f>IF(I1256&gt;0,H1256/I1256,"")</f>
        <v/>
      </c>
      <c r="K1256" s="4">
        <f>IF(I1256&lt;=0,"NO DEMAND",IF(H1256=0,"STOCKOUT",IF(J1256&lt;Config!$B$5,"CRITICAL",IF(J1256&lt;Config!$B$6,"LOW",IF(J1256&gt;Config!$B$7,"EXCESS","HEALTHY")))))</f>
        <v/>
      </c>
      <c r="L1256" s="11" t="n">
        <v>133</v>
      </c>
      <c r="M1256" s="11" t="n">
        <v>179</v>
      </c>
      <c r="N1256" s="11">
        <f>H1256*L1256</f>
        <v/>
      </c>
      <c r="O1256" s="11">
        <f>IF(I1256&gt;0,I1256*(M1256-L1256),0)</f>
        <v/>
      </c>
      <c r="P1256" s="11" t="n">
        <v>0</v>
      </c>
    </row>
    <row r="1257">
      <c r="A1257" s="4" t="inlineStr">
        <is>
          <t>WH11</t>
        </is>
      </c>
      <c r="B1257" s="4" t="inlineStr">
        <is>
          <t>Guwahati DC</t>
        </is>
      </c>
      <c r="C1257" s="4" t="inlineStr">
        <is>
          <t>East</t>
        </is>
      </c>
      <c r="D1257" s="4" t="inlineStr">
        <is>
          <t>SKU053</t>
        </is>
      </c>
      <c r="E1257" s="4" t="inlineStr">
        <is>
          <t>Sanitary Pads 20pk</t>
        </is>
      </c>
      <c r="F1257" s="4" t="inlineStr">
        <is>
          <t>Personal Care</t>
        </is>
      </c>
      <c r="G1257" s="4" t="inlineStr">
        <is>
          <t>C</t>
        </is>
      </c>
      <c r="H1257" s="11" t="n">
        <v>365</v>
      </c>
      <c r="I1257" s="4" t="n">
        <v>250.75</v>
      </c>
      <c r="J1257" s="13">
        <f>IF(I1257&gt;0,H1257/I1257,"")</f>
        <v/>
      </c>
      <c r="K1257" s="4">
        <f>IF(I1257&lt;=0,"NO DEMAND",IF(H1257=0,"STOCKOUT",IF(J1257&lt;Config!$B$5,"CRITICAL",IF(J1257&lt;Config!$B$6,"LOW",IF(J1257&gt;Config!$B$7,"EXCESS","HEALTHY")))))</f>
        <v/>
      </c>
      <c r="L1257" s="11" t="n">
        <v>31</v>
      </c>
      <c r="M1257" s="11" t="n">
        <v>39</v>
      </c>
      <c r="N1257" s="11">
        <f>H1257*L1257</f>
        <v/>
      </c>
      <c r="O1257" s="11">
        <f>IF(I1257&gt;0,I1257*(M1257-L1257),0)</f>
        <v/>
      </c>
      <c r="P1257" s="11" t="n">
        <v>1368</v>
      </c>
    </row>
    <row r="1258">
      <c r="A1258" s="4" t="inlineStr">
        <is>
          <t>WH11</t>
        </is>
      </c>
      <c r="B1258" s="4" t="inlineStr">
        <is>
          <t>Guwahati DC</t>
        </is>
      </c>
      <c r="C1258" s="4" t="inlineStr">
        <is>
          <t>East</t>
        </is>
      </c>
      <c r="D1258" s="4" t="inlineStr">
        <is>
          <t>SKU054</t>
        </is>
      </c>
      <c r="E1258" s="4" t="inlineStr">
        <is>
          <t>Razor 5pk</t>
        </is>
      </c>
      <c r="F1258" s="4" t="inlineStr">
        <is>
          <t>Personal Care</t>
        </is>
      </c>
      <c r="G1258" s="4" t="inlineStr">
        <is>
          <t>B</t>
        </is>
      </c>
      <c r="H1258" s="11" t="n">
        <v>375</v>
      </c>
      <c r="I1258" s="4" t="n">
        <v>192.5</v>
      </c>
      <c r="J1258" s="13">
        <f>IF(I1258&gt;0,H1258/I1258,"")</f>
        <v/>
      </c>
      <c r="K1258" s="4">
        <f>IF(I1258&lt;=0,"NO DEMAND",IF(H1258=0,"STOCKOUT",IF(J1258&lt;Config!$B$5,"CRITICAL",IF(J1258&lt;Config!$B$6,"LOW",IF(J1258&gt;Config!$B$7,"EXCESS","HEALTHY")))))</f>
        <v/>
      </c>
      <c r="L1258" s="11" t="n">
        <v>106</v>
      </c>
      <c r="M1258" s="11" t="n">
        <v>137</v>
      </c>
      <c r="N1258" s="11">
        <f>H1258*L1258</f>
        <v/>
      </c>
      <c r="O1258" s="11">
        <f>IF(I1258&gt;0,I1258*(M1258-L1258),0)</f>
        <v/>
      </c>
      <c r="P1258" s="11" t="n">
        <v>0</v>
      </c>
    </row>
    <row r="1259">
      <c r="A1259" s="4" t="inlineStr">
        <is>
          <t>WH11</t>
        </is>
      </c>
      <c r="B1259" s="4" t="inlineStr">
        <is>
          <t>Guwahati DC</t>
        </is>
      </c>
      <c r="C1259" s="4" t="inlineStr">
        <is>
          <t>East</t>
        </is>
      </c>
      <c r="D1259" s="4" t="inlineStr">
        <is>
          <t>SKU055</t>
        </is>
      </c>
      <c r="E1259" s="4" t="inlineStr">
        <is>
          <t>Talc 300g</t>
        </is>
      </c>
      <c r="F1259" s="4" t="inlineStr">
        <is>
          <t>Personal Care</t>
        </is>
      </c>
      <c r="G1259" s="4" t="inlineStr">
        <is>
          <t>B</t>
        </is>
      </c>
      <c r="H1259" s="11" t="n">
        <v>0</v>
      </c>
      <c r="I1259" s="4" t="n">
        <v>291.75</v>
      </c>
      <c r="J1259" s="13">
        <f>IF(I1259&gt;0,H1259/I1259,"")</f>
        <v/>
      </c>
      <c r="K1259" s="4">
        <f>IF(I1259&lt;=0,"NO DEMAND",IF(H1259=0,"STOCKOUT",IF(J1259&lt;Config!$B$5,"CRITICAL",IF(J1259&lt;Config!$B$6,"LOW",IF(J1259&gt;Config!$B$7,"EXCESS","HEALTHY")))))</f>
        <v/>
      </c>
      <c r="L1259" s="11" t="n">
        <v>77</v>
      </c>
      <c r="M1259" s="11" t="n">
        <v>100</v>
      </c>
      <c r="N1259" s="11">
        <f>H1259*L1259</f>
        <v/>
      </c>
      <c r="O1259" s="11">
        <f>IF(I1259&gt;0,I1259*(M1259-L1259),0)</f>
        <v/>
      </c>
      <c r="P1259" s="11" t="n">
        <v>1272</v>
      </c>
    </row>
    <row r="1260">
      <c r="A1260" s="4" t="inlineStr">
        <is>
          <t>WH11</t>
        </is>
      </c>
      <c r="B1260" s="4" t="inlineStr">
        <is>
          <t>Guwahati DC</t>
        </is>
      </c>
      <c r="C1260" s="4" t="inlineStr">
        <is>
          <t>East</t>
        </is>
      </c>
      <c r="D1260" s="4" t="inlineStr">
        <is>
          <t>SKU056</t>
        </is>
      </c>
      <c r="E1260" s="4" t="inlineStr">
        <is>
          <t>Sunscreen 50g</t>
        </is>
      </c>
      <c r="F1260" s="4" t="inlineStr">
        <is>
          <t>Personal Care</t>
        </is>
      </c>
      <c r="G1260" s="4" t="inlineStr">
        <is>
          <t>A</t>
        </is>
      </c>
      <c r="H1260" s="11" t="n">
        <v>234</v>
      </c>
      <c r="I1260" s="4" t="n">
        <v>150</v>
      </c>
      <c r="J1260" s="13">
        <f>IF(I1260&gt;0,H1260/I1260,"")</f>
        <v/>
      </c>
      <c r="K1260" s="4">
        <f>IF(I1260&lt;=0,"NO DEMAND",IF(H1260=0,"STOCKOUT",IF(J1260&lt;Config!$B$5,"CRITICAL",IF(J1260&lt;Config!$B$6,"LOW",IF(J1260&gt;Config!$B$7,"EXCESS","HEALTHY")))))</f>
        <v/>
      </c>
      <c r="L1260" s="11" t="n">
        <v>393</v>
      </c>
      <c r="M1260" s="11" t="n">
        <v>510</v>
      </c>
      <c r="N1260" s="11">
        <f>H1260*L1260</f>
        <v/>
      </c>
      <c r="O1260" s="11">
        <f>IF(I1260&gt;0,I1260*(M1260-L1260),0)</f>
        <v/>
      </c>
      <c r="P1260" s="11" t="n">
        <v>0</v>
      </c>
    </row>
    <row r="1261">
      <c r="A1261" s="4" t="inlineStr">
        <is>
          <t>WH11</t>
        </is>
      </c>
      <c r="B1261" s="4" t="inlineStr">
        <is>
          <t>Guwahati DC</t>
        </is>
      </c>
      <c r="C1261" s="4" t="inlineStr">
        <is>
          <t>East</t>
        </is>
      </c>
      <c r="D1261" s="4" t="inlineStr">
        <is>
          <t>SKU057</t>
        </is>
      </c>
      <c r="E1261" s="4" t="inlineStr">
        <is>
          <t>Hand Wash 250ml</t>
        </is>
      </c>
      <c r="F1261" s="4" t="inlineStr">
        <is>
          <t>Personal Care</t>
        </is>
      </c>
      <c r="G1261" s="4" t="inlineStr">
        <is>
          <t>C</t>
        </is>
      </c>
      <c r="H1261" s="11" t="n">
        <v>10</v>
      </c>
      <c r="I1261" s="4" t="n">
        <v>107.25</v>
      </c>
      <c r="J1261" s="13">
        <f>IF(I1261&gt;0,H1261/I1261,"")</f>
        <v/>
      </c>
      <c r="K1261" s="4">
        <f>IF(I1261&lt;=0,"NO DEMAND",IF(H1261=0,"STOCKOUT",IF(J1261&lt;Config!$B$5,"CRITICAL",IF(J1261&lt;Config!$B$6,"LOW",IF(J1261&gt;Config!$B$7,"EXCESS","HEALTHY")))))</f>
        <v/>
      </c>
      <c r="L1261" s="11" t="n">
        <v>108</v>
      </c>
      <c r="M1261" s="11" t="n">
        <v>136</v>
      </c>
      <c r="N1261" s="11">
        <f>H1261*L1261</f>
        <v/>
      </c>
      <c r="O1261" s="11">
        <f>IF(I1261&gt;0,I1261*(M1261-L1261),0)</f>
        <v/>
      </c>
      <c r="P1261" s="11" t="n">
        <v>576</v>
      </c>
    </row>
    <row r="1262">
      <c r="A1262" s="4" t="inlineStr">
        <is>
          <t>WH11</t>
        </is>
      </c>
      <c r="B1262" s="4" t="inlineStr">
        <is>
          <t>Guwahati DC</t>
        </is>
      </c>
      <c r="C1262" s="4" t="inlineStr">
        <is>
          <t>East</t>
        </is>
      </c>
      <c r="D1262" s="4" t="inlineStr">
        <is>
          <t>SKU058</t>
        </is>
      </c>
      <c r="E1262" s="4" t="inlineStr">
        <is>
          <t>Kajal Pack</t>
        </is>
      </c>
      <c r="F1262" s="4" t="inlineStr">
        <is>
          <t>Personal Care</t>
        </is>
      </c>
      <c r="G1262" s="4" t="inlineStr">
        <is>
          <t>A</t>
        </is>
      </c>
      <c r="H1262" s="11" t="n">
        <v>466</v>
      </c>
      <c r="I1262" s="4" t="n">
        <v>134</v>
      </c>
      <c r="J1262" s="13">
        <f>IF(I1262&gt;0,H1262/I1262,"")</f>
        <v/>
      </c>
      <c r="K1262" s="4">
        <f>IF(I1262&lt;=0,"NO DEMAND",IF(H1262=0,"STOCKOUT",IF(J1262&lt;Config!$B$5,"CRITICAL",IF(J1262&lt;Config!$B$6,"LOW",IF(J1262&gt;Config!$B$7,"EXCESS","HEALTHY")))))</f>
        <v/>
      </c>
      <c r="L1262" s="11" t="n">
        <v>392</v>
      </c>
      <c r="M1262" s="11" t="n">
        <v>498</v>
      </c>
      <c r="N1262" s="11">
        <f>H1262*L1262</f>
        <v/>
      </c>
      <c r="O1262" s="11">
        <f>IF(I1262&gt;0,I1262*(M1262-L1262),0)</f>
        <v/>
      </c>
      <c r="P1262" s="11" t="n">
        <v>0</v>
      </c>
    </row>
    <row r="1263">
      <c r="A1263" s="4" t="inlineStr">
        <is>
          <t>WH11</t>
        </is>
      </c>
      <c r="B1263" s="4" t="inlineStr">
        <is>
          <t>Guwahati DC</t>
        </is>
      </c>
      <c r="C1263" s="4" t="inlineStr">
        <is>
          <t>East</t>
        </is>
      </c>
      <c r="D1263" s="4" t="inlineStr">
        <is>
          <t>SKU059</t>
        </is>
      </c>
      <c r="E1263" s="4" t="inlineStr">
        <is>
          <t>Lip Balm</t>
        </is>
      </c>
      <c r="F1263" s="4" t="inlineStr">
        <is>
          <t>Personal Care</t>
        </is>
      </c>
      <c r="G1263" s="4" t="inlineStr">
        <is>
          <t>B</t>
        </is>
      </c>
      <c r="H1263" s="11" t="n">
        <v>790</v>
      </c>
      <c r="I1263" s="4" t="n">
        <v>44.25</v>
      </c>
      <c r="J1263" s="13">
        <f>IF(I1263&gt;0,H1263/I1263,"")</f>
        <v/>
      </c>
      <c r="K1263" s="4">
        <f>IF(I1263&lt;=0,"NO DEMAND",IF(H1263=0,"STOCKOUT",IF(J1263&lt;Config!$B$5,"CRITICAL",IF(J1263&lt;Config!$B$6,"LOW",IF(J1263&gt;Config!$B$7,"EXCESS","HEALTHY")))))</f>
        <v/>
      </c>
      <c r="L1263" s="11" t="n">
        <v>150</v>
      </c>
      <c r="M1263" s="11" t="n">
        <v>198</v>
      </c>
      <c r="N1263" s="11">
        <f>H1263*L1263</f>
        <v/>
      </c>
      <c r="O1263" s="11">
        <f>IF(I1263&gt;0,I1263*(M1263-L1263),0)</f>
        <v/>
      </c>
      <c r="P1263" s="11" t="n">
        <v>0</v>
      </c>
    </row>
    <row r="1264">
      <c r="A1264" s="4" t="inlineStr">
        <is>
          <t>WH11</t>
        </is>
      </c>
      <c r="B1264" s="4" t="inlineStr">
        <is>
          <t>Guwahati DC</t>
        </is>
      </c>
      <c r="C1264" s="4" t="inlineStr">
        <is>
          <t>East</t>
        </is>
      </c>
      <c r="D1264" s="4" t="inlineStr">
        <is>
          <t>SKU060</t>
        </is>
      </c>
      <c r="E1264" s="4" t="inlineStr">
        <is>
          <t>Mouthwash 250ml</t>
        </is>
      </c>
      <c r="F1264" s="4" t="inlineStr">
        <is>
          <t>Personal Care</t>
        </is>
      </c>
      <c r="G1264" s="4" t="inlineStr">
        <is>
          <t>A</t>
        </is>
      </c>
      <c r="H1264" s="11" t="n">
        <v>112</v>
      </c>
      <c r="I1264" s="4" t="n">
        <v>48.25</v>
      </c>
      <c r="J1264" s="13">
        <f>IF(I1264&gt;0,H1264/I1264,"")</f>
        <v/>
      </c>
      <c r="K1264" s="4">
        <f>IF(I1264&lt;=0,"NO DEMAND",IF(H1264=0,"STOCKOUT",IF(J1264&lt;Config!$B$5,"CRITICAL",IF(J1264&lt;Config!$B$6,"LOW",IF(J1264&gt;Config!$B$7,"EXCESS","HEALTHY")))))</f>
        <v/>
      </c>
      <c r="L1264" s="11" t="n">
        <v>376</v>
      </c>
      <c r="M1264" s="11" t="n">
        <v>491</v>
      </c>
      <c r="N1264" s="11">
        <f>H1264*L1264</f>
        <v/>
      </c>
      <c r="O1264" s="11">
        <f>IF(I1264&gt;0,I1264*(M1264-L1264),0)</f>
        <v/>
      </c>
      <c r="P1264" s="11" t="n">
        <v>0</v>
      </c>
    </row>
    <row r="1265">
      <c r="A1265" s="4" t="inlineStr">
        <is>
          <t>WH11</t>
        </is>
      </c>
      <c r="B1265" s="4" t="inlineStr">
        <is>
          <t>Guwahati DC</t>
        </is>
      </c>
      <c r="C1265" s="4" t="inlineStr">
        <is>
          <t>East</t>
        </is>
      </c>
      <c r="D1265" s="4" t="inlineStr">
        <is>
          <t>SKU061</t>
        </is>
      </c>
      <c r="E1265" s="4" t="inlineStr">
        <is>
          <t>Detergent Powder 2kg</t>
        </is>
      </c>
      <c r="F1265" s="4" t="inlineStr">
        <is>
          <t>Home Care</t>
        </is>
      </c>
      <c r="G1265" s="4" t="inlineStr">
        <is>
          <t>B</t>
        </is>
      </c>
      <c r="H1265" s="11" t="n">
        <v>872</v>
      </c>
      <c r="I1265" s="4" t="n">
        <v>150.5</v>
      </c>
      <c r="J1265" s="13">
        <f>IF(I1265&gt;0,H1265/I1265,"")</f>
        <v/>
      </c>
      <c r="K1265" s="4">
        <f>IF(I1265&lt;=0,"NO DEMAND",IF(H1265=0,"STOCKOUT",IF(J1265&lt;Config!$B$5,"CRITICAL",IF(J1265&lt;Config!$B$6,"LOW",IF(J1265&gt;Config!$B$7,"EXCESS","HEALTHY")))))</f>
        <v/>
      </c>
      <c r="L1265" s="11" t="n">
        <v>104</v>
      </c>
      <c r="M1265" s="11" t="n">
        <v>132</v>
      </c>
      <c r="N1265" s="11">
        <f>H1265*L1265</f>
        <v/>
      </c>
      <c r="O1265" s="11">
        <f>IF(I1265&gt;0,I1265*(M1265-L1265),0)</f>
        <v/>
      </c>
      <c r="P1265" s="11" t="n">
        <v>0</v>
      </c>
    </row>
    <row r="1266">
      <c r="A1266" s="4" t="inlineStr">
        <is>
          <t>WH11</t>
        </is>
      </c>
      <c r="B1266" s="4" t="inlineStr">
        <is>
          <t>Guwahati DC</t>
        </is>
      </c>
      <c r="C1266" s="4" t="inlineStr">
        <is>
          <t>East</t>
        </is>
      </c>
      <c r="D1266" s="4" t="inlineStr">
        <is>
          <t>SKU062</t>
        </is>
      </c>
      <c r="E1266" s="4" t="inlineStr">
        <is>
          <t>Dishwash Liquid 750ml</t>
        </is>
      </c>
      <c r="F1266" s="4" t="inlineStr">
        <is>
          <t>Home Care</t>
        </is>
      </c>
      <c r="G1266" s="4" t="inlineStr">
        <is>
          <t>A</t>
        </is>
      </c>
      <c r="H1266" s="11" t="n">
        <v>64</v>
      </c>
      <c r="I1266" s="4" t="n">
        <v>211.75</v>
      </c>
      <c r="J1266" s="13">
        <f>IF(I1266&gt;0,H1266/I1266,"")</f>
        <v/>
      </c>
      <c r="K1266" s="4">
        <f>IF(I1266&lt;=0,"NO DEMAND",IF(H1266=0,"STOCKOUT",IF(J1266&lt;Config!$B$5,"CRITICAL",IF(J1266&lt;Config!$B$6,"LOW",IF(J1266&gt;Config!$B$7,"EXCESS","HEALTHY")))))</f>
        <v/>
      </c>
      <c r="L1266" s="11" t="n">
        <v>122</v>
      </c>
      <c r="M1266" s="11" t="n">
        <v>148</v>
      </c>
      <c r="N1266" s="11">
        <f>H1266*L1266</f>
        <v/>
      </c>
      <c r="O1266" s="11">
        <f>IF(I1266&gt;0,I1266*(M1266-L1266),0)</f>
        <v/>
      </c>
      <c r="P1266" s="11" t="n">
        <v>1248</v>
      </c>
    </row>
    <row r="1267">
      <c r="A1267" s="4" t="inlineStr">
        <is>
          <t>WH11</t>
        </is>
      </c>
      <c r="B1267" s="4" t="inlineStr">
        <is>
          <t>Guwahati DC</t>
        </is>
      </c>
      <c r="C1267" s="4" t="inlineStr">
        <is>
          <t>East</t>
        </is>
      </c>
      <c r="D1267" s="4" t="inlineStr">
        <is>
          <t>SKU063</t>
        </is>
      </c>
      <c r="E1267" s="4" t="inlineStr">
        <is>
          <t>Floor Cleaner 1L</t>
        </is>
      </c>
      <c r="F1267" s="4" t="inlineStr">
        <is>
          <t>Home Care</t>
        </is>
      </c>
      <c r="G1267" s="4" t="inlineStr">
        <is>
          <t>C</t>
        </is>
      </c>
      <c r="H1267" s="11" t="n">
        <v>0</v>
      </c>
      <c r="I1267" s="4" t="n">
        <v>221</v>
      </c>
      <c r="J1267" s="13">
        <f>IF(I1267&gt;0,H1267/I1267,"")</f>
        <v/>
      </c>
      <c r="K1267" s="4">
        <f>IF(I1267&lt;=0,"NO DEMAND",IF(H1267=0,"STOCKOUT",IF(J1267&lt;Config!$B$5,"CRITICAL",IF(J1267&lt;Config!$B$6,"LOW",IF(J1267&gt;Config!$B$7,"EXCESS","HEALTHY")))))</f>
        <v/>
      </c>
      <c r="L1267" s="11" t="n">
        <v>44</v>
      </c>
      <c r="M1267" s="11" t="n">
        <v>56</v>
      </c>
      <c r="N1267" s="11">
        <f>H1267*L1267</f>
        <v/>
      </c>
      <c r="O1267" s="11">
        <f>IF(I1267&gt;0,I1267*(M1267-L1267),0)</f>
        <v/>
      </c>
      <c r="P1267" s="11" t="n">
        <v>1356</v>
      </c>
    </row>
    <row r="1268">
      <c r="A1268" s="4" t="inlineStr">
        <is>
          <t>WH11</t>
        </is>
      </c>
      <c r="B1268" s="4" t="inlineStr">
        <is>
          <t>Guwahati DC</t>
        </is>
      </c>
      <c r="C1268" s="4" t="inlineStr">
        <is>
          <t>East</t>
        </is>
      </c>
      <c r="D1268" s="4" t="inlineStr">
        <is>
          <t>SKU064</t>
        </is>
      </c>
      <c r="E1268" s="4" t="inlineStr">
        <is>
          <t>Toilet Cleaner 500ml</t>
        </is>
      </c>
      <c r="F1268" s="4" t="inlineStr">
        <is>
          <t>Home Care</t>
        </is>
      </c>
      <c r="G1268" s="4" t="inlineStr">
        <is>
          <t>C</t>
        </is>
      </c>
      <c r="H1268" s="11" t="n">
        <v>273</v>
      </c>
      <c r="I1268" s="4" t="n">
        <v>89.25</v>
      </c>
      <c r="J1268" s="13">
        <f>IF(I1268&gt;0,H1268/I1268,"")</f>
        <v/>
      </c>
      <c r="K1268" s="4">
        <f>IF(I1268&lt;=0,"NO DEMAND",IF(H1268=0,"STOCKOUT",IF(J1268&lt;Config!$B$5,"CRITICAL",IF(J1268&lt;Config!$B$6,"LOW",IF(J1268&gt;Config!$B$7,"EXCESS","HEALTHY")))))</f>
        <v/>
      </c>
      <c r="L1268" s="11" t="n">
        <v>102</v>
      </c>
      <c r="M1268" s="11" t="n">
        <v>128</v>
      </c>
      <c r="N1268" s="11">
        <f>H1268*L1268</f>
        <v/>
      </c>
      <c r="O1268" s="11">
        <f>IF(I1268&gt;0,I1268*(M1268-L1268),0)</f>
        <v/>
      </c>
      <c r="P1268" s="11" t="n">
        <v>0</v>
      </c>
    </row>
    <row r="1269">
      <c r="A1269" s="4" t="inlineStr">
        <is>
          <t>WH11</t>
        </is>
      </c>
      <c r="B1269" s="4" t="inlineStr">
        <is>
          <t>Guwahati DC</t>
        </is>
      </c>
      <c r="C1269" s="4" t="inlineStr">
        <is>
          <t>East</t>
        </is>
      </c>
      <c r="D1269" s="4" t="inlineStr">
        <is>
          <t>SKU065</t>
        </is>
      </c>
      <c r="E1269" s="4" t="inlineStr">
        <is>
          <t>Glass Cleaner 500ml</t>
        </is>
      </c>
      <c r="F1269" s="4" t="inlineStr">
        <is>
          <t>Home Care</t>
        </is>
      </c>
      <c r="G1269" s="4" t="inlineStr">
        <is>
          <t>B</t>
        </is>
      </c>
      <c r="H1269" s="11" t="n">
        <v>835</v>
      </c>
      <c r="I1269" s="4" t="n">
        <v>78</v>
      </c>
      <c r="J1269" s="13">
        <f>IF(I1269&gt;0,H1269/I1269,"")</f>
        <v/>
      </c>
      <c r="K1269" s="4">
        <f>IF(I1269&lt;=0,"NO DEMAND",IF(H1269=0,"STOCKOUT",IF(J1269&lt;Config!$B$5,"CRITICAL",IF(J1269&lt;Config!$B$6,"LOW",IF(J1269&gt;Config!$B$7,"EXCESS","HEALTHY")))))</f>
        <v/>
      </c>
      <c r="L1269" s="11" t="n">
        <v>82</v>
      </c>
      <c r="M1269" s="11" t="n">
        <v>102</v>
      </c>
      <c r="N1269" s="11">
        <f>H1269*L1269</f>
        <v/>
      </c>
      <c r="O1269" s="11">
        <f>IF(I1269&gt;0,I1269*(M1269-L1269),0)</f>
        <v/>
      </c>
      <c r="P1269" s="11" t="n">
        <v>0</v>
      </c>
    </row>
    <row r="1270">
      <c r="A1270" s="4" t="inlineStr">
        <is>
          <t>WH11</t>
        </is>
      </c>
      <c r="B1270" s="4" t="inlineStr">
        <is>
          <t>Guwahati DC</t>
        </is>
      </c>
      <c r="C1270" s="4" t="inlineStr">
        <is>
          <t>East</t>
        </is>
      </c>
      <c r="D1270" s="4" t="inlineStr">
        <is>
          <t>SKU066</t>
        </is>
      </c>
      <c r="E1270" s="4" t="inlineStr">
        <is>
          <t>Fabric Softener 1L</t>
        </is>
      </c>
      <c r="F1270" s="4" t="inlineStr">
        <is>
          <t>Home Care</t>
        </is>
      </c>
      <c r="G1270" s="4" t="inlineStr">
        <is>
          <t>B</t>
        </is>
      </c>
      <c r="H1270" s="11" t="n">
        <v>621</v>
      </c>
      <c r="I1270" s="4" t="n">
        <v>156.75</v>
      </c>
      <c r="J1270" s="13">
        <f>IF(I1270&gt;0,H1270/I1270,"")</f>
        <v/>
      </c>
      <c r="K1270" s="4">
        <f>IF(I1270&lt;=0,"NO DEMAND",IF(H1270=0,"STOCKOUT",IF(J1270&lt;Config!$B$5,"CRITICAL",IF(J1270&lt;Config!$B$6,"LOW",IF(J1270&gt;Config!$B$7,"EXCESS","HEALTHY")))))</f>
        <v/>
      </c>
      <c r="L1270" s="11" t="n">
        <v>51</v>
      </c>
      <c r="M1270" s="11" t="n">
        <v>65</v>
      </c>
      <c r="N1270" s="11">
        <f>H1270*L1270</f>
        <v/>
      </c>
      <c r="O1270" s="11">
        <f>IF(I1270&gt;0,I1270*(M1270-L1270),0)</f>
        <v/>
      </c>
      <c r="P1270" s="11" t="n">
        <v>0</v>
      </c>
    </row>
    <row r="1271">
      <c r="A1271" s="4" t="inlineStr">
        <is>
          <t>WH11</t>
        </is>
      </c>
      <c r="B1271" s="4" t="inlineStr">
        <is>
          <t>Guwahati DC</t>
        </is>
      </c>
      <c r="C1271" s="4" t="inlineStr">
        <is>
          <t>East</t>
        </is>
      </c>
      <c r="D1271" s="4" t="inlineStr">
        <is>
          <t>SKU067</t>
        </is>
      </c>
      <c r="E1271" s="4" t="inlineStr">
        <is>
          <t>Mosquito Coil 10pk</t>
        </is>
      </c>
      <c r="F1271" s="4" t="inlineStr">
        <is>
          <t>Home Care</t>
        </is>
      </c>
      <c r="G1271" s="4" t="inlineStr">
        <is>
          <t>A</t>
        </is>
      </c>
      <c r="H1271" s="11" t="n">
        <v>539</v>
      </c>
      <c r="I1271" s="4" t="n">
        <v>133.25</v>
      </c>
      <c r="J1271" s="13">
        <f>IF(I1271&gt;0,H1271/I1271,"")</f>
        <v/>
      </c>
      <c r="K1271" s="4">
        <f>IF(I1271&lt;=0,"NO DEMAND",IF(H1271=0,"STOCKOUT",IF(J1271&lt;Config!$B$5,"CRITICAL",IF(J1271&lt;Config!$B$6,"LOW",IF(J1271&gt;Config!$B$7,"EXCESS","HEALTHY")))))</f>
        <v/>
      </c>
      <c r="L1271" s="11" t="n">
        <v>200</v>
      </c>
      <c r="M1271" s="11" t="n">
        <v>257</v>
      </c>
      <c r="N1271" s="11">
        <f>H1271*L1271</f>
        <v/>
      </c>
      <c r="O1271" s="11">
        <f>IF(I1271&gt;0,I1271*(M1271-L1271),0)</f>
        <v/>
      </c>
      <c r="P1271" s="11" t="n">
        <v>0</v>
      </c>
    </row>
    <row r="1272">
      <c r="A1272" s="4" t="inlineStr">
        <is>
          <t>WH11</t>
        </is>
      </c>
      <c r="B1272" s="4" t="inlineStr">
        <is>
          <t>Guwahati DC</t>
        </is>
      </c>
      <c r="C1272" s="4" t="inlineStr">
        <is>
          <t>East</t>
        </is>
      </c>
      <c r="D1272" s="4" t="inlineStr">
        <is>
          <t>SKU068</t>
        </is>
      </c>
      <c r="E1272" s="4" t="inlineStr">
        <is>
          <t>Air Freshener 250ml</t>
        </is>
      </c>
      <c r="F1272" s="4" t="inlineStr">
        <is>
          <t>Home Care</t>
        </is>
      </c>
      <c r="G1272" s="4" t="inlineStr">
        <is>
          <t>A</t>
        </is>
      </c>
      <c r="H1272" s="11" t="n">
        <v>871</v>
      </c>
      <c r="I1272" s="4" t="n">
        <v>291</v>
      </c>
      <c r="J1272" s="13">
        <f>IF(I1272&gt;0,H1272/I1272,"")</f>
        <v/>
      </c>
      <c r="K1272" s="4">
        <f>IF(I1272&lt;=0,"NO DEMAND",IF(H1272=0,"STOCKOUT",IF(J1272&lt;Config!$B$5,"CRITICAL",IF(J1272&lt;Config!$B$6,"LOW",IF(J1272&gt;Config!$B$7,"EXCESS","HEALTHY")))))</f>
        <v/>
      </c>
      <c r="L1272" s="11" t="n">
        <v>99</v>
      </c>
      <c r="M1272" s="11" t="n">
        <v>123</v>
      </c>
      <c r="N1272" s="11">
        <f>H1272*L1272</f>
        <v/>
      </c>
      <c r="O1272" s="11">
        <f>IF(I1272&gt;0,I1272*(M1272-L1272),0)</f>
        <v/>
      </c>
      <c r="P1272" s="11" t="n">
        <v>0</v>
      </c>
    </row>
    <row r="1273">
      <c r="A1273" s="4" t="inlineStr">
        <is>
          <t>WH11</t>
        </is>
      </c>
      <c r="B1273" s="4" t="inlineStr">
        <is>
          <t>Guwahati DC</t>
        </is>
      </c>
      <c r="C1273" s="4" t="inlineStr">
        <is>
          <t>East</t>
        </is>
      </c>
      <c r="D1273" s="4" t="inlineStr">
        <is>
          <t>SKU069</t>
        </is>
      </c>
      <c r="E1273" s="4" t="inlineStr">
        <is>
          <t>Garbage Bags 30pk</t>
        </is>
      </c>
      <c r="F1273" s="4" t="inlineStr">
        <is>
          <t>Home Care</t>
        </is>
      </c>
      <c r="G1273" s="4" t="inlineStr">
        <is>
          <t>B</t>
        </is>
      </c>
      <c r="H1273" s="11" t="n">
        <v>0</v>
      </c>
      <c r="I1273" s="4" t="n">
        <v>183.25</v>
      </c>
      <c r="J1273" s="13">
        <f>IF(I1273&gt;0,H1273/I1273,"")</f>
        <v/>
      </c>
      <c r="K1273" s="4">
        <f>IF(I1273&lt;=0,"NO DEMAND",IF(H1273=0,"STOCKOUT",IF(J1273&lt;Config!$B$5,"CRITICAL",IF(J1273&lt;Config!$B$6,"LOW",IF(J1273&gt;Config!$B$7,"EXCESS","HEALTHY")))))</f>
        <v/>
      </c>
      <c r="L1273" s="11" t="n">
        <v>202</v>
      </c>
      <c r="M1273" s="11" t="n">
        <v>252</v>
      </c>
      <c r="N1273" s="11">
        <f>H1273*L1273</f>
        <v/>
      </c>
      <c r="O1273" s="11">
        <f>IF(I1273&gt;0,I1273*(M1273-L1273),0)</f>
        <v/>
      </c>
      <c r="P1273" s="11" t="n">
        <v>552</v>
      </c>
    </row>
    <row r="1274">
      <c r="A1274" s="4" t="inlineStr">
        <is>
          <t>WH11</t>
        </is>
      </c>
      <c r="B1274" s="4" t="inlineStr">
        <is>
          <t>Guwahati DC</t>
        </is>
      </c>
      <c r="C1274" s="4" t="inlineStr">
        <is>
          <t>East</t>
        </is>
      </c>
      <c r="D1274" s="4" t="inlineStr">
        <is>
          <t>SKU070</t>
        </is>
      </c>
      <c r="E1274" s="4" t="inlineStr">
        <is>
          <t>Scrub Pad 3pk</t>
        </is>
      </c>
      <c r="F1274" s="4" t="inlineStr">
        <is>
          <t>Home Care</t>
        </is>
      </c>
      <c r="G1274" s="4" t="inlineStr">
        <is>
          <t>A</t>
        </is>
      </c>
      <c r="H1274" s="11" t="n">
        <v>709</v>
      </c>
      <c r="I1274" s="4" t="n">
        <v>206.5</v>
      </c>
      <c r="J1274" s="13">
        <f>IF(I1274&gt;0,H1274/I1274,"")</f>
        <v/>
      </c>
      <c r="K1274" s="4">
        <f>IF(I1274&lt;=0,"NO DEMAND",IF(H1274=0,"STOCKOUT",IF(J1274&lt;Config!$B$5,"CRITICAL",IF(J1274&lt;Config!$B$6,"LOW",IF(J1274&gt;Config!$B$7,"EXCESS","HEALTHY")))))</f>
        <v/>
      </c>
      <c r="L1274" s="11" t="n">
        <v>121</v>
      </c>
      <c r="M1274" s="11" t="n">
        <v>153</v>
      </c>
      <c r="N1274" s="11">
        <f>H1274*L1274</f>
        <v/>
      </c>
      <c r="O1274" s="11">
        <f>IF(I1274&gt;0,I1274*(M1274-L1274),0)</f>
        <v/>
      </c>
      <c r="P1274" s="11" t="n">
        <v>0</v>
      </c>
    </row>
    <row r="1275">
      <c r="A1275" s="4" t="inlineStr">
        <is>
          <t>WH11</t>
        </is>
      </c>
      <c r="B1275" s="4" t="inlineStr">
        <is>
          <t>Guwahati DC</t>
        </is>
      </c>
      <c r="C1275" s="4" t="inlineStr">
        <is>
          <t>East</t>
        </is>
      </c>
      <c r="D1275" s="4" t="inlineStr">
        <is>
          <t>SKU071</t>
        </is>
      </c>
      <c r="E1275" s="4" t="inlineStr">
        <is>
          <t>Bleach 500ml</t>
        </is>
      </c>
      <c r="F1275" s="4" t="inlineStr">
        <is>
          <t>Home Care</t>
        </is>
      </c>
      <c r="G1275" s="4" t="inlineStr">
        <is>
          <t>C</t>
        </is>
      </c>
      <c r="H1275" s="11" t="n">
        <v>0</v>
      </c>
      <c r="I1275" s="4" t="n">
        <v>184</v>
      </c>
      <c r="J1275" s="13">
        <f>IF(I1275&gt;0,H1275/I1275,"")</f>
        <v/>
      </c>
      <c r="K1275" s="4">
        <f>IF(I1275&lt;=0,"NO DEMAND",IF(H1275=0,"STOCKOUT",IF(J1275&lt;Config!$B$5,"CRITICAL",IF(J1275&lt;Config!$B$6,"LOW",IF(J1275&gt;Config!$B$7,"EXCESS","HEALTHY")))))</f>
        <v/>
      </c>
      <c r="L1275" s="11" t="n">
        <v>41</v>
      </c>
      <c r="M1275" s="11" t="n">
        <v>51</v>
      </c>
      <c r="N1275" s="11">
        <f>H1275*L1275</f>
        <v/>
      </c>
      <c r="O1275" s="11">
        <f>IF(I1275&gt;0,I1275*(M1275-L1275),0)</f>
        <v/>
      </c>
      <c r="P1275" s="11" t="n">
        <v>624</v>
      </c>
    </row>
    <row r="1276">
      <c r="A1276" s="4" t="inlineStr">
        <is>
          <t>WH11</t>
        </is>
      </c>
      <c r="B1276" s="4" t="inlineStr">
        <is>
          <t>Guwahati DC</t>
        </is>
      </c>
      <c r="C1276" s="4" t="inlineStr">
        <is>
          <t>East</t>
        </is>
      </c>
      <c r="D1276" s="4" t="inlineStr">
        <is>
          <t>SKU072</t>
        </is>
      </c>
      <c r="E1276" s="4" t="inlineStr">
        <is>
          <t>Phenyl 1L</t>
        </is>
      </c>
      <c r="F1276" s="4" t="inlineStr">
        <is>
          <t>Home Care</t>
        </is>
      </c>
      <c r="G1276" s="4" t="inlineStr">
        <is>
          <t>B</t>
        </is>
      </c>
      <c r="H1276" s="11" t="n">
        <v>93</v>
      </c>
      <c r="I1276" s="4" t="n">
        <v>129</v>
      </c>
      <c r="J1276" s="13">
        <f>IF(I1276&gt;0,H1276/I1276,"")</f>
        <v/>
      </c>
      <c r="K1276" s="4">
        <f>IF(I1276&lt;=0,"NO DEMAND",IF(H1276=0,"STOCKOUT",IF(J1276&lt;Config!$B$5,"CRITICAL",IF(J1276&lt;Config!$B$6,"LOW",IF(J1276&gt;Config!$B$7,"EXCESS","HEALTHY")))))</f>
        <v/>
      </c>
      <c r="L1276" s="11" t="n">
        <v>137</v>
      </c>
      <c r="M1276" s="11" t="n">
        <v>170</v>
      </c>
      <c r="N1276" s="11">
        <f>H1276*L1276</f>
        <v/>
      </c>
      <c r="O1276" s="11">
        <f>IF(I1276&gt;0,I1276*(M1276-L1276),0)</f>
        <v/>
      </c>
      <c r="P1276" s="11" t="n">
        <v>0</v>
      </c>
    </row>
    <row r="1277">
      <c r="A1277" s="4" t="inlineStr">
        <is>
          <t>WH11</t>
        </is>
      </c>
      <c r="B1277" s="4" t="inlineStr">
        <is>
          <t>Guwahati DC</t>
        </is>
      </c>
      <c r="C1277" s="4" t="inlineStr">
        <is>
          <t>East</t>
        </is>
      </c>
      <c r="D1277" s="4" t="inlineStr">
        <is>
          <t>SKU073</t>
        </is>
      </c>
      <c r="E1277" s="4" t="inlineStr">
        <is>
          <t>Agarbatti 100pk</t>
        </is>
      </c>
      <c r="F1277" s="4" t="inlineStr">
        <is>
          <t>Home Care</t>
        </is>
      </c>
      <c r="G1277" s="4" t="inlineStr">
        <is>
          <t>C</t>
        </is>
      </c>
      <c r="H1277" s="11" t="n">
        <v>269</v>
      </c>
      <c r="I1277" s="4" t="n">
        <v>160.75</v>
      </c>
      <c r="J1277" s="13">
        <f>IF(I1277&gt;0,H1277/I1277,"")</f>
        <v/>
      </c>
      <c r="K1277" s="4">
        <f>IF(I1277&lt;=0,"NO DEMAND",IF(H1277=0,"STOCKOUT",IF(J1277&lt;Config!$B$5,"CRITICAL",IF(J1277&lt;Config!$B$6,"LOW",IF(J1277&gt;Config!$B$7,"EXCESS","HEALTHY")))))</f>
        <v/>
      </c>
      <c r="L1277" s="11" t="n">
        <v>59</v>
      </c>
      <c r="M1277" s="11" t="n">
        <v>75</v>
      </c>
      <c r="N1277" s="11">
        <f>H1277*L1277</f>
        <v/>
      </c>
      <c r="O1277" s="11">
        <f>IF(I1277&gt;0,I1277*(M1277-L1277),0)</f>
        <v/>
      </c>
      <c r="P1277" s="11" t="n">
        <v>0</v>
      </c>
    </row>
    <row r="1278">
      <c r="A1278" s="4" t="inlineStr">
        <is>
          <t>WH11</t>
        </is>
      </c>
      <c r="B1278" s="4" t="inlineStr">
        <is>
          <t>Guwahati DC</t>
        </is>
      </c>
      <c r="C1278" s="4" t="inlineStr">
        <is>
          <t>East</t>
        </is>
      </c>
      <c r="D1278" s="4" t="inlineStr">
        <is>
          <t>SKU074</t>
        </is>
      </c>
      <c r="E1278" s="4" t="inlineStr">
        <is>
          <t>Matchbox 10pk</t>
        </is>
      </c>
      <c r="F1278" s="4" t="inlineStr">
        <is>
          <t>Home Care</t>
        </is>
      </c>
      <c r="G1278" s="4" t="inlineStr">
        <is>
          <t>A</t>
        </is>
      </c>
      <c r="H1278" s="11" t="n">
        <v>409</v>
      </c>
      <c r="I1278" s="4" t="n">
        <v>223.25</v>
      </c>
      <c r="J1278" s="13">
        <f>IF(I1278&gt;0,H1278/I1278,"")</f>
        <v/>
      </c>
      <c r="K1278" s="4">
        <f>IF(I1278&lt;=0,"NO DEMAND",IF(H1278=0,"STOCKOUT",IF(J1278&lt;Config!$B$5,"CRITICAL",IF(J1278&lt;Config!$B$6,"LOW",IF(J1278&gt;Config!$B$7,"EXCESS","HEALTHY")))))</f>
        <v/>
      </c>
      <c r="L1278" s="11" t="n">
        <v>257</v>
      </c>
      <c r="M1278" s="11" t="n">
        <v>315</v>
      </c>
      <c r="N1278" s="11">
        <f>H1278*L1278</f>
        <v/>
      </c>
      <c r="O1278" s="11">
        <f>IF(I1278&gt;0,I1278*(M1278-L1278),0)</f>
        <v/>
      </c>
      <c r="P1278" s="11" t="n">
        <v>0</v>
      </c>
    </row>
    <row r="1279">
      <c r="A1279" s="4" t="inlineStr">
        <is>
          <t>WH11</t>
        </is>
      </c>
      <c r="B1279" s="4" t="inlineStr">
        <is>
          <t>Guwahati DC</t>
        </is>
      </c>
      <c r="C1279" s="4" t="inlineStr">
        <is>
          <t>East</t>
        </is>
      </c>
      <c r="D1279" s="4" t="inlineStr">
        <is>
          <t>SKU075</t>
        </is>
      </c>
      <c r="E1279" s="4" t="inlineStr">
        <is>
          <t>Naphthalene Balls 200g</t>
        </is>
      </c>
      <c r="F1279" s="4" t="inlineStr">
        <is>
          <t>Home Care</t>
        </is>
      </c>
      <c r="G1279" s="4" t="inlineStr">
        <is>
          <t>C</t>
        </is>
      </c>
      <c r="H1279" s="11" t="n">
        <v>494</v>
      </c>
      <c r="I1279" s="4" t="n">
        <v>231</v>
      </c>
      <c r="J1279" s="13">
        <f>IF(I1279&gt;0,H1279/I1279,"")</f>
        <v/>
      </c>
      <c r="K1279" s="4">
        <f>IF(I1279&lt;=0,"NO DEMAND",IF(H1279=0,"STOCKOUT",IF(J1279&lt;Config!$B$5,"CRITICAL",IF(J1279&lt;Config!$B$6,"LOW",IF(J1279&gt;Config!$B$7,"EXCESS","HEALTHY")))))</f>
        <v/>
      </c>
      <c r="L1279" s="11" t="n">
        <v>49</v>
      </c>
      <c r="M1279" s="11" t="n">
        <v>60</v>
      </c>
      <c r="N1279" s="11">
        <f>H1279*L1279</f>
        <v/>
      </c>
      <c r="O1279" s="11">
        <f>IF(I1279&gt;0,I1279*(M1279-L1279),0)</f>
        <v/>
      </c>
      <c r="P1279" s="11" t="n">
        <v>0</v>
      </c>
    </row>
    <row r="1280">
      <c r="A1280" s="4" t="inlineStr">
        <is>
          <t>WH11</t>
        </is>
      </c>
      <c r="B1280" s="4" t="inlineStr">
        <is>
          <t>Guwahati DC</t>
        </is>
      </c>
      <c r="C1280" s="4" t="inlineStr">
        <is>
          <t>East</t>
        </is>
      </c>
      <c r="D1280" s="4" t="inlineStr">
        <is>
          <t>SKU076</t>
        </is>
      </c>
      <c r="E1280" s="4" t="inlineStr">
        <is>
          <t>USB-C Cable 1m</t>
        </is>
      </c>
      <c r="F1280" s="4" t="inlineStr">
        <is>
          <t>Electronics Accessories</t>
        </is>
      </c>
      <c r="G1280" s="4" t="inlineStr">
        <is>
          <t>A</t>
        </is>
      </c>
      <c r="H1280" s="11" t="n">
        <v>84</v>
      </c>
      <c r="I1280" s="4" t="n">
        <v>21</v>
      </c>
      <c r="J1280" s="13">
        <f>IF(I1280&gt;0,H1280/I1280,"")</f>
        <v/>
      </c>
      <c r="K1280" s="4">
        <f>IF(I1280&lt;=0,"NO DEMAND",IF(H1280=0,"STOCKOUT",IF(J1280&lt;Config!$B$5,"CRITICAL",IF(J1280&lt;Config!$B$6,"LOW",IF(J1280&gt;Config!$B$7,"EXCESS","HEALTHY")))))</f>
        <v/>
      </c>
      <c r="L1280" s="11" t="n">
        <v>441</v>
      </c>
      <c r="M1280" s="11" t="n">
        <v>572</v>
      </c>
      <c r="N1280" s="11">
        <f>H1280*L1280</f>
        <v/>
      </c>
      <c r="O1280" s="11">
        <f>IF(I1280&gt;0,I1280*(M1280-L1280),0)</f>
        <v/>
      </c>
      <c r="P1280" s="11" t="n">
        <v>0</v>
      </c>
    </row>
    <row r="1281">
      <c r="A1281" s="4" t="inlineStr">
        <is>
          <t>WH11</t>
        </is>
      </c>
      <c r="B1281" s="4" t="inlineStr">
        <is>
          <t>Guwahati DC</t>
        </is>
      </c>
      <c r="C1281" s="4" t="inlineStr">
        <is>
          <t>East</t>
        </is>
      </c>
      <c r="D1281" s="4" t="inlineStr">
        <is>
          <t>SKU077</t>
        </is>
      </c>
      <c r="E1281" s="4" t="inlineStr">
        <is>
          <t>Fast Charger 25W</t>
        </is>
      </c>
      <c r="F1281" s="4" t="inlineStr">
        <is>
          <t>Electronics Accessories</t>
        </is>
      </c>
      <c r="G1281" s="4" t="inlineStr">
        <is>
          <t>B</t>
        </is>
      </c>
      <c r="H1281" s="11" t="n">
        <v>0</v>
      </c>
      <c r="I1281" s="4" t="n">
        <v>23</v>
      </c>
      <c r="J1281" s="13">
        <f>IF(I1281&gt;0,H1281/I1281,"")</f>
        <v/>
      </c>
      <c r="K1281" s="4">
        <f>IF(I1281&lt;=0,"NO DEMAND",IF(H1281=0,"STOCKOUT",IF(J1281&lt;Config!$B$5,"CRITICAL",IF(J1281&lt;Config!$B$6,"LOW",IF(J1281&gt;Config!$B$7,"EXCESS","HEALTHY")))))</f>
        <v/>
      </c>
      <c r="L1281" s="11" t="n">
        <v>364</v>
      </c>
      <c r="M1281" s="11" t="n">
        <v>465</v>
      </c>
      <c r="N1281" s="11">
        <f>H1281*L1281</f>
        <v/>
      </c>
      <c r="O1281" s="11">
        <f>IF(I1281&gt;0,I1281*(M1281-L1281),0)</f>
        <v/>
      </c>
      <c r="P1281" s="11" t="n">
        <v>450</v>
      </c>
    </row>
    <row r="1282">
      <c r="A1282" s="4" t="inlineStr">
        <is>
          <t>WH11</t>
        </is>
      </c>
      <c r="B1282" s="4" t="inlineStr">
        <is>
          <t>Guwahati DC</t>
        </is>
      </c>
      <c r="C1282" s="4" t="inlineStr">
        <is>
          <t>East</t>
        </is>
      </c>
      <c r="D1282" s="4" t="inlineStr">
        <is>
          <t>SKU078</t>
        </is>
      </c>
      <c r="E1282" s="4" t="inlineStr">
        <is>
          <t>Power Bank 10000mAh</t>
        </is>
      </c>
      <c r="F1282" s="4" t="inlineStr">
        <is>
          <t>Electronics Accessories</t>
        </is>
      </c>
      <c r="G1282" s="4" t="inlineStr">
        <is>
          <t>B</t>
        </is>
      </c>
      <c r="H1282" s="11" t="n">
        <v>0</v>
      </c>
      <c r="I1282" s="4" t="n">
        <v>55.25</v>
      </c>
      <c r="J1282" s="13">
        <f>IF(I1282&gt;0,H1282/I1282,"")</f>
        <v/>
      </c>
      <c r="K1282" s="4">
        <f>IF(I1282&lt;=0,"NO DEMAND",IF(H1282=0,"STOCKOUT",IF(J1282&lt;Config!$B$5,"CRITICAL",IF(J1282&lt;Config!$B$6,"LOW",IF(J1282&gt;Config!$B$7,"EXCESS","HEALTHY")))))</f>
        <v/>
      </c>
      <c r="L1282" s="11" t="n">
        <v>359</v>
      </c>
      <c r="M1282" s="11" t="n">
        <v>471</v>
      </c>
      <c r="N1282" s="11">
        <f>H1282*L1282</f>
        <v/>
      </c>
      <c r="O1282" s="11">
        <f>IF(I1282&gt;0,I1282*(M1282-L1282),0)</f>
        <v/>
      </c>
      <c r="P1282" s="11" t="n">
        <v>270</v>
      </c>
    </row>
    <row r="1283">
      <c r="A1283" s="4" t="inlineStr">
        <is>
          <t>WH11</t>
        </is>
      </c>
      <c r="B1283" s="4" t="inlineStr">
        <is>
          <t>Guwahati DC</t>
        </is>
      </c>
      <c r="C1283" s="4" t="inlineStr">
        <is>
          <t>East</t>
        </is>
      </c>
      <c r="D1283" s="4" t="inlineStr">
        <is>
          <t>SKU079</t>
        </is>
      </c>
      <c r="E1283" s="4" t="inlineStr">
        <is>
          <t>Wired Earphones</t>
        </is>
      </c>
      <c r="F1283" s="4" t="inlineStr">
        <is>
          <t>Electronics Accessories</t>
        </is>
      </c>
      <c r="G1283" s="4" t="inlineStr">
        <is>
          <t>A</t>
        </is>
      </c>
      <c r="H1283" s="11" t="n">
        <v>0</v>
      </c>
      <c r="I1283" s="4" t="n">
        <v>124.75</v>
      </c>
      <c r="J1283" s="13">
        <f>IF(I1283&gt;0,H1283/I1283,"")</f>
        <v/>
      </c>
      <c r="K1283" s="4">
        <f>IF(I1283&lt;=0,"NO DEMAND",IF(H1283=0,"STOCKOUT",IF(J1283&lt;Config!$B$5,"CRITICAL",IF(J1283&lt;Config!$B$6,"LOW",IF(J1283&gt;Config!$B$7,"EXCESS","HEALTHY")))))</f>
        <v/>
      </c>
      <c r="L1283" s="11" t="n">
        <v>1110</v>
      </c>
      <c r="M1283" s="11" t="n">
        <v>1412</v>
      </c>
      <c r="N1283" s="11">
        <f>H1283*L1283</f>
        <v/>
      </c>
      <c r="O1283" s="11">
        <f>IF(I1283&gt;0,I1283*(M1283-L1283),0)</f>
        <v/>
      </c>
      <c r="P1283" s="11" t="n">
        <v>420</v>
      </c>
    </row>
    <row r="1284">
      <c r="A1284" s="4" t="inlineStr">
        <is>
          <t>WH11</t>
        </is>
      </c>
      <c r="B1284" s="4" t="inlineStr">
        <is>
          <t>Guwahati DC</t>
        </is>
      </c>
      <c r="C1284" s="4" t="inlineStr">
        <is>
          <t>East</t>
        </is>
      </c>
      <c r="D1284" s="4" t="inlineStr">
        <is>
          <t>SKU080</t>
        </is>
      </c>
      <c r="E1284" s="4" t="inlineStr">
        <is>
          <t>TWS Earbuds</t>
        </is>
      </c>
      <c r="F1284" s="4" t="inlineStr">
        <is>
          <t>Electronics Accessories</t>
        </is>
      </c>
      <c r="G1284" s="4" t="inlineStr">
        <is>
          <t>A</t>
        </is>
      </c>
      <c r="H1284" s="11" t="n">
        <v>595</v>
      </c>
      <c r="I1284" s="4" t="n">
        <v>112.5</v>
      </c>
      <c r="J1284" s="13">
        <f>IF(I1284&gt;0,H1284/I1284,"")</f>
        <v/>
      </c>
      <c r="K1284" s="4">
        <f>IF(I1284&lt;=0,"NO DEMAND",IF(H1284=0,"STOCKOUT",IF(J1284&lt;Config!$B$5,"CRITICAL",IF(J1284&lt;Config!$B$6,"LOW",IF(J1284&gt;Config!$B$7,"EXCESS","HEALTHY")))))</f>
        <v/>
      </c>
      <c r="L1284" s="11" t="n">
        <v>2238</v>
      </c>
      <c r="M1284" s="11" t="n">
        <v>2947</v>
      </c>
      <c r="N1284" s="11">
        <f>H1284*L1284</f>
        <v/>
      </c>
      <c r="O1284" s="11">
        <f>IF(I1284&gt;0,I1284*(M1284-L1284),0)</f>
        <v/>
      </c>
      <c r="P1284" s="11" t="n">
        <v>0</v>
      </c>
    </row>
    <row r="1285">
      <c r="A1285" s="4" t="inlineStr">
        <is>
          <t>WH11</t>
        </is>
      </c>
      <c r="B1285" s="4" t="inlineStr">
        <is>
          <t>Guwahati DC</t>
        </is>
      </c>
      <c r="C1285" s="4" t="inlineStr">
        <is>
          <t>East</t>
        </is>
      </c>
      <c r="D1285" s="4" t="inlineStr">
        <is>
          <t>SKU081</t>
        </is>
      </c>
      <c r="E1285" s="4" t="inlineStr">
        <is>
          <t>Bluetooth Speaker</t>
        </is>
      </c>
      <c r="F1285" s="4" t="inlineStr">
        <is>
          <t>Electronics Accessories</t>
        </is>
      </c>
      <c r="G1285" s="4" t="inlineStr">
        <is>
          <t>B</t>
        </is>
      </c>
      <c r="H1285" s="11" t="n">
        <v>122</v>
      </c>
      <c r="I1285" s="4" t="n">
        <v>67</v>
      </c>
      <c r="J1285" s="13">
        <f>IF(I1285&gt;0,H1285/I1285,"")</f>
        <v/>
      </c>
      <c r="K1285" s="4">
        <f>IF(I1285&lt;=0,"NO DEMAND",IF(H1285=0,"STOCKOUT",IF(J1285&lt;Config!$B$5,"CRITICAL",IF(J1285&lt;Config!$B$6,"LOW",IF(J1285&gt;Config!$B$7,"EXCESS","HEALTHY")))))</f>
        <v/>
      </c>
      <c r="L1285" s="11" t="n">
        <v>227</v>
      </c>
      <c r="M1285" s="11" t="n">
        <v>293</v>
      </c>
      <c r="N1285" s="11">
        <f>H1285*L1285</f>
        <v/>
      </c>
      <c r="O1285" s="11">
        <f>IF(I1285&gt;0,I1285*(M1285-L1285),0)</f>
        <v/>
      </c>
      <c r="P1285" s="11" t="n">
        <v>390</v>
      </c>
    </row>
    <row r="1286">
      <c r="A1286" s="4" t="inlineStr">
        <is>
          <t>WH11</t>
        </is>
      </c>
      <c r="B1286" s="4" t="inlineStr">
        <is>
          <t>Guwahati DC</t>
        </is>
      </c>
      <c r="C1286" s="4" t="inlineStr">
        <is>
          <t>East</t>
        </is>
      </c>
      <c r="D1286" s="4" t="inlineStr">
        <is>
          <t>SKU082</t>
        </is>
      </c>
      <c r="E1286" s="4" t="inlineStr">
        <is>
          <t>Phone Case</t>
        </is>
      </c>
      <c r="F1286" s="4" t="inlineStr">
        <is>
          <t>Electronics Accessories</t>
        </is>
      </c>
      <c r="G1286" s="4" t="inlineStr">
        <is>
          <t>B</t>
        </is>
      </c>
      <c r="H1286" s="11" t="n">
        <v>101</v>
      </c>
      <c r="I1286" s="4" t="n">
        <v>56.5</v>
      </c>
      <c r="J1286" s="13">
        <f>IF(I1286&gt;0,H1286/I1286,"")</f>
        <v/>
      </c>
      <c r="K1286" s="4">
        <f>IF(I1286&lt;=0,"NO DEMAND",IF(H1286=0,"STOCKOUT",IF(J1286&lt;Config!$B$5,"CRITICAL",IF(J1286&lt;Config!$B$6,"LOW",IF(J1286&gt;Config!$B$7,"EXCESS","HEALTHY")))))</f>
        <v/>
      </c>
      <c r="L1286" s="11" t="n">
        <v>665</v>
      </c>
      <c r="M1286" s="11" t="n">
        <v>835</v>
      </c>
      <c r="N1286" s="11">
        <f>H1286*L1286</f>
        <v/>
      </c>
      <c r="O1286" s="11">
        <f>IF(I1286&gt;0,I1286*(M1286-L1286),0)</f>
        <v/>
      </c>
      <c r="P1286" s="11" t="n">
        <v>180</v>
      </c>
    </row>
    <row r="1287">
      <c r="A1287" s="4" t="inlineStr">
        <is>
          <t>WH11</t>
        </is>
      </c>
      <c r="B1287" s="4" t="inlineStr">
        <is>
          <t>Guwahati DC</t>
        </is>
      </c>
      <c r="C1287" s="4" t="inlineStr">
        <is>
          <t>East</t>
        </is>
      </c>
      <c r="D1287" s="4" t="inlineStr">
        <is>
          <t>SKU083</t>
        </is>
      </c>
      <c r="E1287" s="4" t="inlineStr">
        <is>
          <t>Screen Guard</t>
        </is>
      </c>
      <c r="F1287" s="4" t="inlineStr">
        <is>
          <t>Electronics Accessories</t>
        </is>
      </c>
      <c r="G1287" s="4" t="inlineStr">
        <is>
          <t>C</t>
        </is>
      </c>
      <c r="H1287" s="11" t="n">
        <v>36</v>
      </c>
      <c r="I1287" s="4" t="n">
        <v>32.75</v>
      </c>
      <c r="J1287" s="13">
        <f>IF(I1287&gt;0,H1287/I1287,"")</f>
        <v/>
      </c>
      <c r="K1287" s="4">
        <f>IF(I1287&lt;=0,"NO DEMAND",IF(H1287=0,"STOCKOUT",IF(J1287&lt;Config!$B$5,"CRITICAL",IF(J1287&lt;Config!$B$6,"LOW",IF(J1287&gt;Config!$B$7,"EXCESS","HEALTHY")))))</f>
        <v/>
      </c>
      <c r="L1287" s="11" t="n">
        <v>229</v>
      </c>
      <c r="M1287" s="11" t="n">
        <v>298</v>
      </c>
      <c r="N1287" s="11">
        <f>H1287*L1287</f>
        <v/>
      </c>
      <c r="O1287" s="11">
        <f>IF(I1287&gt;0,I1287*(M1287-L1287),0)</f>
        <v/>
      </c>
      <c r="P1287" s="11" t="n">
        <v>150</v>
      </c>
    </row>
    <row r="1288">
      <c r="A1288" s="4" t="inlineStr">
        <is>
          <t>WH11</t>
        </is>
      </c>
      <c r="B1288" s="4" t="inlineStr">
        <is>
          <t>Guwahati DC</t>
        </is>
      </c>
      <c r="C1288" s="4" t="inlineStr">
        <is>
          <t>East</t>
        </is>
      </c>
      <c r="D1288" s="4" t="inlineStr">
        <is>
          <t>SKU084</t>
        </is>
      </c>
      <c r="E1288" s="4" t="inlineStr">
        <is>
          <t>LED Bulb 9W</t>
        </is>
      </c>
      <c r="F1288" s="4" t="inlineStr">
        <is>
          <t>Electronics Accessories</t>
        </is>
      </c>
      <c r="G1288" s="4" t="inlineStr">
        <is>
          <t>C</t>
        </is>
      </c>
      <c r="H1288" s="11" t="n">
        <v>0</v>
      </c>
      <c r="I1288" s="4" t="n">
        <v>57.75</v>
      </c>
      <c r="J1288" s="13">
        <f>IF(I1288&gt;0,H1288/I1288,"")</f>
        <v/>
      </c>
      <c r="K1288" s="4">
        <f>IF(I1288&lt;=0,"NO DEMAND",IF(H1288=0,"STOCKOUT",IF(J1288&lt;Config!$B$5,"CRITICAL",IF(J1288&lt;Config!$B$6,"LOW",IF(J1288&gt;Config!$B$7,"EXCESS","HEALTHY")))))</f>
        <v/>
      </c>
      <c r="L1288" s="11" t="n">
        <v>160</v>
      </c>
      <c r="M1288" s="11" t="n">
        <v>207</v>
      </c>
      <c r="N1288" s="11">
        <f>H1288*L1288</f>
        <v/>
      </c>
      <c r="O1288" s="11">
        <f>IF(I1288&gt;0,I1288*(M1288-L1288),0)</f>
        <v/>
      </c>
      <c r="P1288" s="11" t="n">
        <v>230</v>
      </c>
    </row>
    <row r="1289">
      <c r="A1289" s="4" t="inlineStr">
        <is>
          <t>WH11</t>
        </is>
      </c>
      <c r="B1289" s="4" t="inlineStr">
        <is>
          <t>Guwahati DC</t>
        </is>
      </c>
      <c r="C1289" s="4" t="inlineStr">
        <is>
          <t>East</t>
        </is>
      </c>
      <c r="D1289" s="4" t="inlineStr">
        <is>
          <t>SKU085</t>
        </is>
      </c>
      <c r="E1289" s="4" t="inlineStr">
        <is>
          <t>Extension Board 4-socket</t>
        </is>
      </c>
      <c r="F1289" s="4" t="inlineStr">
        <is>
          <t>Electronics Accessories</t>
        </is>
      </c>
      <c r="G1289" s="4" t="inlineStr">
        <is>
          <t>B</t>
        </is>
      </c>
      <c r="H1289" s="11" t="n">
        <v>0</v>
      </c>
      <c r="I1289" s="4" t="n">
        <v>69</v>
      </c>
      <c r="J1289" s="13">
        <f>IF(I1289&gt;0,H1289/I1289,"")</f>
        <v/>
      </c>
      <c r="K1289" s="4">
        <f>IF(I1289&lt;=0,"NO DEMAND",IF(H1289=0,"STOCKOUT",IF(J1289&lt;Config!$B$5,"CRITICAL",IF(J1289&lt;Config!$B$6,"LOW",IF(J1289&gt;Config!$B$7,"EXCESS","HEALTHY")))))</f>
        <v/>
      </c>
      <c r="L1289" s="11" t="n">
        <v>336</v>
      </c>
      <c r="M1289" s="11" t="n">
        <v>431</v>
      </c>
      <c r="N1289" s="11">
        <f>H1289*L1289</f>
        <v/>
      </c>
      <c r="O1289" s="11">
        <f>IF(I1289&gt;0,I1289*(M1289-L1289),0)</f>
        <v/>
      </c>
      <c r="P1289" s="11" t="n">
        <v>360</v>
      </c>
    </row>
    <row r="1290">
      <c r="A1290" s="4" t="inlineStr">
        <is>
          <t>WH11</t>
        </is>
      </c>
      <c r="B1290" s="4" t="inlineStr">
        <is>
          <t>Guwahati DC</t>
        </is>
      </c>
      <c r="C1290" s="4" t="inlineStr">
        <is>
          <t>East</t>
        </is>
      </c>
      <c r="D1290" s="4" t="inlineStr">
        <is>
          <t>SKU086</t>
        </is>
      </c>
      <c r="E1290" s="4" t="inlineStr">
        <is>
          <t>AA Batteries 10pk</t>
        </is>
      </c>
      <c r="F1290" s="4" t="inlineStr">
        <is>
          <t>Electronics Accessories</t>
        </is>
      </c>
      <c r="G1290" s="4" t="inlineStr">
        <is>
          <t>A</t>
        </is>
      </c>
      <c r="H1290" s="11" t="n">
        <v>345</v>
      </c>
      <c r="I1290" s="4" t="n">
        <v>83.75</v>
      </c>
      <c r="J1290" s="13">
        <f>IF(I1290&gt;0,H1290/I1290,"")</f>
        <v/>
      </c>
      <c r="K1290" s="4">
        <f>IF(I1290&lt;=0,"NO DEMAND",IF(H1290=0,"STOCKOUT",IF(J1290&lt;Config!$B$5,"CRITICAL",IF(J1290&lt;Config!$B$6,"LOW",IF(J1290&gt;Config!$B$7,"EXCESS","HEALTHY")))))</f>
        <v/>
      </c>
      <c r="L1290" s="11" t="n">
        <v>1335</v>
      </c>
      <c r="M1290" s="11" t="n">
        <v>1740</v>
      </c>
      <c r="N1290" s="11">
        <f>H1290*L1290</f>
        <v/>
      </c>
      <c r="O1290" s="11">
        <f>IF(I1290&gt;0,I1290*(M1290-L1290),0)</f>
        <v/>
      </c>
      <c r="P1290" s="11" t="n">
        <v>0</v>
      </c>
    </row>
    <row r="1291">
      <c r="A1291" s="4" t="inlineStr">
        <is>
          <t>WH11</t>
        </is>
      </c>
      <c r="B1291" s="4" t="inlineStr">
        <is>
          <t>Guwahati DC</t>
        </is>
      </c>
      <c r="C1291" s="4" t="inlineStr">
        <is>
          <t>East</t>
        </is>
      </c>
      <c r="D1291" s="4" t="inlineStr">
        <is>
          <t>SKU087</t>
        </is>
      </c>
      <c r="E1291" s="4" t="inlineStr">
        <is>
          <t>SD Card 64GB</t>
        </is>
      </c>
      <c r="F1291" s="4" t="inlineStr">
        <is>
          <t>Electronics Accessories</t>
        </is>
      </c>
      <c r="G1291" s="4" t="inlineStr">
        <is>
          <t>A</t>
        </is>
      </c>
      <c r="H1291" s="11" t="n">
        <v>0</v>
      </c>
      <c r="I1291" s="4" t="n">
        <v>91</v>
      </c>
      <c r="J1291" s="13">
        <f>IF(I1291&gt;0,H1291/I1291,"")</f>
        <v/>
      </c>
      <c r="K1291" s="4">
        <f>IF(I1291&lt;=0,"NO DEMAND",IF(H1291=0,"STOCKOUT",IF(J1291&lt;Config!$B$5,"CRITICAL",IF(J1291&lt;Config!$B$6,"LOW",IF(J1291&gt;Config!$B$7,"EXCESS","HEALTHY")))))</f>
        <v/>
      </c>
      <c r="L1291" s="11" t="n">
        <v>1750</v>
      </c>
      <c r="M1291" s="11" t="n">
        <v>2180</v>
      </c>
      <c r="N1291" s="11">
        <f>H1291*L1291</f>
        <v/>
      </c>
      <c r="O1291" s="11">
        <f>IF(I1291&gt;0,I1291*(M1291-L1291),0)</f>
        <v/>
      </c>
      <c r="P1291" s="11" t="n">
        <v>480</v>
      </c>
    </row>
    <row r="1292">
      <c r="A1292" s="4" t="inlineStr">
        <is>
          <t>WH11</t>
        </is>
      </c>
      <c r="B1292" s="4" t="inlineStr">
        <is>
          <t>Guwahati DC</t>
        </is>
      </c>
      <c r="C1292" s="4" t="inlineStr">
        <is>
          <t>East</t>
        </is>
      </c>
      <c r="D1292" s="4" t="inlineStr">
        <is>
          <t>SKU088</t>
        </is>
      </c>
      <c r="E1292" s="4" t="inlineStr">
        <is>
          <t>Wireless Mouse</t>
        </is>
      </c>
      <c r="F1292" s="4" t="inlineStr">
        <is>
          <t>Electronics Accessories</t>
        </is>
      </c>
      <c r="G1292" s="4" t="inlineStr">
        <is>
          <t>A</t>
        </is>
      </c>
      <c r="H1292" s="11" t="n">
        <v>115</v>
      </c>
      <c r="I1292" s="4" t="n">
        <v>100.25</v>
      </c>
      <c r="J1292" s="13">
        <f>IF(I1292&gt;0,H1292/I1292,"")</f>
        <v/>
      </c>
      <c r="K1292" s="4">
        <f>IF(I1292&lt;=0,"NO DEMAND",IF(H1292=0,"STOCKOUT",IF(J1292&lt;Config!$B$5,"CRITICAL",IF(J1292&lt;Config!$B$6,"LOW",IF(J1292&gt;Config!$B$7,"EXCESS","HEALTHY")))))</f>
        <v/>
      </c>
      <c r="L1292" s="11" t="n">
        <v>429</v>
      </c>
      <c r="M1292" s="11" t="n">
        <v>534</v>
      </c>
      <c r="N1292" s="11">
        <f>H1292*L1292</f>
        <v/>
      </c>
      <c r="O1292" s="11">
        <f>IF(I1292&gt;0,I1292*(M1292-L1292),0)</f>
        <v/>
      </c>
      <c r="P1292" s="11" t="n">
        <v>420</v>
      </c>
    </row>
    <row r="1293">
      <c r="A1293" s="4" t="inlineStr">
        <is>
          <t>WH11</t>
        </is>
      </c>
      <c r="B1293" s="4" t="inlineStr">
        <is>
          <t>Guwahati DC</t>
        </is>
      </c>
      <c r="C1293" s="4" t="inlineStr">
        <is>
          <t>East</t>
        </is>
      </c>
      <c r="D1293" s="4" t="inlineStr">
        <is>
          <t>SKU089</t>
        </is>
      </c>
      <c r="E1293" s="4" t="inlineStr">
        <is>
          <t>USB Keyboard</t>
        </is>
      </c>
      <c r="F1293" s="4" t="inlineStr">
        <is>
          <t>Electronics Accessories</t>
        </is>
      </c>
      <c r="G1293" s="4" t="inlineStr">
        <is>
          <t>A</t>
        </is>
      </c>
      <c r="H1293" s="11" t="n">
        <v>139</v>
      </c>
      <c r="I1293" s="4" t="n">
        <v>22.5</v>
      </c>
      <c r="J1293" s="13">
        <f>IF(I1293&gt;0,H1293/I1293,"")</f>
        <v/>
      </c>
      <c r="K1293" s="4">
        <f>IF(I1293&lt;=0,"NO DEMAND",IF(H1293=0,"STOCKOUT",IF(J1293&lt;Config!$B$5,"CRITICAL",IF(J1293&lt;Config!$B$6,"LOW",IF(J1293&gt;Config!$B$7,"EXCESS","HEALTHY")))))</f>
        <v/>
      </c>
      <c r="L1293" s="11" t="n">
        <v>2249</v>
      </c>
      <c r="M1293" s="11" t="n">
        <v>2812</v>
      </c>
      <c r="N1293" s="11">
        <f>H1293*L1293</f>
        <v/>
      </c>
      <c r="O1293" s="11">
        <f>IF(I1293&gt;0,I1293*(M1293-L1293),0)</f>
        <v/>
      </c>
      <c r="P1293" s="11" t="n">
        <v>0</v>
      </c>
    </row>
    <row r="1294">
      <c r="A1294" s="4" t="inlineStr">
        <is>
          <t>WH11</t>
        </is>
      </c>
      <c r="B1294" s="4" t="inlineStr">
        <is>
          <t>Guwahati DC</t>
        </is>
      </c>
      <c r="C1294" s="4" t="inlineStr">
        <is>
          <t>East</t>
        </is>
      </c>
      <c r="D1294" s="4" t="inlineStr">
        <is>
          <t>SKU090</t>
        </is>
      </c>
      <c r="E1294" s="4" t="inlineStr">
        <is>
          <t>HDMI Cable 2m</t>
        </is>
      </c>
      <c r="F1294" s="4" t="inlineStr">
        <is>
          <t>Electronics Accessories</t>
        </is>
      </c>
      <c r="G1294" s="4" t="inlineStr">
        <is>
          <t>C</t>
        </is>
      </c>
      <c r="H1294" s="11" t="n">
        <v>106</v>
      </c>
      <c r="I1294" s="4" t="n">
        <v>20</v>
      </c>
      <c r="J1294" s="13">
        <f>IF(I1294&gt;0,H1294/I1294,"")</f>
        <v/>
      </c>
      <c r="K1294" s="4">
        <f>IF(I1294&lt;=0,"NO DEMAND",IF(H1294=0,"STOCKOUT",IF(J1294&lt;Config!$B$5,"CRITICAL",IF(J1294&lt;Config!$B$6,"LOW",IF(J1294&gt;Config!$B$7,"EXCESS","HEALTHY")))))</f>
        <v/>
      </c>
      <c r="L1294" s="11" t="n">
        <v>292</v>
      </c>
      <c r="M1294" s="11" t="n">
        <v>378</v>
      </c>
      <c r="N1294" s="11">
        <f>H1294*L1294</f>
        <v/>
      </c>
      <c r="O1294" s="11">
        <f>IF(I1294&gt;0,I1294*(M1294-L1294),0)</f>
        <v/>
      </c>
      <c r="P1294" s="11" t="n">
        <v>0</v>
      </c>
    </row>
    <row r="1295">
      <c r="A1295" s="4" t="inlineStr">
        <is>
          <t>WH11</t>
        </is>
      </c>
      <c r="B1295" s="4" t="inlineStr">
        <is>
          <t>Guwahati DC</t>
        </is>
      </c>
      <c r="C1295" s="4" t="inlineStr">
        <is>
          <t>East</t>
        </is>
      </c>
      <c r="D1295" s="4" t="inlineStr">
        <is>
          <t>SKU091</t>
        </is>
      </c>
      <c r="E1295" s="4" t="inlineStr">
        <is>
          <t>Paracetamol 500mg 15s</t>
        </is>
      </c>
      <c r="F1295" s="4" t="inlineStr">
        <is>
          <t>OTC Pharma &amp; Wellness</t>
        </is>
      </c>
      <c r="G1295" s="4" t="inlineStr">
        <is>
          <t>C</t>
        </is>
      </c>
      <c r="H1295" s="11" t="n">
        <v>338</v>
      </c>
      <c r="I1295" s="4" t="n">
        <v>71.25</v>
      </c>
      <c r="J1295" s="13">
        <f>IF(I1295&gt;0,H1295/I1295,"")</f>
        <v/>
      </c>
      <c r="K1295" s="4">
        <f>IF(I1295&lt;=0,"NO DEMAND",IF(H1295=0,"STOCKOUT",IF(J1295&lt;Config!$B$5,"CRITICAL",IF(J1295&lt;Config!$B$6,"LOW",IF(J1295&gt;Config!$B$7,"EXCESS","HEALTHY")))))</f>
        <v/>
      </c>
      <c r="L1295" s="11" t="n">
        <v>113</v>
      </c>
      <c r="M1295" s="11" t="n">
        <v>144</v>
      </c>
      <c r="N1295" s="11">
        <f>H1295*L1295</f>
        <v/>
      </c>
      <c r="O1295" s="11">
        <f>IF(I1295&gt;0,I1295*(M1295-L1295),0)</f>
        <v/>
      </c>
      <c r="P1295" s="11" t="n">
        <v>0</v>
      </c>
    </row>
    <row r="1296">
      <c r="A1296" s="4" t="inlineStr">
        <is>
          <t>WH11</t>
        </is>
      </c>
      <c r="B1296" s="4" t="inlineStr">
        <is>
          <t>Guwahati DC</t>
        </is>
      </c>
      <c r="C1296" s="4" t="inlineStr">
        <is>
          <t>East</t>
        </is>
      </c>
      <c r="D1296" s="4" t="inlineStr">
        <is>
          <t>SKU092</t>
        </is>
      </c>
      <c r="E1296" s="4" t="inlineStr">
        <is>
          <t>ORS Sachets 10pk</t>
        </is>
      </c>
      <c r="F1296" s="4" t="inlineStr">
        <is>
          <t>OTC Pharma &amp; Wellness</t>
        </is>
      </c>
      <c r="G1296" s="4" t="inlineStr">
        <is>
          <t>C</t>
        </is>
      </c>
      <c r="H1296" s="11" t="n">
        <v>30</v>
      </c>
      <c r="I1296" s="4" t="n">
        <v>79.25</v>
      </c>
      <c r="J1296" s="13">
        <f>IF(I1296&gt;0,H1296/I1296,"")</f>
        <v/>
      </c>
      <c r="K1296" s="4">
        <f>IF(I1296&lt;=0,"NO DEMAND",IF(H1296=0,"STOCKOUT",IF(J1296&lt;Config!$B$5,"CRITICAL",IF(J1296&lt;Config!$B$6,"LOW",IF(J1296&gt;Config!$B$7,"EXCESS","HEALTHY")))))</f>
        <v/>
      </c>
      <c r="L1296" s="11" t="n">
        <v>55</v>
      </c>
      <c r="M1296" s="11" t="n">
        <v>75</v>
      </c>
      <c r="N1296" s="11">
        <f>H1296*L1296</f>
        <v/>
      </c>
      <c r="O1296" s="11">
        <f>IF(I1296&gt;0,I1296*(M1296-L1296),0)</f>
        <v/>
      </c>
      <c r="P1296" s="11" t="n">
        <v>636</v>
      </c>
    </row>
    <row r="1297">
      <c r="A1297" s="4" t="inlineStr">
        <is>
          <t>WH11</t>
        </is>
      </c>
      <c r="B1297" s="4" t="inlineStr">
        <is>
          <t>Guwahati DC</t>
        </is>
      </c>
      <c r="C1297" s="4" t="inlineStr">
        <is>
          <t>East</t>
        </is>
      </c>
      <c r="D1297" s="4" t="inlineStr">
        <is>
          <t>SKU093</t>
        </is>
      </c>
      <c r="E1297" s="4" t="inlineStr">
        <is>
          <t>Antacid Syrup 200ml</t>
        </is>
      </c>
      <c r="F1297" s="4" t="inlineStr">
        <is>
          <t>OTC Pharma &amp; Wellness</t>
        </is>
      </c>
      <c r="G1297" s="4" t="inlineStr">
        <is>
          <t>A</t>
        </is>
      </c>
      <c r="H1297" s="11" t="n">
        <v>0</v>
      </c>
      <c r="I1297" s="4" t="n">
        <v>76.5</v>
      </c>
      <c r="J1297" s="13">
        <f>IF(I1297&gt;0,H1297/I1297,"")</f>
        <v/>
      </c>
      <c r="K1297" s="4">
        <f>IF(I1297&lt;=0,"NO DEMAND",IF(H1297=0,"STOCKOUT",IF(J1297&lt;Config!$B$5,"CRITICAL",IF(J1297&lt;Config!$B$6,"LOW",IF(J1297&gt;Config!$B$7,"EXCESS","HEALTHY")))))</f>
        <v/>
      </c>
      <c r="L1297" s="11" t="n">
        <v>277</v>
      </c>
      <c r="M1297" s="11" t="n">
        <v>362</v>
      </c>
      <c r="N1297" s="11">
        <f>H1297*L1297</f>
        <v/>
      </c>
      <c r="O1297" s="11">
        <f>IF(I1297&gt;0,I1297*(M1297-L1297),0)</f>
        <v/>
      </c>
      <c r="P1297" s="11" t="n">
        <v>636</v>
      </c>
    </row>
    <row r="1298">
      <c r="A1298" s="4" t="inlineStr">
        <is>
          <t>WH11</t>
        </is>
      </c>
      <c r="B1298" s="4" t="inlineStr">
        <is>
          <t>Guwahati DC</t>
        </is>
      </c>
      <c r="C1298" s="4" t="inlineStr">
        <is>
          <t>East</t>
        </is>
      </c>
      <c r="D1298" s="4" t="inlineStr">
        <is>
          <t>SKU094</t>
        </is>
      </c>
      <c r="E1298" s="4" t="inlineStr">
        <is>
          <t>Cough Syrup 100ml</t>
        </is>
      </c>
      <c r="F1298" s="4" t="inlineStr">
        <is>
          <t>OTC Pharma &amp; Wellness</t>
        </is>
      </c>
      <c r="G1298" s="4" t="inlineStr">
        <is>
          <t>B</t>
        </is>
      </c>
      <c r="H1298" s="11" t="n">
        <v>285</v>
      </c>
      <c r="I1298" s="4" t="n">
        <v>113</v>
      </c>
      <c r="J1298" s="13">
        <f>IF(I1298&gt;0,H1298/I1298,"")</f>
        <v/>
      </c>
      <c r="K1298" s="4">
        <f>IF(I1298&lt;=0,"NO DEMAND",IF(H1298=0,"STOCKOUT",IF(J1298&lt;Config!$B$5,"CRITICAL",IF(J1298&lt;Config!$B$6,"LOW",IF(J1298&gt;Config!$B$7,"EXCESS","HEALTHY")))))</f>
        <v/>
      </c>
      <c r="L1298" s="11" t="n">
        <v>190</v>
      </c>
      <c r="M1298" s="11" t="n">
        <v>254</v>
      </c>
      <c r="N1298" s="11">
        <f>H1298*L1298</f>
        <v/>
      </c>
      <c r="O1298" s="11">
        <f>IF(I1298&gt;0,I1298*(M1298-L1298),0)</f>
        <v/>
      </c>
      <c r="P1298" s="11" t="n">
        <v>0</v>
      </c>
    </row>
    <row r="1299">
      <c r="A1299" s="4" t="inlineStr">
        <is>
          <t>WH11</t>
        </is>
      </c>
      <c r="B1299" s="4" t="inlineStr">
        <is>
          <t>Guwahati DC</t>
        </is>
      </c>
      <c r="C1299" s="4" t="inlineStr">
        <is>
          <t>East</t>
        </is>
      </c>
      <c r="D1299" s="4" t="inlineStr">
        <is>
          <t>SKU095</t>
        </is>
      </c>
      <c r="E1299" s="4" t="inlineStr">
        <is>
          <t>Multivitamin 30s</t>
        </is>
      </c>
      <c r="F1299" s="4" t="inlineStr">
        <is>
          <t>OTC Pharma &amp; Wellness</t>
        </is>
      </c>
      <c r="G1299" s="4" t="inlineStr">
        <is>
          <t>B</t>
        </is>
      </c>
      <c r="H1299" s="11" t="n">
        <v>0</v>
      </c>
      <c r="I1299" s="4" t="n">
        <v>41.5</v>
      </c>
      <c r="J1299" s="13">
        <f>IF(I1299&gt;0,H1299/I1299,"")</f>
        <v/>
      </c>
      <c r="K1299" s="4">
        <f>IF(I1299&lt;=0,"NO DEMAND",IF(H1299=0,"STOCKOUT",IF(J1299&lt;Config!$B$5,"CRITICAL",IF(J1299&lt;Config!$B$6,"LOW",IF(J1299&gt;Config!$B$7,"EXCESS","HEALTHY")))))</f>
        <v/>
      </c>
      <c r="L1299" s="11" t="n">
        <v>178</v>
      </c>
      <c r="M1299" s="11" t="n">
        <v>237</v>
      </c>
      <c r="N1299" s="11">
        <f>H1299*L1299</f>
        <v/>
      </c>
      <c r="O1299" s="11">
        <f>IF(I1299&gt;0,I1299*(M1299-L1299),0)</f>
        <v/>
      </c>
      <c r="P1299" s="11" t="n">
        <v>384</v>
      </c>
    </row>
    <row r="1300">
      <c r="A1300" s="4" t="inlineStr">
        <is>
          <t>WH11</t>
        </is>
      </c>
      <c r="B1300" s="4" t="inlineStr">
        <is>
          <t>Guwahati DC</t>
        </is>
      </c>
      <c r="C1300" s="4" t="inlineStr">
        <is>
          <t>East</t>
        </is>
      </c>
      <c r="D1300" s="4" t="inlineStr">
        <is>
          <t>SKU096</t>
        </is>
      </c>
      <c r="E1300" s="4" t="inlineStr">
        <is>
          <t>Antiseptic Liquid 250ml</t>
        </is>
      </c>
      <c r="F1300" s="4" t="inlineStr">
        <is>
          <t>OTC Pharma &amp; Wellness</t>
        </is>
      </c>
      <c r="G1300" s="4" t="inlineStr">
        <is>
          <t>C</t>
        </is>
      </c>
      <c r="H1300" s="11" t="n">
        <v>55</v>
      </c>
      <c r="I1300" s="4" t="n">
        <v>49.75</v>
      </c>
      <c r="J1300" s="13">
        <f>IF(I1300&gt;0,H1300/I1300,"")</f>
        <v/>
      </c>
      <c r="K1300" s="4">
        <f>IF(I1300&lt;=0,"NO DEMAND",IF(H1300=0,"STOCKOUT",IF(J1300&lt;Config!$B$5,"CRITICAL",IF(J1300&lt;Config!$B$6,"LOW",IF(J1300&gt;Config!$B$7,"EXCESS","HEALTHY")))))</f>
        <v/>
      </c>
      <c r="L1300" s="11" t="n">
        <v>88</v>
      </c>
      <c r="M1300" s="11" t="n">
        <v>112</v>
      </c>
      <c r="N1300" s="11">
        <f>H1300*L1300</f>
        <v/>
      </c>
      <c r="O1300" s="11">
        <f>IF(I1300&gt;0,I1300*(M1300-L1300),0)</f>
        <v/>
      </c>
      <c r="P1300" s="11" t="n">
        <v>276</v>
      </c>
    </row>
    <row r="1301">
      <c r="A1301" s="4" t="inlineStr">
        <is>
          <t>WH11</t>
        </is>
      </c>
      <c r="B1301" s="4" t="inlineStr">
        <is>
          <t>Guwahati DC</t>
        </is>
      </c>
      <c r="C1301" s="4" t="inlineStr">
        <is>
          <t>East</t>
        </is>
      </c>
      <c r="D1301" s="4" t="inlineStr">
        <is>
          <t>SKU097</t>
        </is>
      </c>
      <c r="E1301" s="4" t="inlineStr">
        <is>
          <t>Pain Balm 50g</t>
        </is>
      </c>
      <c r="F1301" s="4" t="inlineStr">
        <is>
          <t>OTC Pharma &amp; Wellness</t>
        </is>
      </c>
      <c r="G1301" s="4" t="inlineStr">
        <is>
          <t>C</t>
        </is>
      </c>
      <c r="H1301" s="11" t="n">
        <v>274</v>
      </c>
      <c r="I1301" s="4" t="n">
        <v>4.75</v>
      </c>
      <c r="J1301" s="13">
        <f>IF(I1301&gt;0,H1301/I1301,"")</f>
        <v/>
      </c>
      <c r="K1301" s="4">
        <f>IF(I1301&lt;=0,"NO DEMAND",IF(H1301=0,"STOCKOUT",IF(J1301&lt;Config!$B$5,"CRITICAL",IF(J1301&lt;Config!$B$6,"LOW",IF(J1301&gt;Config!$B$7,"EXCESS","HEALTHY")))))</f>
        <v/>
      </c>
      <c r="L1301" s="11" t="n">
        <v>68</v>
      </c>
      <c r="M1301" s="11" t="n">
        <v>91</v>
      </c>
      <c r="N1301" s="11">
        <f>H1301*L1301</f>
        <v/>
      </c>
      <c r="O1301" s="11">
        <f>IF(I1301&gt;0,I1301*(M1301-L1301),0)</f>
        <v/>
      </c>
      <c r="P1301" s="11" t="n">
        <v>0</v>
      </c>
    </row>
    <row r="1302">
      <c r="A1302" s="4" t="inlineStr">
        <is>
          <t>WH11</t>
        </is>
      </c>
      <c r="B1302" s="4" t="inlineStr">
        <is>
          <t>Guwahati DC</t>
        </is>
      </c>
      <c r="C1302" s="4" t="inlineStr">
        <is>
          <t>East</t>
        </is>
      </c>
      <c r="D1302" s="4" t="inlineStr">
        <is>
          <t>SKU098</t>
        </is>
      </c>
      <c r="E1302" s="4" t="inlineStr">
        <is>
          <t>Bandage Pack</t>
        </is>
      </c>
      <c r="F1302" s="4" t="inlineStr">
        <is>
          <t>OTC Pharma &amp; Wellness</t>
        </is>
      </c>
      <c r="G1302" s="4" t="inlineStr">
        <is>
          <t>C</t>
        </is>
      </c>
      <c r="H1302" s="11" t="n">
        <v>720</v>
      </c>
      <c r="I1302" s="4" t="n">
        <v>110.25</v>
      </c>
      <c r="J1302" s="13">
        <f>IF(I1302&gt;0,H1302/I1302,"")</f>
        <v/>
      </c>
      <c r="K1302" s="4">
        <f>IF(I1302&lt;=0,"NO DEMAND",IF(H1302=0,"STOCKOUT",IF(J1302&lt;Config!$B$5,"CRITICAL",IF(J1302&lt;Config!$B$6,"LOW",IF(J1302&gt;Config!$B$7,"EXCESS","HEALTHY")))))</f>
        <v/>
      </c>
      <c r="L1302" s="11" t="n">
        <v>49</v>
      </c>
      <c r="M1302" s="11" t="n">
        <v>66</v>
      </c>
      <c r="N1302" s="11">
        <f>H1302*L1302</f>
        <v/>
      </c>
      <c r="O1302" s="11">
        <f>IF(I1302&gt;0,I1302*(M1302-L1302),0)</f>
        <v/>
      </c>
      <c r="P1302" s="11" t="n">
        <v>0</v>
      </c>
    </row>
    <row r="1303">
      <c r="A1303" s="4" t="inlineStr">
        <is>
          <t>WH11</t>
        </is>
      </c>
      <c r="B1303" s="4" t="inlineStr">
        <is>
          <t>Guwahati DC</t>
        </is>
      </c>
      <c r="C1303" s="4" t="inlineStr">
        <is>
          <t>East</t>
        </is>
      </c>
      <c r="D1303" s="4" t="inlineStr">
        <is>
          <t>SKU099</t>
        </is>
      </c>
      <c r="E1303" s="4" t="inlineStr">
        <is>
          <t>Digital Thermometer</t>
        </is>
      </c>
      <c r="F1303" s="4" t="inlineStr">
        <is>
          <t>OTC Pharma &amp; Wellness</t>
        </is>
      </c>
      <c r="G1303" s="4" t="inlineStr">
        <is>
          <t>B</t>
        </is>
      </c>
      <c r="H1303" s="11" t="n">
        <v>0</v>
      </c>
      <c r="I1303" s="4" t="n">
        <v>130</v>
      </c>
      <c r="J1303" s="13">
        <f>IF(I1303&gt;0,H1303/I1303,"")</f>
        <v/>
      </c>
      <c r="K1303" s="4">
        <f>IF(I1303&lt;=0,"NO DEMAND",IF(H1303=0,"STOCKOUT",IF(J1303&lt;Config!$B$5,"CRITICAL",IF(J1303&lt;Config!$B$6,"LOW",IF(J1303&gt;Config!$B$7,"EXCESS","HEALTHY")))))</f>
        <v/>
      </c>
      <c r="L1303" s="11" t="n">
        <v>88</v>
      </c>
      <c r="M1303" s="11" t="n">
        <v>112</v>
      </c>
      <c r="N1303" s="11">
        <f>H1303*L1303</f>
        <v/>
      </c>
      <c r="O1303" s="11">
        <f>IF(I1303&gt;0,I1303*(M1303-L1303),0)</f>
        <v/>
      </c>
      <c r="P1303" s="11" t="n">
        <v>744</v>
      </c>
    </row>
    <row r="1304">
      <c r="A1304" s="4" t="inlineStr">
        <is>
          <t>WH11</t>
        </is>
      </c>
      <c r="B1304" s="4" t="inlineStr">
        <is>
          <t>Guwahati DC</t>
        </is>
      </c>
      <c r="C1304" s="4" t="inlineStr">
        <is>
          <t>East</t>
        </is>
      </c>
      <c r="D1304" s="4" t="inlineStr">
        <is>
          <t>SKU100</t>
        </is>
      </c>
      <c r="E1304" s="4" t="inlineStr">
        <is>
          <t>Glucose Powder 500g</t>
        </is>
      </c>
      <c r="F1304" s="4" t="inlineStr">
        <is>
          <t>OTC Pharma &amp; Wellness</t>
        </is>
      </c>
      <c r="G1304" s="4" t="inlineStr">
        <is>
          <t>C</t>
        </is>
      </c>
      <c r="H1304" s="11" t="n">
        <v>77</v>
      </c>
      <c r="I1304" s="4" t="n">
        <v>51.25</v>
      </c>
      <c r="J1304" s="13">
        <f>IF(I1304&gt;0,H1304/I1304,"")</f>
        <v/>
      </c>
      <c r="K1304" s="4">
        <f>IF(I1304&lt;=0,"NO DEMAND",IF(H1304=0,"STOCKOUT",IF(J1304&lt;Config!$B$5,"CRITICAL",IF(J1304&lt;Config!$B$6,"LOW",IF(J1304&gt;Config!$B$7,"EXCESS","HEALTHY")))))</f>
        <v/>
      </c>
      <c r="L1304" s="11" t="n">
        <v>32</v>
      </c>
      <c r="M1304" s="11" t="n">
        <v>42</v>
      </c>
      <c r="N1304" s="11">
        <f>H1304*L1304</f>
        <v/>
      </c>
      <c r="O1304" s="11">
        <f>IF(I1304&gt;0,I1304*(M1304-L1304),0)</f>
        <v/>
      </c>
      <c r="P1304" s="11" t="n">
        <v>252</v>
      </c>
    </row>
    <row r="1305">
      <c r="A1305" s="4" t="inlineStr">
        <is>
          <t>WH11</t>
        </is>
      </c>
      <c r="B1305" s="4" t="inlineStr">
        <is>
          <t>Guwahati DC</t>
        </is>
      </c>
      <c r="C1305" s="4" t="inlineStr">
        <is>
          <t>East</t>
        </is>
      </c>
      <c r="D1305" s="4" t="inlineStr">
        <is>
          <t>SKU101</t>
        </is>
      </c>
      <c r="E1305" s="4" t="inlineStr">
        <is>
          <t>Vitamin C 30s</t>
        </is>
      </c>
      <c r="F1305" s="4" t="inlineStr">
        <is>
          <t>OTC Pharma &amp; Wellness</t>
        </is>
      </c>
      <c r="G1305" s="4" t="inlineStr">
        <is>
          <t>B</t>
        </is>
      </c>
      <c r="H1305" s="11" t="n">
        <v>45</v>
      </c>
      <c r="I1305" s="4" t="n">
        <v>75.25</v>
      </c>
      <c r="J1305" s="13">
        <f>IF(I1305&gt;0,H1305/I1305,"")</f>
        <v/>
      </c>
      <c r="K1305" s="4">
        <f>IF(I1305&lt;=0,"NO DEMAND",IF(H1305=0,"STOCKOUT",IF(J1305&lt;Config!$B$5,"CRITICAL",IF(J1305&lt;Config!$B$6,"LOW",IF(J1305&gt;Config!$B$7,"EXCESS","HEALTHY")))))</f>
        <v/>
      </c>
      <c r="L1305" s="11" t="n">
        <v>176</v>
      </c>
      <c r="M1305" s="11" t="n">
        <v>237</v>
      </c>
      <c r="N1305" s="11">
        <f>H1305*L1305</f>
        <v/>
      </c>
      <c r="O1305" s="11">
        <f>IF(I1305&gt;0,I1305*(M1305-L1305),0)</f>
        <v/>
      </c>
      <c r="P1305" s="11" t="n">
        <v>432</v>
      </c>
    </row>
    <row r="1306">
      <c r="A1306" s="4" t="inlineStr">
        <is>
          <t>WH11</t>
        </is>
      </c>
      <c r="B1306" s="4" t="inlineStr">
        <is>
          <t>Guwahati DC</t>
        </is>
      </c>
      <c r="C1306" s="4" t="inlineStr">
        <is>
          <t>East</t>
        </is>
      </c>
      <c r="D1306" s="4" t="inlineStr">
        <is>
          <t>SKU102</t>
        </is>
      </c>
      <c r="E1306" s="4" t="inlineStr">
        <is>
          <t>Eye Drops 10ml</t>
        </is>
      </c>
      <c r="F1306" s="4" t="inlineStr">
        <is>
          <t>OTC Pharma &amp; Wellness</t>
        </is>
      </c>
      <c r="G1306" s="4" t="inlineStr">
        <is>
          <t>C</t>
        </is>
      </c>
      <c r="H1306" s="11" t="n">
        <v>313</v>
      </c>
      <c r="I1306" s="4" t="n">
        <v>117</v>
      </c>
      <c r="J1306" s="13">
        <f>IF(I1306&gt;0,H1306/I1306,"")</f>
        <v/>
      </c>
      <c r="K1306" s="4">
        <f>IF(I1306&lt;=0,"NO DEMAND",IF(H1306=0,"STOCKOUT",IF(J1306&lt;Config!$B$5,"CRITICAL",IF(J1306&lt;Config!$B$6,"LOW",IF(J1306&gt;Config!$B$7,"EXCESS","HEALTHY")))))</f>
        <v/>
      </c>
      <c r="L1306" s="11" t="n">
        <v>72</v>
      </c>
      <c r="M1306" s="11" t="n">
        <v>92</v>
      </c>
      <c r="N1306" s="11">
        <f>H1306*L1306</f>
        <v/>
      </c>
      <c r="O1306" s="11">
        <f>IF(I1306&gt;0,I1306*(M1306-L1306),0)</f>
        <v/>
      </c>
      <c r="P1306" s="11" t="n">
        <v>0</v>
      </c>
    </row>
    <row r="1307">
      <c r="A1307" s="4" t="inlineStr">
        <is>
          <t>WH11</t>
        </is>
      </c>
      <c r="B1307" s="4" t="inlineStr">
        <is>
          <t>Guwahati DC</t>
        </is>
      </c>
      <c r="C1307" s="4" t="inlineStr">
        <is>
          <t>East</t>
        </is>
      </c>
      <c r="D1307" s="4" t="inlineStr">
        <is>
          <t>SKU103</t>
        </is>
      </c>
      <c r="E1307" s="4" t="inlineStr">
        <is>
          <t>Zinc Tablets 20s</t>
        </is>
      </c>
      <c r="F1307" s="4" t="inlineStr">
        <is>
          <t>OTC Pharma &amp; Wellness</t>
        </is>
      </c>
      <c r="G1307" s="4" t="inlineStr">
        <is>
          <t>C</t>
        </is>
      </c>
      <c r="H1307" s="11" t="n">
        <v>275</v>
      </c>
      <c r="I1307" s="4" t="n">
        <v>54.25</v>
      </c>
      <c r="J1307" s="13">
        <f>IF(I1307&gt;0,H1307/I1307,"")</f>
        <v/>
      </c>
      <c r="K1307" s="4">
        <f>IF(I1307&lt;=0,"NO DEMAND",IF(H1307=0,"STOCKOUT",IF(J1307&lt;Config!$B$5,"CRITICAL",IF(J1307&lt;Config!$B$6,"LOW",IF(J1307&gt;Config!$B$7,"EXCESS","HEALTHY")))))</f>
        <v/>
      </c>
      <c r="L1307" s="11" t="n">
        <v>169</v>
      </c>
      <c r="M1307" s="11" t="n">
        <v>216</v>
      </c>
      <c r="N1307" s="11">
        <f>H1307*L1307</f>
        <v/>
      </c>
      <c r="O1307" s="11">
        <f>IF(I1307&gt;0,I1307*(M1307-L1307),0)</f>
        <v/>
      </c>
      <c r="P1307" s="11" t="n">
        <v>0</v>
      </c>
    </row>
    <row r="1308">
      <c r="A1308" s="4" t="inlineStr">
        <is>
          <t>WH11</t>
        </is>
      </c>
      <c r="B1308" s="4" t="inlineStr">
        <is>
          <t>Guwahati DC</t>
        </is>
      </c>
      <c r="C1308" s="4" t="inlineStr">
        <is>
          <t>East</t>
        </is>
      </c>
      <c r="D1308" s="4" t="inlineStr">
        <is>
          <t>SKU104</t>
        </is>
      </c>
      <c r="E1308" s="4" t="inlineStr">
        <is>
          <t>Hand Sanitizer 500ml</t>
        </is>
      </c>
      <c r="F1308" s="4" t="inlineStr">
        <is>
          <t>OTC Pharma &amp; Wellness</t>
        </is>
      </c>
      <c r="G1308" s="4" t="inlineStr">
        <is>
          <t>C</t>
        </is>
      </c>
      <c r="H1308" s="11" t="n">
        <v>577</v>
      </c>
      <c r="I1308" s="4" t="n">
        <v>28.75</v>
      </c>
      <c r="J1308" s="13">
        <f>IF(I1308&gt;0,H1308/I1308,"")</f>
        <v/>
      </c>
      <c r="K1308" s="4">
        <f>IF(I1308&lt;=0,"NO DEMAND",IF(H1308=0,"STOCKOUT",IF(J1308&lt;Config!$B$5,"CRITICAL",IF(J1308&lt;Config!$B$6,"LOW",IF(J1308&gt;Config!$B$7,"EXCESS","HEALTHY")))))</f>
        <v/>
      </c>
      <c r="L1308" s="11" t="n">
        <v>37</v>
      </c>
      <c r="M1308" s="11" t="n">
        <v>48</v>
      </c>
      <c r="N1308" s="11">
        <f>H1308*L1308</f>
        <v/>
      </c>
      <c r="O1308" s="11">
        <f>IF(I1308&gt;0,I1308*(M1308-L1308),0)</f>
        <v/>
      </c>
      <c r="P1308" s="11" t="n">
        <v>0</v>
      </c>
    </row>
    <row r="1309">
      <c r="A1309" s="4" t="inlineStr">
        <is>
          <t>WH11</t>
        </is>
      </c>
      <c r="B1309" s="4" t="inlineStr">
        <is>
          <t>Guwahati DC</t>
        </is>
      </c>
      <c r="C1309" s="4" t="inlineStr">
        <is>
          <t>East</t>
        </is>
      </c>
      <c r="D1309" s="4" t="inlineStr">
        <is>
          <t>SKU105</t>
        </is>
      </c>
      <c r="E1309" s="4" t="inlineStr">
        <is>
          <t>Face Masks 50pk</t>
        </is>
      </c>
      <c r="F1309" s="4" t="inlineStr">
        <is>
          <t>OTC Pharma &amp; Wellness</t>
        </is>
      </c>
      <c r="G1309" s="4" t="inlineStr">
        <is>
          <t>C</t>
        </is>
      </c>
      <c r="H1309" s="11" t="n">
        <v>0</v>
      </c>
      <c r="I1309" s="4" t="n">
        <v>141.75</v>
      </c>
      <c r="J1309" s="13">
        <f>IF(I1309&gt;0,H1309/I1309,"")</f>
        <v/>
      </c>
      <c r="K1309" s="4">
        <f>IF(I1309&lt;=0,"NO DEMAND",IF(H1309=0,"STOCKOUT",IF(J1309&lt;Config!$B$5,"CRITICAL",IF(J1309&lt;Config!$B$6,"LOW",IF(J1309&gt;Config!$B$7,"EXCESS","HEALTHY")))))</f>
        <v/>
      </c>
      <c r="L1309" s="11" t="n">
        <v>92</v>
      </c>
      <c r="M1309" s="11" t="n">
        <v>121</v>
      </c>
      <c r="N1309" s="11">
        <f>H1309*L1309</f>
        <v/>
      </c>
      <c r="O1309" s="11">
        <f>IF(I1309&gt;0,I1309*(M1309-L1309),0)</f>
        <v/>
      </c>
      <c r="P1309" s="11" t="n">
        <v>708</v>
      </c>
    </row>
    <row r="1310">
      <c r="A1310" s="4" t="inlineStr">
        <is>
          <t>WH11</t>
        </is>
      </c>
      <c r="B1310" s="4" t="inlineStr">
        <is>
          <t>Guwahati DC</t>
        </is>
      </c>
      <c r="C1310" s="4" t="inlineStr">
        <is>
          <t>East</t>
        </is>
      </c>
      <c r="D1310" s="4" t="inlineStr">
        <is>
          <t>SKU106</t>
        </is>
      </c>
      <c r="E1310" s="4" t="inlineStr">
        <is>
          <t>Corrugated Box 12x12</t>
        </is>
      </c>
      <c r="F1310" s="4" t="inlineStr">
        <is>
          <t>Packaging &amp; Supplies</t>
        </is>
      </c>
      <c r="G1310" s="4" t="inlineStr">
        <is>
          <t>B</t>
        </is>
      </c>
      <c r="H1310" s="11" t="n">
        <v>25</v>
      </c>
      <c r="I1310" s="4" t="n">
        <v>105.75</v>
      </c>
      <c r="J1310" s="13">
        <f>IF(I1310&gt;0,H1310/I1310,"")</f>
        <v/>
      </c>
      <c r="K1310" s="4">
        <f>IF(I1310&lt;=0,"NO DEMAND",IF(H1310=0,"STOCKOUT",IF(J1310&lt;Config!$B$5,"CRITICAL",IF(J1310&lt;Config!$B$6,"LOW",IF(J1310&gt;Config!$B$7,"EXCESS","HEALTHY")))))</f>
        <v/>
      </c>
      <c r="L1310" s="11" t="n">
        <v>400</v>
      </c>
      <c r="M1310" s="11" t="n">
        <v>480</v>
      </c>
      <c r="N1310" s="11">
        <f>H1310*L1310</f>
        <v/>
      </c>
      <c r="O1310" s="11">
        <f>IF(I1310&gt;0,I1310*(M1310-L1310),0)</f>
        <v/>
      </c>
      <c r="P1310" s="11" t="n">
        <v>360</v>
      </c>
    </row>
    <row r="1311">
      <c r="A1311" s="4" t="inlineStr">
        <is>
          <t>WH11</t>
        </is>
      </c>
      <c r="B1311" s="4" t="inlineStr">
        <is>
          <t>Guwahati DC</t>
        </is>
      </c>
      <c r="C1311" s="4" t="inlineStr">
        <is>
          <t>East</t>
        </is>
      </c>
      <c r="D1311" s="4" t="inlineStr">
        <is>
          <t>SKU107</t>
        </is>
      </c>
      <c r="E1311" s="4" t="inlineStr">
        <is>
          <t>Stretch Film 500mm</t>
        </is>
      </c>
      <c r="F1311" s="4" t="inlineStr">
        <is>
          <t>Packaging &amp; Supplies</t>
        </is>
      </c>
      <c r="G1311" s="4" t="inlineStr">
        <is>
          <t>A</t>
        </is>
      </c>
      <c r="H1311" s="11" t="n">
        <v>0</v>
      </c>
      <c r="I1311" s="4" t="n">
        <v>109</v>
      </c>
      <c r="J1311" s="13">
        <f>IF(I1311&gt;0,H1311/I1311,"")</f>
        <v/>
      </c>
      <c r="K1311" s="4">
        <f>IF(I1311&lt;=0,"NO DEMAND",IF(H1311=0,"STOCKOUT",IF(J1311&lt;Config!$B$5,"CRITICAL",IF(J1311&lt;Config!$B$6,"LOW",IF(J1311&gt;Config!$B$7,"EXCESS","HEALTHY")))))</f>
        <v/>
      </c>
      <c r="L1311" s="11" t="n">
        <v>324</v>
      </c>
      <c r="M1311" s="11" t="n">
        <v>383</v>
      </c>
      <c r="N1311" s="11">
        <f>H1311*L1311</f>
        <v/>
      </c>
      <c r="O1311" s="11">
        <f>IF(I1311&gt;0,I1311*(M1311-L1311),0)</f>
        <v/>
      </c>
      <c r="P1311" s="11" t="n">
        <v>540</v>
      </c>
    </row>
    <row r="1312">
      <c r="A1312" s="4" t="inlineStr">
        <is>
          <t>WH11</t>
        </is>
      </c>
      <c r="B1312" s="4" t="inlineStr">
        <is>
          <t>Guwahati DC</t>
        </is>
      </c>
      <c r="C1312" s="4" t="inlineStr">
        <is>
          <t>East</t>
        </is>
      </c>
      <c r="D1312" s="4" t="inlineStr">
        <is>
          <t>SKU108</t>
        </is>
      </c>
      <c r="E1312" s="4" t="inlineStr">
        <is>
          <t>BOPP Tape 48mm</t>
        </is>
      </c>
      <c r="F1312" s="4" t="inlineStr">
        <is>
          <t>Packaging &amp; Supplies</t>
        </is>
      </c>
      <c r="G1312" s="4" t="inlineStr">
        <is>
          <t>A</t>
        </is>
      </c>
      <c r="H1312" s="11" t="n">
        <v>35</v>
      </c>
      <c r="I1312" s="4" t="n">
        <v>58.75</v>
      </c>
      <c r="J1312" s="13">
        <f>IF(I1312&gt;0,H1312/I1312,"")</f>
        <v/>
      </c>
      <c r="K1312" s="4">
        <f>IF(I1312&lt;=0,"NO DEMAND",IF(H1312=0,"STOCKOUT",IF(J1312&lt;Config!$B$5,"CRITICAL",IF(J1312&lt;Config!$B$6,"LOW",IF(J1312&gt;Config!$B$7,"EXCESS","HEALTHY")))))</f>
        <v/>
      </c>
      <c r="L1312" s="11" t="n">
        <v>699</v>
      </c>
      <c r="M1312" s="11" t="n">
        <v>822</v>
      </c>
      <c r="N1312" s="11">
        <f>H1312*L1312</f>
        <v/>
      </c>
      <c r="O1312" s="11">
        <f>IF(I1312&gt;0,I1312*(M1312-L1312),0)</f>
        <v/>
      </c>
      <c r="P1312" s="11" t="n">
        <v>300</v>
      </c>
    </row>
    <row r="1313">
      <c r="A1313" s="4" t="inlineStr">
        <is>
          <t>WH11</t>
        </is>
      </c>
      <c r="B1313" s="4" t="inlineStr">
        <is>
          <t>Guwahati DC</t>
        </is>
      </c>
      <c r="C1313" s="4" t="inlineStr">
        <is>
          <t>East</t>
        </is>
      </c>
      <c r="D1313" s="4" t="inlineStr">
        <is>
          <t>SKU109</t>
        </is>
      </c>
      <c r="E1313" s="4" t="inlineStr">
        <is>
          <t>Bubble Wrap Roll</t>
        </is>
      </c>
      <c r="F1313" s="4" t="inlineStr">
        <is>
          <t>Packaging &amp; Supplies</t>
        </is>
      </c>
      <c r="G1313" s="4" t="inlineStr">
        <is>
          <t>C</t>
        </is>
      </c>
      <c r="H1313" s="11" t="n">
        <v>0</v>
      </c>
      <c r="I1313" s="4" t="n">
        <v>249.75</v>
      </c>
      <c r="J1313" s="13">
        <f>IF(I1313&gt;0,H1313/I1313,"")</f>
        <v/>
      </c>
      <c r="K1313" s="4">
        <f>IF(I1313&lt;=0,"NO DEMAND",IF(H1313=0,"STOCKOUT",IF(J1313&lt;Config!$B$5,"CRITICAL",IF(J1313&lt;Config!$B$6,"LOW",IF(J1313&gt;Config!$B$7,"EXCESS","HEALTHY")))))</f>
        <v/>
      </c>
      <c r="L1313" s="11" t="n">
        <v>68</v>
      </c>
      <c r="M1313" s="11" t="n">
        <v>80</v>
      </c>
      <c r="N1313" s="11">
        <f>H1313*L1313</f>
        <v/>
      </c>
      <c r="O1313" s="11">
        <f>IF(I1313&gt;0,I1313*(M1313-L1313),0)</f>
        <v/>
      </c>
      <c r="P1313" s="11" t="n">
        <v>1400</v>
      </c>
    </row>
    <row r="1314">
      <c r="A1314" s="4" t="inlineStr">
        <is>
          <t>WH11</t>
        </is>
      </c>
      <c r="B1314" s="4" t="inlineStr">
        <is>
          <t>Guwahati DC</t>
        </is>
      </c>
      <c r="C1314" s="4" t="inlineStr">
        <is>
          <t>East</t>
        </is>
      </c>
      <c r="D1314" s="4" t="inlineStr">
        <is>
          <t>SKU110</t>
        </is>
      </c>
      <c r="E1314" s="4" t="inlineStr">
        <is>
          <t>Pallet Strapping Roll</t>
        </is>
      </c>
      <c r="F1314" s="4" t="inlineStr">
        <is>
          <t>Packaging &amp; Supplies</t>
        </is>
      </c>
      <c r="G1314" s="4" t="inlineStr">
        <is>
          <t>C</t>
        </is>
      </c>
      <c r="H1314" s="11" t="n">
        <v>0</v>
      </c>
      <c r="I1314" s="4" t="n">
        <v>135.5</v>
      </c>
      <c r="J1314" s="13">
        <f>IF(I1314&gt;0,H1314/I1314,"")</f>
        <v/>
      </c>
      <c r="K1314" s="4">
        <f>IF(I1314&lt;=0,"NO DEMAND",IF(H1314=0,"STOCKOUT",IF(J1314&lt;Config!$B$5,"CRITICAL",IF(J1314&lt;Config!$B$6,"LOW",IF(J1314&gt;Config!$B$7,"EXCESS","HEALTHY")))))</f>
        <v/>
      </c>
      <c r="L1314" s="11" t="n">
        <v>45</v>
      </c>
      <c r="M1314" s="11" t="n">
        <v>53</v>
      </c>
      <c r="N1314" s="11">
        <f>H1314*L1314</f>
        <v/>
      </c>
      <c r="O1314" s="11">
        <f>IF(I1314&gt;0,I1314*(M1314-L1314),0)</f>
        <v/>
      </c>
      <c r="P1314" s="11" t="n">
        <v>660</v>
      </c>
    </row>
    <row r="1315">
      <c r="A1315" s="4" t="inlineStr">
        <is>
          <t>WH11</t>
        </is>
      </c>
      <c r="B1315" s="4" t="inlineStr">
        <is>
          <t>Guwahati DC</t>
        </is>
      </c>
      <c r="C1315" s="4" t="inlineStr">
        <is>
          <t>East</t>
        </is>
      </c>
      <c r="D1315" s="4" t="inlineStr">
        <is>
          <t>SKU111</t>
        </is>
      </c>
      <c r="E1315" s="4" t="inlineStr">
        <is>
          <t>Shipping Labels 1000</t>
        </is>
      </c>
      <c r="F1315" s="4" t="inlineStr">
        <is>
          <t>Packaging &amp; Supplies</t>
        </is>
      </c>
      <c r="G1315" s="4" t="inlineStr">
        <is>
          <t>A</t>
        </is>
      </c>
      <c r="H1315" s="11" t="n">
        <v>230</v>
      </c>
      <c r="I1315" s="4" t="n">
        <v>77.5</v>
      </c>
      <c r="J1315" s="13">
        <f>IF(I1315&gt;0,H1315/I1315,"")</f>
        <v/>
      </c>
      <c r="K1315" s="4">
        <f>IF(I1315&lt;=0,"NO DEMAND",IF(H1315=0,"STOCKOUT",IF(J1315&lt;Config!$B$5,"CRITICAL",IF(J1315&lt;Config!$B$6,"LOW",IF(J1315&gt;Config!$B$7,"EXCESS","HEALTHY")))))</f>
        <v/>
      </c>
      <c r="L1315" s="11" t="n">
        <v>617</v>
      </c>
      <c r="M1315" s="11" t="n">
        <v>741</v>
      </c>
      <c r="N1315" s="11">
        <f>H1315*L1315</f>
        <v/>
      </c>
      <c r="O1315" s="11">
        <f>IF(I1315&gt;0,I1315*(M1315-L1315),0)</f>
        <v/>
      </c>
      <c r="P1315" s="11" t="n">
        <v>0</v>
      </c>
    </row>
    <row r="1316">
      <c r="A1316" s="4" t="inlineStr">
        <is>
          <t>WH11</t>
        </is>
      </c>
      <c r="B1316" s="4" t="inlineStr">
        <is>
          <t>Guwahati DC</t>
        </is>
      </c>
      <c r="C1316" s="4" t="inlineStr">
        <is>
          <t>East</t>
        </is>
      </c>
      <c r="D1316" s="4" t="inlineStr">
        <is>
          <t>SKU112</t>
        </is>
      </c>
      <c r="E1316" s="4" t="inlineStr">
        <is>
          <t>Poly Mailer 100pk</t>
        </is>
      </c>
      <c r="F1316" s="4" t="inlineStr">
        <is>
          <t>Packaging &amp; Supplies</t>
        </is>
      </c>
      <c r="G1316" s="4" t="inlineStr">
        <is>
          <t>C</t>
        </is>
      </c>
      <c r="H1316" s="11" t="n">
        <v>0</v>
      </c>
      <c r="I1316" s="4" t="n">
        <v>51</v>
      </c>
      <c r="J1316" s="13">
        <f>IF(I1316&gt;0,H1316/I1316,"")</f>
        <v/>
      </c>
      <c r="K1316" s="4">
        <f>IF(I1316&lt;=0,"NO DEMAND",IF(H1316=0,"STOCKOUT",IF(J1316&lt;Config!$B$5,"CRITICAL",IF(J1316&lt;Config!$B$6,"LOW",IF(J1316&gt;Config!$B$7,"EXCESS","HEALTHY")))))</f>
        <v/>
      </c>
      <c r="L1316" s="11" t="n">
        <v>93</v>
      </c>
      <c r="M1316" s="11" t="n">
        <v>113</v>
      </c>
      <c r="N1316" s="11">
        <f>H1316*L1316</f>
        <v/>
      </c>
      <c r="O1316" s="11">
        <f>IF(I1316&gt;0,I1316*(M1316-L1316),0)</f>
        <v/>
      </c>
      <c r="P1316" s="11" t="n">
        <v>200</v>
      </c>
    </row>
    <row r="1317">
      <c r="A1317" s="4" t="inlineStr">
        <is>
          <t>WH11</t>
        </is>
      </c>
      <c r="B1317" s="4" t="inlineStr">
        <is>
          <t>Guwahati DC</t>
        </is>
      </c>
      <c r="C1317" s="4" t="inlineStr">
        <is>
          <t>East</t>
        </is>
      </c>
      <c r="D1317" s="4" t="inlineStr">
        <is>
          <t>SKU113</t>
        </is>
      </c>
      <c r="E1317" s="4" t="inlineStr">
        <is>
          <t>Void Fill Paper</t>
        </is>
      </c>
      <c r="F1317" s="4" t="inlineStr">
        <is>
          <t>Packaging &amp; Supplies</t>
        </is>
      </c>
      <c r="G1317" s="4" t="inlineStr">
        <is>
          <t>C</t>
        </is>
      </c>
      <c r="H1317" s="11" t="n">
        <v>245</v>
      </c>
      <c r="I1317" s="4" t="n">
        <v>69.5</v>
      </c>
      <c r="J1317" s="13">
        <f>IF(I1317&gt;0,H1317/I1317,"")</f>
        <v/>
      </c>
      <c r="K1317" s="4">
        <f>IF(I1317&lt;=0,"NO DEMAND",IF(H1317=0,"STOCKOUT",IF(J1317&lt;Config!$B$5,"CRITICAL",IF(J1317&lt;Config!$B$6,"LOW",IF(J1317&gt;Config!$B$7,"EXCESS","HEALTHY")))))</f>
        <v/>
      </c>
      <c r="L1317" s="11" t="n">
        <v>89</v>
      </c>
      <c r="M1317" s="11" t="n">
        <v>108</v>
      </c>
      <c r="N1317" s="11">
        <f>H1317*L1317</f>
        <v/>
      </c>
      <c r="O1317" s="11">
        <f>IF(I1317&gt;0,I1317*(M1317-L1317),0)</f>
        <v/>
      </c>
      <c r="P1317" s="11" t="n">
        <v>0</v>
      </c>
    </row>
    <row r="1318">
      <c r="A1318" s="4" t="inlineStr">
        <is>
          <t>WH11</t>
        </is>
      </c>
      <c r="B1318" s="4" t="inlineStr">
        <is>
          <t>Guwahati DC</t>
        </is>
      </c>
      <c r="C1318" s="4" t="inlineStr">
        <is>
          <t>East</t>
        </is>
      </c>
      <c r="D1318" s="4" t="inlineStr">
        <is>
          <t>SKU114</t>
        </is>
      </c>
      <c r="E1318" s="4" t="inlineStr">
        <is>
          <t>Cable Ties 100pk</t>
        </is>
      </c>
      <c r="F1318" s="4" t="inlineStr">
        <is>
          <t>Packaging &amp; Supplies</t>
        </is>
      </c>
      <c r="G1318" s="4" t="inlineStr">
        <is>
          <t>C</t>
        </is>
      </c>
      <c r="H1318" s="11" t="n">
        <v>0</v>
      </c>
      <c r="I1318" s="4" t="n">
        <v>334.75</v>
      </c>
      <c r="J1318" s="13">
        <f>IF(I1318&gt;0,H1318/I1318,"")</f>
        <v/>
      </c>
      <c r="K1318" s="4">
        <f>IF(I1318&lt;=0,"NO DEMAND",IF(H1318=0,"STOCKOUT",IF(J1318&lt;Config!$B$5,"CRITICAL",IF(J1318&lt;Config!$B$6,"LOW",IF(J1318&gt;Config!$B$7,"EXCESS","HEALTHY")))))</f>
        <v/>
      </c>
      <c r="L1318" s="11" t="n">
        <v>66</v>
      </c>
      <c r="M1318" s="11" t="n">
        <v>80</v>
      </c>
      <c r="N1318" s="11">
        <f>H1318*L1318</f>
        <v/>
      </c>
      <c r="O1318" s="11">
        <f>IF(I1318&gt;0,I1318*(M1318-L1318),0)</f>
        <v/>
      </c>
      <c r="P1318" s="11" t="n">
        <v>1480</v>
      </c>
    </row>
    <row r="1319">
      <c r="A1319" s="4" t="inlineStr">
        <is>
          <t>WH11</t>
        </is>
      </c>
      <c r="B1319" s="4" t="inlineStr">
        <is>
          <t>Guwahati DC</t>
        </is>
      </c>
      <c r="C1319" s="4" t="inlineStr">
        <is>
          <t>East</t>
        </is>
      </c>
      <c r="D1319" s="4" t="inlineStr">
        <is>
          <t>SKU115</t>
        </is>
      </c>
      <c r="E1319" s="4" t="inlineStr">
        <is>
          <t>Edge Protectors 50pk</t>
        </is>
      </c>
      <c r="F1319" s="4" t="inlineStr">
        <is>
          <t>Packaging &amp; Supplies</t>
        </is>
      </c>
      <c r="G1319" s="4" t="inlineStr">
        <is>
          <t>C</t>
        </is>
      </c>
      <c r="H1319" s="11" t="n">
        <v>134</v>
      </c>
      <c r="I1319" s="4" t="n">
        <v>14</v>
      </c>
      <c r="J1319" s="13">
        <f>IF(I1319&gt;0,H1319/I1319,"")</f>
        <v/>
      </c>
      <c r="K1319" s="4">
        <f>IF(I1319&lt;=0,"NO DEMAND",IF(H1319=0,"STOCKOUT",IF(J1319&lt;Config!$B$5,"CRITICAL",IF(J1319&lt;Config!$B$6,"LOW",IF(J1319&gt;Config!$B$7,"EXCESS","HEALTHY")))))</f>
        <v/>
      </c>
      <c r="L1319" s="11" t="n">
        <v>52</v>
      </c>
      <c r="M1319" s="11" t="n">
        <v>63</v>
      </c>
      <c r="N1319" s="11">
        <f>H1319*L1319</f>
        <v/>
      </c>
      <c r="O1319" s="11">
        <f>IF(I1319&gt;0,I1319*(M1319-L1319),0)</f>
        <v/>
      </c>
      <c r="P1319" s="11" t="n">
        <v>0</v>
      </c>
    </row>
    <row r="1320">
      <c r="A1320" s="4" t="inlineStr">
        <is>
          <t>WH11</t>
        </is>
      </c>
      <c r="B1320" s="4" t="inlineStr">
        <is>
          <t>Guwahati DC</t>
        </is>
      </c>
      <c r="C1320" s="4" t="inlineStr">
        <is>
          <t>East</t>
        </is>
      </c>
      <c r="D1320" s="4" t="inlineStr">
        <is>
          <t>SKU116</t>
        </is>
      </c>
      <c r="E1320" s="4" t="inlineStr">
        <is>
          <t>Pallet Wrap Hand</t>
        </is>
      </c>
      <c r="F1320" s="4" t="inlineStr">
        <is>
          <t>Packaging &amp; Supplies</t>
        </is>
      </c>
      <c r="G1320" s="4" t="inlineStr">
        <is>
          <t>C</t>
        </is>
      </c>
      <c r="H1320" s="11" t="n">
        <v>0</v>
      </c>
      <c r="I1320" s="4" t="n">
        <v>9.5</v>
      </c>
      <c r="J1320" s="13">
        <f>IF(I1320&gt;0,H1320/I1320,"")</f>
        <v/>
      </c>
      <c r="K1320" s="4">
        <f>IF(I1320&lt;=0,"NO DEMAND",IF(H1320=0,"STOCKOUT",IF(J1320&lt;Config!$B$5,"CRITICAL",IF(J1320&lt;Config!$B$6,"LOW",IF(J1320&gt;Config!$B$7,"EXCESS","HEALTHY")))))</f>
        <v/>
      </c>
      <c r="L1320" s="11" t="n">
        <v>39</v>
      </c>
      <c r="M1320" s="11" t="n">
        <v>47</v>
      </c>
      <c r="N1320" s="11">
        <f>H1320*L1320</f>
        <v/>
      </c>
      <c r="O1320" s="11">
        <f>IF(I1320&gt;0,I1320*(M1320-L1320),0)</f>
        <v/>
      </c>
      <c r="P1320" s="11" t="n">
        <v>240</v>
      </c>
    </row>
    <row r="1321">
      <c r="A1321" s="4" t="inlineStr">
        <is>
          <t>WH11</t>
        </is>
      </c>
      <c r="B1321" s="4" t="inlineStr">
        <is>
          <t>Guwahati DC</t>
        </is>
      </c>
      <c r="C1321" s="4" t="inlineStr">
        <is>
          <t>East</t>
        </is>
      </c>
      <c r="D1321" s="4" t="inlineStr">
        <is>
          <t>SKU117</t>
        </is>
      </c>
      <c r="E1321" s="4" t="inlineStr">
        <is>
          <t>Courier Bags 100pk</t>
        </is>
      </c>
      <c r="F1321" s="4" t="inlineStr">
        <is>
          <t>Packaging &amp; Supplies</t>
        </is>
      </c>
      <c r="G1321" s="4" t="inlineStr">
        <is>
          <t>C</t>
        </is>
      </c>
      <c r="H1321" s="11" t="n">
        <v>347</v>
      </c>
      <c r="I1321" s="4" t="n">
        <v>154.5</v>
      </c>
      <c r="J1321" s="13">
        <f>IF(I1321&gt;0,H1321/I1321,"")</f>
        <v/>
      </c>
      <c r="K1321" s="4">
        <f>IF(I1321&lt;=0,"NO DEMAND",IF(H1321=0,"STOCKOUT",IF(J1321&lt;Config!$B$5,"CRITICAL",IF(J1321&lt;Config!$B$6,"LOW",IF(J1321&gt;Config!$B$7,"EXCESS","HEALTHY")))))</f>
        <v/>
      </c>
      <c r="L1321" s="11" t="n">
        <v>21</v>
      </c>
      <c r="M1321" s="11" t="n">
        <v>25</v>
      </c>
      <c r="N1321" s="11">
        <f>H1321*L1321</f>
        <v/>
      </c>
      <c r="O1321" s="11">
        <f>IF(I1321&gt;0,I1321*(M1321-L1321),0)</f>
        <v/>
      </c>
      <c r="P1321" s="11" t="n">
        <v>0</v>
      </c>
    </row>
    <row r="1322">
      <c r="A1322" s="4" t="inlineStr">
        <is>
          <t>WH11</t>
        </is>
      </c>
      <c r="B1322" s="4" t="inlineStr">
        <is>
          <t>Guwahati DC</t>
        </is>
      </c>
      <c r="C1322" s="4" t="inlineStr">
        <is>
          <t>East</t>
        </is>
      </c>
      <c r="D1322" s="4" t="inlineStr">
        <is>
          <t>SKU118</t>
        </is>
      </c>
      <c r="E1322" s="4" t="inlineStr">
        <is>
          <t>Thermal Paper Roll 20pk</t>
        </is>
      </c>
      <c r="F1322" s="4" t="inlineStr">
        <is>
          <t>Packaging &amp; Supplies</t>
        </is>
      </c>
      <c r="G1322" s="4" t="inlineStr">
        <is>
          <t>B</t>
        </is>
      </c>
      <c r="H1322" s="11" t="n">
        <v>351</v>
      </c>
      <c r="I1322" s="4" t="n">
        <v>154.75</v>
      </c>
      <c r="J1322" s="13">
        <f>IF(I1322&gt;0,H1322/I1322,"")</f>
        <v/>
      </c>
      <c r="K1322" s="4">
        <f>IF(I1322&lt;=0,"NO DEMAND",IF(H1322=0,"STOCKOUT",IF(J1322&lt;Config!$B$5,"CRITICAL",IF(J1322&lt;Config!$B$6,"LOW",IF(J1322&gt;Config!$B$7,"EXCESS","HEALTHY")))))</f>
        <v/>
      </c>
      <c r="L1322" s="11" t="n">
        <v>181</v>
      </c>
      <c r="M1322" s="11" t="n">
        <v>218</v>
      </c>
      <c r="N1322" s="11">
        <f>H1322*L1322</f>
        <v/>
      </c>
      <c r="O1322" s="11">
        <f>IF(I1322&gt;0,I1322*(M1322-L1322),0)</f>
        <v/>
      </c>
      <c r="P1322" s="11" t="n">
        <v>0</v>
      </c>
    </row>
    <row r="1323">
      <c r="A1323" s="4" t="inlineStr">
        <is>
          <t>WH11</t>
        </is>
      </c>
      <c r="B1323" s="4" t="inlineStr">
        <is>
          <t>Guwahati DC</t>
        </is>
      </c>
      <c r="C1323" s="4" t="inlineStr">
        <is>
          <t>East</t>
        </is>
      </c>
      <c r="D1323" s="4" t="inlineStr">
        <is>
          <t>SKU119</t>
        </is>
      </c>
      <c r="E1323" s="4" t="inlineStr">
        <is>
          <t>Safety Gloves 12pk</t>
        </is>
      </c>
      <c r="F1323" s="4" t="inlineStr">
        <is>
          <t>Packaging &amp; Supplies</t>
        </is>
      </c>
      <c r="G1323" s="4" t="inlineStr">
        <is>
          <t>A</t>
        </is>
      </c>
      <c r="H1323" s="11" t="n">
        <v>502</v>
      </c>
      <c r="I1323" s="4" t="n">
        <v>107</v>
      </c>
      <c r="J1323" s="13">
        <f>IF(I1323&gt;0,H1323/I1323,"")</f>
        <v/>
      </c>
      <c r="K1323" s="4">
        <f>IF(I1323&lt;=0,"NO DEMAND",IF(H1323=0,"STOCKOUT",IF(J1323&lt;Config!$B$5,"CRITICAL",IF(J1323&lt;Config!$B$6,"LOW",IF(J1323&gt;Config!$B$7,"EXCESS","HEALTHY")))))</f>
        <v/>
      </c>
      <c r="L1323" s="11" t="n">
        <v>420</v>
      </c>
      <c r="M1323" s="11" t="n">
        <v>511</v>
      </c>
      <c r="N1323" s="11">
        <f>H1323*L1323</f>
        <v/>
      </c>
      <c r="O1323" s="11">
        <f>IF(I1323&gt;0,I1323*(M1323-L1323),0)</f>
        <v/>
      </c>
      <c r="P1323" s="11" t="n">
        <v>0</v>
      </c>
    </row>
    <row r="1324">
      <c r="A1324" s="4" t="inlineStr">
        <is>
          <t>WH11</t>
        </is>
      </c>
      <c r="B1324" s="4" t="inlineStr">
        <is>
          <t>Guwahati DC</t>
        </is>
      </c>
      <c r="C1324" s="4" t="inlineStr">
        <is>
          <t>East</t>
        </is>
      </c>
      <c r="D1324" s="4" t="inlineStr">
        <is>
          <t>SKU120</t>
        </is>
      </c>
      <c r="E1324" s="4" t="inlineStr">
        <is>
          <t>Cutter Blades 10pk</t>
        </is>
      </c>
      <c r="F1324" s="4" t="inlineStr">
        <is>
          <t>Packaging &amp; Supplies</t>
        </is>
      </c>
      <c r="G1324" s="4" t="inlineStr">
        <is>
          <t>C</t>
        </is>
      </c>
      <c r="H1324" s="11" t="n">
        <v>503</v>
      </c>
      <c r="I1324" s="4" t="n">
        <v>36.25</v>
      </c>
      <c r="J1324" s="13">
        <f>IF(I1324&gt;0,H1324/I1324,"")</f>
        <v/>
      </c>
      <c r="K1324" s="4">
        <f>IF(I1324&lt;=0,"NO DEMAND",IF(H1324=0,"STOCKOUT",IF(J1324&lt;Config!$B$5,"CRITICAL",IF(J1324&lt;Config!$B$6,"LOW",IF(J1324&gt;Config!$B$7,"EXCESS","HEALTHY")))))</f>
        <v/>
      </c>
      <c r="L1324" s="11" t="n">
        <v>30</v>
      </c>
      <c r="M1324" s="11" t="n">
        <v>35</v>
      </c>
      <c r="N1324" s="11">
        <f>H1324*L1324</f>
        <v/>
      </c>
      <c r="O1324" s="11">
        <f>IF(I1324&gt;0,I1324*(M1324-L1324),0)</f>
        <v/>
      </c>
      <c r="P1324" s="11" t="n">
        <v>0</v>
      </c>
    </row>
    <row r="1325">
      <c r="A1325" s="4" t="inlineStr">
        <is>
          <t>WH12</t>
        </is>
      </c>
      <c r="B1325" s="4" t="inlineStr">
        <is>
          <t>Nagpur DC</t>
        </is>
      </c>
      <c r="C1325" s="4" t="inlineStr">
        <is>
          <t>Central</t>
        </is>
      </c>
      <c r="D1325" s="4" t="inlineStr">
        <is>
          <t>SKU001</t>
        </is>
      </c>
      <c r="E1325" s="4" t="inlineStr">
        <is>
          <t>Atta 5kg</t>
        </is>
      </c>
      <c r="F1325" s="4" t="inlineStr">
        <is>
          <t>Packaged Staples</t>
        </is>
      </c>
      <c r="G1325" s="4" t="inlineStr">
        <is>
          <t>A</t>
        </is>
      </c>
      <c r="H1325" s="11" t="n">
        <v>410</v>
      </c>
      <c r="I1325" s="4" t="n">
        <v>543</v>
      </c>
      <c r="J1325" s="13">
        <f>IF(I1325&gt;0,H1325/I1325,"")</f>
        <v/>
      </c>
      <c r="K1325" s="4">
        <f>IF(I1325&lt;=0,"NO DEMAND",IF(H1325=0,"STOCKOUT",IF(J1325&lt;Config!$B$5,"CRITICAL",IF(J1325&lt;Config!$B$6,"LOW",IF(J1325&gt;Config!$B$7,"EXCESS","HEALTHY")))))</f>
        <v/>
      </c>
      <c r="L1325" s="11" t="n">
        <v>152</v>
      </c>
      <c r="M1325" s="11" t="n">
        <v>168</v>
      </c>
      <c r="N1325" s="11">
        <f>H1325*L1325</f>
        <v/>
      </c>
      <c r="O1325" s="11">
        <f>IF(I1325&gt;0,I1325*(M1325-L1325),0)</f>
        <v/>
      </c>
      <c r="P1325" s="11" t="n">
        <v>1860</v>
      </c>
    </row>
    <row r="1326">
      <c r="A1326" s="4" t="inlineStr">
        <is>
          <t>WH12</t>
        </is>
      </c>
      <c r="B1326" s="4" t="inlineStr">
        <is>
          <t>Nagpur DC</t>
        </is>
      </c>
      <c r="C1326" s="4" t="inlineStr">
        <is>
          <t>Central</t>
        </is>
      </c>
      <c r="D1326" s="4" t="inlineStr">
        <is>
          <t>SKU002</t>
        </is>
      </c>
      <c r="E1326" s="4" t="inlineStr">
        <is>
          <t>Basmati Rice 5kg</t>
        </is>
      </c>
      <c r="F1326" s="4" t="inlineStr">
        <is>
          <t>Packaged Staples</t>
        </is>
      </c>
      <c r="G1326" s="4" t="inlineStr">
        <is>
          <t>B</t>
        </is>
      </c>
      <c r="H1326" s="11" t="n">
        <v>2168</v>
      </c>
      <c r="I1326" s="4" t="n">
        <v>580</v>
      </c>
      <c r="J1326" s="13">
        <f>IF(I1326&gt;0,H1326/I1326,"")</f>
        <v/>
      </c>
      <c r="K1326" s="4">
        <f>IF(I1326&lt;=0,"NO DEMAND",IF(H1326=0,"STOCKOUT",IF(J1326&lt;Config!$B$5,"CRITICAL",IF(J1326&lt;Config!$B$6,"LOW",IF(J1326&gt;Config!$B$7,"EXCESS","HEALTHY")))))</f>
        <v/>
      </c>
      <c r="L1326" s="11" t="n">
        <v>59</v>
      </c>
      <c r="M1326" s="11" t="n">
        <v>66</v>
      </c>
      <c r="N1326" s="11">
        <f>H1326*L1326</f>
        <v/>
      </c>
      <c r="O1326" s="11">
        <f>IF(I1326&gt;0,I1326*(M1326-L1326),0)</f>
        <v/>
      </c>
      <c r="P1326" s="11" t="n">
        <v>0</v>
      </c>
    </row>
    <row r="1327">
      <c r="A1327" s="4" t="inlineStr">
        <is>
          <t>WH12</t>
        </is>
      </c>
      <c r="B1327" s="4" t="inlineStr">
        <is>
          <t>Nagpur DC</t>
        </is>
      </c>
      <c r="C1327" s="4" t="inlineStr">
        <is>
          <t>Central</t>
        </is>
      </c>
      <c r="D1327" s="4" t="inlineStr">
        <is>
          <t>SKU003</t>
        </is>
      </c>
      <c r="E1327" s="4" t="inlineStr">
        <is>
          <t>Toor Dal 1kg</t>
        </is>
      </c>
      <c r="F1327" s="4" t="inlineStr">
        <is>
          <t>Packaged Staples</t>
        </is>
      </c>
      <c r="G1327" s="4" t="inlineStr">
        <is>
          <t>A</t>
        </is>
      </c>
      <c r="H1327" s="11" t="n">
        <v>1923</v>
      </c>
      <c r="I1327" s="4" t="n">
        <v>537</v>
      </c>
      <c r="J1327" s="13">
        <f>IF(I1327&gt;0,H1327/I1327,"")</f>
        <v/>
      </c>
      <c r="K1327" s="4">
        <f>IF(I1327&lt;=0,"NO DEMAND",IF(H1327=0,"STOCKOUT",IF(J1327&lt;Config!$B$5,"CRITICAL",IF(J1327&lt;Config!$B$6,"LOW",IF(J1327&gt;Config!$B$7,"EXCESS","HEALTHY")))))</f>
        <v/>
      </c>
      <c r="L1327" s="11" t="n">
        <v>61</v>
      </c>
      <c r="M1327" s="11" t="n">
        <v>69</v>
      </c>
      <c r="N1327" s="11">
        <f>H1327*L1327</f>
        <v/>
      </c>
      <c r="O1327" s="11">
        <f>IF(I1327&gt;0,I1327*(M1327-L1327),0)</f>
        <v/>
      </c>
      <c r="P1327" s="11" t="n">
        <v>0</v>
      </c>
    </row>
    <row r="1328">
      <c r="A1328" s="4" t="inlineStr">
        <is>
          <t>WH12</t>
        </is>
      </c>
      <c r="B1328" s="4" t="inlineStr">
        <is>
          <t>Nagpur DC</t>
        </is>
      </c>
      <c r="C1328" s="4" t="inlineStr">
        <is>
          <t>Central</t>
        </is>
      </c>
      <c r="D1328" s="4" t="inlineStr">
        <is>
          <t>SKU004</t>
        </is>
      </c>
      <c r="E1328" s="4" t="inlineStr">
        <is>
          <t>Moong Dal 1kg</t>
        </is>
      </c>
      <c r="F1328" s="4" t="inlineStr">
        <is>
          <t>Packaged Staples</t>
        </is>
      </c>
      <c r="G1328" s="4" t="inlineStr">
        <is>
          <t>B</t>
        </is>
      </c>
      <c r="H1328" s="11" t="n">
        <v>817</v>
      </c>
      <c r="I1328" s="4" t="n">
        <v>467</v>
      </c>
      <c r="J1328" s="13">
        <f>IF(I1328&gt;0,H1328/I1328,"")</f>
        <v/>
      </c>
      <c r="K1328" s="4">
        <f>IF(I1328&lt;=0,"NO DEMAND",IF(H1328=0,"STOCKOUT",IF(J1328&lt;Config!$B$5,"CRITICAL",IF(J1328&lt;Config!$B$6,"LOW",IF(J1328&gt;Config!$B$7,"EXCESS","HEALTHY")))))</f>
        <v/>
      </c>
      <c r="L1328" s="11" t="n">
        <v>80</v>
      </c>
      <c r="M1328" s="11" t="n">
        <v>91</v>
      </c>
      <c r="N1328" s="11">
        <f>H1328*L1328</f>
        <v/>
      </c>
      <c r="O1328" s="11">
        <f>IF(I1328&gt;0,I1328*(M1328-L1328),0)</f>
        <v/>
      </c>
      <c r="P1328" s="11" t="n">
        <v>2088</v>
      </c>
    </row>
    <row r="1329">
      <c r="A1329" s="4" t="inlineStr">
        <is>
          <t>WH12</t>
        </is>
      </c>
      <c r="B1329" s="4" t="inlineStr">
        <is>
          <t>Nagpur DC</t>
        </is>
      </c>
      <c r="C1329" s="4" t="inlineStr">
        <is>
          <t>Central</t>
        </is>
      </c>
      <c r="D1329" s="4" t="inlineStr">
        <is>
          <t>SKU005</t>
        </is>
      </c>
      <c r="E1329" s="4" t="inlineStr">
        <is>
          <t>Sunflower Oil 1L</t>
        </is>
      </c>
      <c r="F1329" s="4" t="inlineStr">
        <is>
          <t>Packaged Staples</t>
        </is>
      </c>
      <c r="G1329" s="4" t="inlineStr">
        <is>
          <t>A</t>
        </is>
      </c>
      <c r="H1329" s="11" t="n">
        <v>663</v>
      </c>
      <c r="I1329" s="4" t="n">
        <v>1138.5</v>
      </c>
      <c r="J1329" s="13">
        <f>IF(I1329&gt;0,H1329/I1329,"")</f>
        <v/>
      </c>
      <c r="K1329" s="4">
        <f>IF(I1329&lt;=0,"NO DEMAND",IF(H1329=0,"STOCKOUT",IF(J1329&lt;Config!$B$5,"CRITICAL",IF(J1329&lt;Config!$B$6,"LOW",IF(J1329&gt;Config!$B$7,"EXCESS","HEALTHY")))))</f>
        <v/>
      </c>
      <c r="L1329" s="11" t="n">
        <v>245</v>
      </c>
      <c r="M1329" s="11" t="n">
        <v>273</v>
      </c>
      <c r="N1329" s="11">
        <f>H1329*L1329</f>
        <v/>
      </c>
      <c r="O1329" s="11">
        <f>IF(I1329&gt;0,I1329*(M1329-L1329),0)</f>
        <v/>
      </c>
      <c r="P1329" s="11" t="n">
        <v>3468</v>
      </c>
    </row>
    <row r="1330">
      <c r="A1330" s="4" t="inlineStr">
        <is>
          <t>WH12</t>
        </is>
      </c>
      <c r="B1330" s="4" t="inlineStr">
        <is>
          <t>Nagpur DC</t>
        </is>
      </c>
      <c r="C1330" s="4" t="inlineStr">
        <is>
          <t>Central</t>
        </is>
      </c>
      <c r="D1330" s="4" t="inlineStr">
        <is>
          <t>SKU006</t>
        </is>
      </c>
      <c r="E1330" s="4" t="inlineStr">
        <is>
          <t>Mustard Oil 1L</t>
        </is>
      </c>
      <c r="F1330" s="4" t="inlineStr">
        <is>
          <t>Packaged Staples</t>
        </is>
      </c>
      <c r="G1330" s="4" t="inlineStr">
        <is>
          <t>B</t>
        </is>
      </c>
      <c r="H1330" s="11" t="n">
        <v>1718</v>
      </c>
      <c r="I1330" s="4" t="n">
        <v>395.25</v>
      </c>
      <c r="J1330" s="13">
        <f>IF(I1330&gt;0,H1330/I1330,"")</f>
        <v/>
      </c>
      <c r="K1330" s="4">
        <f>IF(I1330&lt;=0,"NO DEMAND",IF(H1330=0,"STOCKOUT",IF(J1330&lt;Config!$B$5,"CRITICAL",IF(J1330&lt;Config!$B$6,"LOW",IF(J1330&gt;Config!$B$7,"EXCESS","HEALTHY")))))</f>
        <v/>
      </c>
      <c r="L1330" s="11" t="n">
        <v>68</v>
      </c>
      <c r="M1330" s="11" t="n">
        <v>77</v>
      </c>
      <c r="N1330" s="11">
        <f>H1330*L1330</f>
        <v/>
      </c>
      <c r="O1330" s="11">
        <f>IF(I1330&gt;0,I1330*(M1330-L1330),0)</f>
        <v/>
      </c>
      <c r="P1330" s="11" t="n">
        <v>0</v>
      </c>
    </row>
    <row r="1331">
      <c r="A1331" s="4" t="inlineStr">
        <is>
          <t>WH12</t>
        </is>
      </c>
      <c r="B1331" s="4" t="inlineStr">
        <is>
          <t>Nagpur DC</t>
        </is>
      </c>
      <c r="C1331" s="4" t="inlineStr">
        <is>
          <t>Central</t>
        </is>
      </c>
      <c r="D1331" s="4" t="inlineStr">
        <is>
          <t>SKU007</t>
        </is>
      </c>
      <c r="E1331" s="4" t="inlineStr">
        <is>
          <t>Sugar 1kg</t>
        </is>
      </c>
      <c r="F1331" s="4" t="inlineStr">
        <is>
          <t>Packaged Staples</t>
        </is>
      </c>
      <c r="G1331" s="4" t="inlineStr">
        <is>
          <t>A</t>
        </is>
      </c>
      <c r="H1331" s="11" t="n">
        <v>1985</v>
      </c>
      <c r="I1331" s="4" t="n">
        <v>706</v>
      </c>
      <c r="J1331" s="13">
        <f>IF(I1331&gt;0,H1331/I1331,"")</f>
        <v/>
      </c>
      <c r="K1331" s="4">
        <f>IF(I1331&lt;=0,"NO DEMAND",IF(H1331=0,"STOCKOUT",IF(J1331&lt;Config!$B$5,"CRITICAL",IF(J1331&lt;Config!$B$6,"LOW",IF(J1331&gt;Config!$B$7,"EXCESS","HEALTHY")))))</f>
        <v/>
      </c>
      <c r="L1331" s="11" t="n">
        <v>129</v>
      </c>
      <c r="M1331" s="11" t="n">
        <v>143</v>
      </c>
      <c r="N1331" s="11">
        <f>H1331*L1331</f>
        <v/>
      </c>
      <c r="O1331" s="11">
        <f>IF(I1331&gt;0,I1331*(M1331-L1331),0)</f>
        <v/>
      </c>
      <c r="P1331" s="11" t="n">
        <v>0</v>
      </c>
    </row>
    <row r="1332">
      <c r="A1332" s="4" t="inlineStr">
        <is>
          <t>WH12</t>
        </is>
      </c>
      <c r="B1332" s="4" t="inlineStr">
        <is>
          <t>Nagpur DC</t>
        </is>
      </c>
      <c r="C1332" s="4" t="inlineStr">
        <is>
          <t>Central</t>
        </is>
      </c>
      <c r="D1332" s="4" t="inlineStr">
        <is>
          <t>SKU008</t>
        </is>
      </c>
      <c r="E1332" s="4" t="inlineStr">
        <is>
          <t>Iodized Salt 1kg</t>
        </is>
      </c>
      <c r="F1332" s="4" t="inlineStr">
        <is>
          <t>Packaged Staples</t>
        </is>
      </c>
      <c r="G1332" s="4" t="inlineStr">
        <is>
          <t>A</t>
        </is>
      </c>
      <c r="H1332" s="11" t="n">
        <v>1148</v>
      </c>
      <c r="I1332" s="4" t="n">
        <v>414.25</v>
      </c>
      <c r="J1332" s="13">
        <f>IF(I1332&gt;0,H1332/I1332,"")</f>
        <v/>
      </c>
      <c r="K1332" s="4">
        <f>IF(I1332&lt;=0,"NO DEMAND",IF(H1332=0,"STOCKOUT",IF(J1332&lt;Config!$B$5,"CRITICAL",IF(J1332&lt;Config!$B$6,"LOW",IF(J1332&gt;Config!$B$7,"EXCESS","HEALTHY")))))</f>
        <v/>
      </c>
      <c r="L1332" s="11" t="n">
        <v>140</v>
      </c>
      <c r="M1332" s="11" t="n">
        <v>156</v>
      </c>
      <c r="N1332" s="11">
        <f>H1332*L1332</f>
        <v/>
      </c>
      <c r="O1332" s="11">
        <f>IF(I1332&gt;0,I1332*(M1332-L1332),0)</f>
        <v/>
      </c>
      <c r="P1332" s="11" t="n">
        <v>0</v>
      </c>
    </row>
    <row r="1333">
      <c r="A1333" s="4" t="inlineStr">
        <is>
          <t>WH12</t>
        </is>
      </c>
      <c r="B1333" s="4" t="inlineStr">
        <is>
          <t>Nagpur DC</t>
        </is>
      </c>
      <c r="C1333" s="4" t="inlineStr">
        <is>
          <t>Central</t>
        </is>
      </c>
      <c r="D1333" s="4" t="inlineStr">
        <is>
          <t>SKU009</t>
        </is>
      </c>
      <c r="E1333" s="4" t="inlineStr">
        <is>
          <t>Tea Leaves 500g</t>
        </is>
      </c>
      <c r="F1333" s="4" t="inlineStr">
        <is>
          <t>Packaged Staples</t>
        </is>
      </c>
      <c r="G1333" s="4" t="inlineStr">
        <is>
          <t>A</t>
        </is>
      </c>
      <c r="H1333" s="11" t="n">
        <v>1225</v>
      </c>
      <c r="I1333" s="4" t="n">
        <v>523.25</v>
      </c>
      <c r="J1333" s="13">
        <f>IF(I1333&gt;0,H1333/I1333,"")</f>
        <v/>
      </c>
      <c r="K1333" s="4">
        <f>IF(I1333&lt;=0,"NO DEMAND",IF(H1333=0,"STOCKOUT",IF(J1333&lt;Config!$B$5,"CRITICAL",IF(J1333&lt;Config!$B$6,"LOW",IF(J1333&gt;Config!$B$7,"EXCESS","HEALTHY")))))</f>
        <v/>
      </c>
      <c r="L1333" s="11" t="n">
        <v>103</v>
      </c>
      <c r="M1333" s="11" t="n">
        <v>116</v>
      </c>
      <c r="N1333" s="11">
        <f>H1333*L1333</f>
        <v/>
      </c>
      <c r="O1333" s="11">
        <f>IF(I1333&gt;0,I1333*(M1333-L1333),0)</f>
        <v/>
      </c>
      <c r="P1333" s="11" t="n">
        <v>0</v>
      </c>
    </row>
    <row r="1334">
      <c r="A1334" s="4" t="inlineStr">
        <is>
          <t>WH12</t>
        </is>
      </c>
      <c r="B1334" s="4" t="inlineStr">
        <is>
          <t>Nagpur DC</t>
        </is>
      </c>
      <c r="C1334" s="4" t="inlineStr">
        <is>
          <t>Central</t>
        </is>
      </c>
      <c r="D1334" s="4" t="inlineStr">
        <is>
          <t>SKU010</t>
        </is>
      </c>
      <c r="E1334" s="4" t="inlineStr">
        <is>
          <t>Poha 500g</t>
        </is>
      </c>
      <c r="F1334" s="4" t="inlineStr">
        <is>
          <t>Packaged Staples</t>
        </is>
      </c>
      <c r="G1334" s="4" t="inlineStr">
        <is>
          <t>B</t>
        </is>
      </c>
      <c r="H1334" s="11" t="n">
        <v>725</v>
      </c>
      <c r="I1334" s="4" t="n">
        <v>687.75</v>
      </c>
      <c r="J1334" s="13">
        <f>IF(I1334&gt;0,H1334/I1334,"")</f>
        <v/>
      </c>
      <c r="K1334" s="4">
        <f>IF(I1334&lt;=0,"NO DEMAND",IF(H1334=0,"STOCKOUT",IF(J1334&lt;Config!$B$5,"CRITICAL",IF(J1334&lt;Config!$B$6,"LOW",IF(J1334&gt;Config!$B$7,"EXCESS","HEALTHY")))))</f>
        <v/>
      </c>
      <c r="L1334" s="11" t="n">
        <v>40</v>
      </c>
      <c r="M1334" s="11" t="n">
        <v>45</v>
      </c>
      <c r="N1334" s="11">
        <f>H1334*L1334</f>
        <v/>
      </c>
      <c r="O1334" s="11">
        <f>IF(I1334&gt;0,I1334*(M1334-L1334),0)</f>
        <v/>
      </c>
      <c r="P1334" s="11" t="n">
        <v>2520</v>
      </c>
    </row>
    <row r="1335">
      <c r="A1335" s="4" t="inlineStr">
        <is>
          <t>WH12</t>
        </is>
      </c>
      <c r="B1335" s="4" t="inlineStr">
        <is>
          <t>Nagpur DC</t>
        </is>
      </c>
      <c r="C1335" s="4" t="inlineStr">
        <is>
          <t>Central</t>
        </is>
      </c>
      <c r="D1335" s="4" t="inlineStr">
        <is>
          <t>SKU011</t>
        </is>
      </c>
      <c r="E1335" s="4" t="inlineStr">
        <is>
          <t>Besan 1kg</t>
        </is>
      </c>
      <c r="F1335" s="4" t="inlineStr">
        <is>
          <t>Packaged Staples</t>
        </is>
      </c>
      <c r="G1335" s="4" t="inlineStr">
        <is>
          <t>A</t>
        </is>
      </c>
      <c r="H1335" s="11" t="n">
        <v>1338</v>
      </c>
      <c r="I1335" s="4" t="n">
        <v>799.75</v>
      </c>
      <c r="J1335" s="13">
        <f>IF(I1335&gt;0,H1335/I1335,"")</f>
        <v/>
      </c>
      <c r="K1335" s="4">
        <f>IF(I1335&lt;=0,"NO DEMAND",IF(H1335=0,"STOCKOUT",IF(J1335&lt;Config!$B$5,"CRITICAL",IF(J1335&lt;Config!$B$6,"LOW",IF(J1335&gt;Config!$B$7,"EXCESS","HEALTHY")))))</f>
        <v/>
      </c>
      <c r="L1335" s="11" t="n">
        <v>110</v>
      </c>
      <c r="M1335" s="11" t="n">
        <v>122</v>
      </c>
      <c r="N1335" s="11">
        <f>H1335*L1335</f>
        <v/>
      </c>
      <c r="O1335" s="11">
        <f>IF(I1335&gt;0,I1335*(M1335-L1335),0)</f>
        <v/>
      </c>
      <c r="P1335" s="11" t="n">
        <v>2604</v>
      </c>
    </row>
    <row r="1336">
      <c r="A1336" s="4" t="inlineStr">
        <is>
          <t>WH12</t>
        </is>
      </c>
      <c r="B1336" s="4" t="inlineStr">
        <is>
          <t>Nagpur DC</t>
        </is>
      </c>
      <c r="C1336" s="4" t="inlineStr">
        <is>
          <t>Central</t>
        </is>
      </c>
      <c r="D1336" s="4" t="inlineStr">
        <is>
          <t>SKU012</t>
        </is>
      </c>
      <c r="E1336" s="4" t="inlineStr">
        <is>
          <t>Rajma 1kg</t>
        </is>
      </c>
      <c r="F1336" s="4" t="inlineStr">
        <is>
          <t>Packaged Staples</t>
        </is>
      </c>
      <c r="G1336" s="4" t="inlineStr">
        <is>
          <t>B</t>
        </is>
      </c>
      <c r="H1336" s="11" t="n">
        <v>1413</v>
      </c>
      <c r="I1336" s="4" t="n">
        <v>447.5</v>
      </c>
      <c r="J1336" s="13">
        <f>IF(I1336&gt;0,H1336/I1336,"")</f>
        <v/>
      </c>
      <c r="K1336" s="4">
        <f>IF(I1336&lt;=0,"NO DEMAND",IF(H1336=0,"STOCKOUT",IF(J1336&lt;Config!$B$5,"CRITICAL",IF(J1336&lt;Config!$B$6,"LOW",IF(J1336&gt;Config!$B$7,"EXCESS","HEALTHY")))))</f>
        <v/>
      </c>
      <c r="L1336" s="11" t="n">
        <v>45</v>
      </c>
      <c r="M1336" s="11" t="n">
        <v>50</v>
      </c>
      <c r="N1336" s="11">
        <f>H1336*L1336</f>
        <v/>
      </c>
      <c r="O1336" s="11">
        <f>IF(I1336&gt;0,I1336*(M1336-L1336),0)</f>
        <v/>
      </c>
      <c r="P1336" s="11" t="n">
        <v>0</v>
      </c>
    </row>
    <row r="1337">
      <c r="A1337" s="4" t="inlineStr">
        <is>
          <t>WH12</t>
        </is>
      </c>
      <c r="B1337" s="4" t="inlineStr">
        <is>
          <t>Nagpur DC</t>
        </is>
      </c>
      <c r="C1337" s="4" t="inlineStr">
        <is>
          <t>Central</t>
        </is>
      </c>
      <c r="D1337" s="4" t="inlineStr">
        <is>
          <t>SKU013</t>
        </is>
      </c>
      <c r="E1337" s="4" t="inlineStr">
        <is>
          <t>Jaggery 1kg</t>
        </is>
      </c>
      <c r="F1337" s="4" t="inlineStr">
        <is>
          <t>Packaged Staples</t>
        </is>
      </c>
      <c r="G1337" s="4" t="inlineStr">
        <is>
          <t>A</t>
        </is>
      </c>
      <c r="H1337" s="11" t="n">
        <v>2714</v>
      </c>
      <c r="I1337" s="4" t="n">
        <v>572.25</v>
      </c>
      <c r="J1337" s="13">
        <f>IF(I1337&gt;0,H1337/I1337,"")</f>
        <v/>
      </c>
      <c r="K1337" s="4">
        <f>IF(I1337&lt;=0,"NO DEMAND",IF(H1337=0,"STOCKOUT",IF(J1337&lt;Config!$B$5,"CRITICAL",IF(J1337&lt;Config!$B$6,"LOW",IF(J1337&gt;Config!$B$7,"EXCESS","HEALTHY")))))</f>
        <v/>
      </c>
      <c r="L1337" s="11" t="n">
        <v>125</v>
      </c>
      <c r="M1337" s="11" t="n">
        <v>140</v>
      </c>
      <c r="N1337" s="11">
        <f>H1337*L1337</f>
        <v/>
      </c>
      <c r="O1337" s="11">
        <f>IF(I1337&gt;0,I1337*(M1337-L1337),0)</f>
        <v/>
      </c>
      <c r="P1337" s="11" t="n">
        <v>0</v>
      </c>
    </row>
    <row r="1338">
      <c r="A1338" s="4" t="inlineStr">
        <is>
          <t>WH12</t>
        </is>
      </c>
      <c r="B1338" s="4" t="inlineStr">
        <is>
          <t>Nagpur DC</t>
        </is>
      </c>
      <c r="C1338" s="4" t="inlineStr">
        <is>
          <t>Central</t>
        </is>
      </c>
      <c r="D1338" s="4" t="inlineStr">
        <is>
          <t>SKU014</t>
        </is>
      </c>
      <c r="E1338" s="4" t="inlineStr">
        <is>
          <t>Ghee 500ml</t>
        </is>
      </c>
      <c r="F1338" s="4" t="inlineStr">
        <is>
          <t>Packaged Staples</t>
        </is>
      </c>
      <c r="G1338" s="4" t="inlineStr">
        <is>
          <t>A</t>
        </is>
      </c>
      <c r="H1338" s="11" t="n">
        <v>0</v>
      </c>
      <c r="I1338" s="4" t="n">
        <v>366</v>
      </c>
      <c r="J1338" s="13">
        <f>IF(I1338&gt;0,H1338/I1338,"")</f>
        <v/>
      </c>
      <c r="K1338" s="4">
        <f>IF(I1338&lt;=0,"NO DEMAND",IF(H1338=0,"STOCKOUT",IF(J1338&lt;Config!$B$5,"CRITICAL",IF(J1338&lt;Config!$B$6,"LOW",IF(J1338&gt;Config!$B$7,"EXCESS","HEALTHY")))))</f>
        <v/>
      </c>
      <c r="L1338" s="11" t="n">
        <v>240</v>
      </c>
      <c r="M1338" s="11" t="n">
        <v>270</v>
      </c>
      <c r="N1338" s="11">
        <f>H1338*L1338</f>
        <v/>
      </c>
      <c r="O1338" s="11">
        <f>IF(I1338&gt;0,I1338*(M1338-L1338),0)</f>
        <v/>
      </c>
      <c r="P1338" s="11" t="n">
        <v>1728</v>
      </c>
    </row>
    <row r="1339">
      <c r="A1339" s="4" t="inlineStr">
        <is>
          <t>WH12</t>
        </is>
      </c>
      <c r="B1339" s="4" t="inlineStr">
        <is>
          <t>Nagpur DC</t>
        </is>
      </c>
      <c r="C1339" s="4" t="inlineStr">
        <is>
          <t>Central</t>
        </is>
      </c>
      <c r="D1339" s="4" t="inlineStr">
        <is>
          <t>SKU015</t>
        </is>
      </c>
      <c r="E1339" s="4" t="inlineStr">
        <is>
          <t>Suji 1kg</t>
        </is>
      </c>
      <c r="F1339" s="4" t="inlineStr">
        <is>
          <t>Packaged Staples</t>
        </is>
      </c>
      <c r="G1339" s="4" t="inlineStr">
        <is>
          <t>C</t>
        </is>
      </c>
      <c r="H1339" s="11" t="n">
        <v>1005</v>
      </c>
      <c r="I1339" s="4" t="n">
        <v>606.75</v>
      </c>
      <c r="J1339" s="13">
        <f>IF(I1339&gt;0,H1339/I1339,"")</f>
        <v/>
      </c>
      <c r="K1339" s="4">
        <f>IF(I1339&lt;=0,"NO DEMAND",IF(H1339=0,"STOCKOUT",IF(J1339&lt;Config!$B$5,"CRITICAL",IF(J1339&lt;Config!$B$6,"LOW",IF(J1339&gt;Config!$B$7,"EXCESS","HEALTHY")))))</f>
        <v/>
      </c>
      <c r="L1339" s="11" t="n">
        <v>42</v>
      </c>
      <c r="M1339" s="11" t="n">
        <v>47</v>
      </c>
      <c r="N1339" s="11">
        <f>H1339*L1339</f>
        <v/>
      </c>
      <c r="O1339" s="11">
        <f>IF(I1339&gt;0,I1339*(M1339-L1339),0)</f>
        <v/>
      </c>
      <c r="P1339" s="11" t="n">
        <v>2088</v>
      </c>
    </row>
    <row r="1340">
      <c r="A1340" s="4" t="inlineStr">
        <is>
          <t>WH12</t>
        </is>
      </c>
      <c r="B1340" s="4" t="inlineStr">
        <is>
          <t>Nagpur DC</t>
        </is>
      </c>
      <c r="C1340" s="4" t="inlineStr">
        <is>
          <t>Central</t>
        </is>
      </c>
      <c r="D1340" s="4" t="inlineStr">
        <is>
          <t>SKU016</t>
        </is>
      </c>
      <c r="E1340" s="4" t="inlineStr">
        <is>
          <t>Cola 750ml</t>
        </is>
      </c>
      <c r="F1340" s="4" t="inlineStr">
        <is>
          <t>Beverages</t>
        </is>
      </c>
      <c r="G1340" s="4" t="inlineStr">
        <is>
          <t>C</t>
        </is>
      </c>
      <c r="H1340" s="11" t="n">
        <v>423</v>
      </c>
      <c r="I1340" s="4" t="n">
        <v>206.25</v>
      </c>
      <c r="J1340" s="13">
        <f>IF(I1340&gt;0,H1340/I1340,"")</f>
        <v/>
      </c>
      <c r="K1340" s="4">
        <f>IF(I1340&lt;=0,"NO DEMAND",IF(H1340=0,"STOCKOUT",IF(J1340&lt;Config!$B$5,"CRITICAL",IF(J1340&lt;Config!$B$6,"LOW",IF(J1340&gt;Config!$B$7,"EXCESS","HEALTHY")))))</f>
        <v/>
      </c>
      <c r="L1340" s="11" t="n">
        <v>41</v>
      </c>
      <c r="M1340" s="11" t="n">
        <v>47</v>
      </c>
      <c r="N1340" s="11">
        <f>H1340*L1340</f>
        <v/>
      </c>
      <c r="O1340" s="11">
        <f>IF(I1340&gt;0,I1340*(M1340-L1340),0)</f>
        <v/>
      </c>
      <c r="P1340" s="11" t="n">
        <v>1248</v>
      </c>
    </row>
    <row r="1341">
      <c r="A1341" s="4" t="inlineStr">
        <is>
          <t>WH12</t>
        </is>
      </c>
      <c r="B1341" s="4" t="inlineStr">
        <is>
          <t>Nagpur DC</t>
        </is>
      </c>
      <c r="C1341" s="4" t="inlineStr">
        <is>
          <t>Central</t>
        </is>
      </c>
      <c r="D1341" s="4" t="inlineStr">
        <is>
          <t>SKU017</t>
        </is>
      </c>
      <c r="E1341" s="4" t="inlineStr">
        <is>
          <t>Lemon Soda 600ml</t>
        </is>
      </c>
      <c r="F1341" s="4" t="inlineStr">
        <is>
          <t>Beverages</t>
        </is>
      </c>
      <c r="G1341" s="4" t="inlineStr">
        <is>
          <t>B</t>
        </is>
      </c>
      <c r="H1341" s="11" t="n">
        <v>2758</v>
      </c>
      <c r="I1341" s="4" t="n">
        <v>442.75</v>
      </c>
      <c r="J1341" s="13">
        <f>IF(I1341&gt;0,H1341/I1341,"")</f>
        <v/>
      </c>
      <c r="K1341" s="4">
        <f>IF(I1341&lt;=0,"NO DEMAND",IF(H1341=0,"STOCKOUT",IF(J1341&lt;Config!$B$5,"CRITICAL",IF(J1341&lt;Config!$B$6,"LOW",IF(J1341&gt;Config!$B$7,"EXCESS","HEALTHY")))))</f>
        <v/>
      </c>
      <c r="L1341" s="11" t="n">
        <v>42</v>
      </c>
      <c r="M1341" s="11" t="n">
        <v>50</v>
      </c>
      <c r="N1341" s="11">
        <f>H1341*L1341</f>
        <v/>
      </c>
      <c r="O1341" s="11">
        <f>IF(I1341&gt;0,I1341*(M1341-L1341),0)</f>
        <v/>
      </c>
      <c r="P1341" s="11" t="n">
        <v>0</v>
      </c>
    </row>
    <row r="1342">
      <c r="A1342" s="4" t="inlineStr">
        <is>
          <t>WH12</t>
        </is>
      </c>
      <c r="B1342" s="4" t="inlineStr">
        <is>
          <t>Nagpur DC</t>
        </is>
      </c>
      <c r="C1342" s="4" t="inlineStr">
        <is>
          <t>Central</t>
        </is>
      </c>
      <c r="D1342" s="4" t="inlineStr">
        <is>
          <t>SKU018</t>
        </is>
      </c>
      <c r="E1342" s="4" t="inlineStr">
        <is>
          <t>Mango Drink 1L</t>
        </is>
      </c>
      <c r="F1342" s="4" t="inlineStr">
        <is>
          <t>Beverages</t>
        </is>
      </c>
      <c r="G1342" s="4" t="inlineStr">
        <is>
          <t>A</t>
        </is>
      </c>
      <c r="H1342" s="11" t="n">
        <v>1713</v>
      </c>
      <c r="I1342" s="4" t="n">
        <v>546.75</v>
      </c>
      <c r="J1342" s="13">
        <f>IF(I1342&gt;0,H1342/I1342,"")</f>
        <v/>
      </c>
      <c r="K1342" s="4">
        <f>IF(I1342&lt;=0,"NO DEMAND",IF(H1342=0,"STOCKOUT",IF(J1342&lt;Config!$B$5,"CRITICAL",IF(J1342&lt;Config!$B$6,"LOW",IF(J1342&gt;Config!$B$7,"EXCESS","HEALTHY")))))</f>
        <v/>
      </c>
      <c r="L1342" s="11" t="n">
        <v>101</v>
      </c>
      <c r="M1342" s="11" t="n">
        <v>117</v>
      </c>
      <c r="N1342" s="11">
        <f>H1342*L1342</f>
        <v/>
      </c>
      <c r="O1342" s="11">
        <f>IF(I1342&gt;0,I1342*(M1342-L1342),0)</f>
        <v/>
      </c>
      <c r="P1342" s="11" t="n">
        <v>0</v>
      </c>
    </row>
    <row r="1343">
      <c r="A1343" s="4" t="inlineStr">
        <is>
          <t>WH12</t>
        </is>
      </c>
      <c r="B1343" s="4" t="inlineStr">
        <is>
          <t>Nagpur DC</t>
        </is>
      </c>
      <c r="C1343" s="4" t="inlineStr">
        <is>
          <t>Central</t>
        </is>
      </c>
      <c r="D1343" s="4" t="inlineStr">
        <is>
          <t>SKU019</t>
        </is>
      </c>
      <c r="E1343" s="4" t="inlineStr">
        <is>
          <t>Packaged Water 1L</t>
        </is>
      </c>
      <c r="F1343" s="4" t="inlineStr">
        <is>
          <t>Beverages</t>
        </is>
      </c>
      <c r="G1343" s="4" t="inlineStr">
        <is>
          <t>A</t>
        </is>
      </c>
      <c r="H1343" s="11" t="n">
        <v>1605</v>
      </c>
      <c r="I1343" s="4" t="n">
        <v>522.5</v>
      </c>
      <c r="J1343" s="13">
        <f>IF(I1343&gt;0,H1343/I1343,"")</f>
        <v/>
      </c>
      <c r="K1343" s="4">
        <f>IF(I1343&lt;=0,"NO DEMAND",IF(H1343=0,"STOCKOUT",IF(J1343&lt;Config!$B$5,"CRITICAL",IF(J1343&lt;Config!$B$6,"LOW",IF(J1343&gt;Config!$B$7,"EXCESS","HEALTHY")))))</f>
        <v/>
      </c>
      <c r="L1343" s="11" t="n">
        <v>57</v>
      </c>
      <c r="M1343" s="11" t="n">
        <v>68</v>
      </c>
      <c r="N1343" s="11">
        <f>H1343*L1343</f>
        <v/>
      </c>
      <c r="O1343" s="11">
        <f>IF(I1343&gt;0,I1343*(M1343-L1343),0)</f>
        <v/>
      </c>
      <c r="P1343" s="11" t="n">
        <v>0</v>
      </c>
    </row>
    <row r="1344">
      <c r="A1344" s="4" t="inlineStr">
        <is>
          <t>WH12</t>
        </is>
      </c>
      <c r="B1344" s="4" t="inlineStr">
        <is>
          <t>Nagpur DC</t>
        </is>
      </c>
      <c r="C1344" s="4" t="inlineStr">
        <is>
          <t>Central</t>
        </is>
      </c>
      <c r="D1344" s="4" t="inlineStr">
        <is>
          <t>SKU020</t>
        </is>
      </c>
      <c r="E1344" s="4" t="inlineStr">
        <is>
          <t>Energy Drink 250ml</t>
        </is>
      </c>
      <c r="F1344" s="4" t="inlineStr">
        <is>
          <t>Beverages</t>
        </is>
      </c>
      <c r="G1344" s="4" t="inlineStr">
        <is>
          <t>B</t>
        </is>
      </c>
      <c r="H1344" s="11" t="n">
        <v>2074</v>
      </c>
      <c r="I1344" s="4" t="n">
        <v>395.75</v>
      </c>
      <c r="J1344" s="13">
        <f>IF(I1344&gt;0,H1344/I1344,"")</f>
        <v/>
      </c>
      <c r="K1344" s="4">
        <f>IF(I1344&lt;=0,"NO DEMAND",IF(H1344=0,"STOCKOUT",IF(J1344&lt;Config!$B$5,"CRITICAL",IF(J1344&lt;Config!$B$6,"LOW",IF(J1344&gt;Config!$B$7,"EXCESS","HEALTHY")))))</f>
        <v/>
      </c>
      <c r="L1344" s="11" t="n">
        <v>24</v>
      </c>
      <c r="M1344" s="11" t="n">
        <v>28</v>
      </c>
      <c r="N1344" s="11">
        <f>H1344*L1344</f>
        <v/>
      </c>
      <c r="O1344" s="11">
        <f>IF(I1344&gt;0,I1344*(M1344-L1344),0)</f>
        <v/>
      </c>
      <c r="P1344" s="11" t="n">
        <v>0</v>
      </c>
    </row>
    <row r="1345">
      <c r="A1345" s="4" t="inlineStr">
        <is>
          <t>WH12</t>
        </is>
      </c>
      <c r="B1345" s="4" t="inlineStr">
        <is>
          <t>Nagpur DC</t>
        </is>
      </c>
      <c r="C1345" s="4" t="inlineStr">
        <is>
          <t>Central</t>
        </is>
      </c>
      <c r="D1345" s="4" t="inlineStr">
        <is>
          <t>SKU021</t>
        </is>
      </c>
      <c r="E1345" s="4" t="inlineStr">
        <is>
          <t>Fruit Juice 1L</t>
        </is>
      </c>
      <c r="F1345" s="4" t="inlineStr">
        <is>
          <t>Beverages</t>
        </is>
      </c>
      <c r="G1345" s="4" t="inlineStr">
        <is>
          <t>A</t>
        </is>
      </c>
      <c r="H1345" s="11" t="n">
        <v>3205</v>
      </c>
      <c r="I1345" s="4" t="n">
        <v>564</v>
      </c>
      <c r="J1345" s="13">
        <f>IF(I1345&gt;0,H1345/I1345,"")</f>
        <v/>
      </c>
      <c r="K1345" s="4">
        <f>IF(I1345&lt;=0,"NO DEMAND",IF(H1345=0,"STOCKOUT",IF(J1345&lt;Config!$B$5,"CRITICAL",IF(J1345&lt;Config!$B$6,"LOW",IF(J1345&gt;Config!$B$7,"EXCESS","HEALTHY")))))</f>
        <v/>
      </c>
      <c r="L1345" s="11" t="n">
        <v>54</v>
      </c>
      <c r="M1345" s="11" t="n">
        <v>63</v>
      </c>
      <c r="N1345" s="11">
        <f>H1345*L1345</f>
        <v/>
      </c>
      <c r="O1345" s="11">
        <f>IF(I1345&gt;0,I1345*(M1345-L1345),0)</f>
        <v/>
      </c>
      <c r="P1345" s="11" t="n">
        <v>0</v>
      </c>
    </row>
    <row r="1346">
      <c r="A1346" s="4" t="inlineStr">
        <is>
          <t>WH12</t>
        </is>
      </c>
      <c r="B1346" s="4" t="inlineStr">
        <is>
          <t>Nagpur DC</t>
        </is>
      </c>
      <c r="C1346" s="4" t="inlineStr">
        <is>
          <t>Central</t>
        </is>
      </c>
      <c r="D1346" s="4" t="inlineStr">
        <is>
          <t>SKU022</t>
        </is>
      </c>
      <c r="E1346" s="4" t="inlineStr">
        <is>
          <t>Iced Tea 500ml</t>
        </is>
      </c>
      <c r="F1346" s="4" t="inlineStr">
        <is>
          <t>Beverages</t>
        </is>
      </c>
      <c r="G1346" s="4" t="inlineStr">
        <is>
          <t>A</t>
        </is>
      </c>
      <c r="H1346" s="11" t="n">
        <v>2462</v>
      </c>
      <c r="I1346" s="4" t="n">
        <v>442.75</v>
      </c>
      <c r="J1346" s="13">
        <f>IF(I1346&gt;0,H1346/I1346,"")</f>
        <v/>
      </c>
      <c r="K1346" s="4">
        <f>IF(I1346&lt;=0,"NO DEMAND",IF(H1346=0,"STOCKOUT",IF(J1346&lt;Config!$B$5,"CRITICAL",IF(J1346&lt;Config!$B$6,"LOW",IF(J1346&gt;Config!$B$7,"EXCESS","HEALTHY")))))</f>
        <v/>
      </c>
      <c r="L1346" s="11" t="n">
        <v>53</v>
      </c>
      <c r="M1346" s="11" t="n">
        <v>64</v>
      </c>
      <c r="N1346" s="11">
        <f>H1346*L1346</f>
        <v/>
      </c>
      <c r="O1346" s="11">
        <f>IF(I1346&gt;0,I1346*(M1346-L1346),0)</f>
        <v/>
      </c>
      <c r="P1346" s="11" t="n">
        <v>0</v>
      </c>
    </row>
    <row r="1347">
      <c r="A1347" s="4" t="inlineStr">
        <is>
          <t>WH12</t>
        </is>
      </c>
      <c r="B1347" s="4" t="inlineStr">
        <is>
          <t>Nagpur DC</t>
        </is>
      </c>
      <c r="C1347" s="4" t="inlineStr">
        <is>
          <t>Central</t>
        </is>
      </c>
      <c r="D1347" s="4" t="inlineStr">
        <is>
          <t>SKU023</t>
        </is>
      </c>
      <c r="E1347" s="4" t="inlineStr">
        <is>
          <t>Coconut Water 200ml</t>
        </is>
      </c>
      <c r="F1347" s="4" t="inlineStr">
        <is>
          <t>Beverages</t>
        </is>
      </c>
      <c r="G1347" s="4" t="inlineStr">
        <is>
          <t>A</t>
        </is>
      </c>
      <c r="H1347" s="11" t="n">
        <v>3176</v>
      </c>
      <c r="I1347" s="4" t="n">
        <v>508.5</v>
      </c>
      <c r="J1347" s="13">
        <f>IF(I1347&gt;0,H1347/I1347,"")</f>
        <v/>
      </c>
      <c r="K1347" s="4">
        <f>IF(I1347&lt;=0,"NO DEMAND",IF(H1347=0,"STOCKOUT",IF(J1347&lt;Config!$B$5,"CRITICAL",IF(J1347&lt;Config!$B$6,"LOW",IF(J1347&gt;Config!$B$7,"EXCESS","HEALTHY")))))</f>
        <v/>
      </c>
      <c r="L1347" s="11" t="n">
        <v>59</v>
      </c>
      <c r="M1347" s="11" t="n">
        <v>69</v>
      </c>
      <c r="N1347" s="11">
        <f>H1347*L1347</f>
        <v/>
      </c>
      <c r="O1347" s="11">
        <f>IF(I1347&gt;0,I1347*(M1347-L1347),0)</f>
        <v/>
      </c>
      <c r="P1347" s="11" t="n">
        <v>0</v>
      </c>
    </row>
    <row r="1348">
      <c r="A1348" s="4" t="inlineStr">
        <is>
          <t>WH12</t>
        </is>
      </c>
      <c r="B1348" s="4" t="inlineStr">
        <is>
          <t>Nagpur DC</t>
        </is>
      </c>
      <c r="C1348" s="4" t="inlineStr">
        <is>
          <t>Central</t>
        </is>
      </c>
      <c r="D1348" s="4" t="inlineStr">
        <is>
          <t>SKU024</t>
        </is>
      </c>
      <c r="E1348" s="4" t="inlineStr">
        <is>
          <t>Instant Coffee 100g</t>
        </is>
      </c>
      <c r="F1348" s="4" t="inlineStr">
        <is>
          <t>Beverages</t>
        </is>
      </c>
      <c r="G1348" s="4" t="inlineStr">
        <is>
          <t>C</t>
        </is>
      </c>
      <c r="H1348" s="11" t="n">
        <v>148</v>
      </c>
      <c r="I1348" s="4" t="n">
        <v>197.5</v>
      </c>
      <c r="J1348" s="13">
        <f>IF(I1348&gt;0,H1348/I1348,"")</f>
        <v/>
      </c>
      <c r="K1348" s="4">
        <f>IF(I1348&lt;=0,"NO DEMAND",IF(H1348=0,"STOCKOUT",IF(J1348&lt;Config!$B$5,"CRITICAL",IF(J1348&lt;Config!$B$6,"LOW",IF(J1348&gt;Config!$B$7,"EXCESS","HEALTHY")))))</f>
        <v/>
      </c>
      <c r="L1348" s="11" t="n">
        <v>27</v>
      </c>
      <c r="M1348" s="11" t="n">
        <v>31</v>
      </c>
      <c r="N1348" s="11">
        <f>H1348*L1348</f>
        <v/>
      </c>
      <c r="O1348" s="11">
        <f>IF(I1348&gt;0,I1348*(M1348-L1348),0)</f>
        <v/>
      </c>
      <c r="P1348" s="11" t="n">
        <v>1416</v>
      </c>
    </row>
    <row r="1349">
      <c r="A1349" s="4" t="inlineStr">
        <is>
          <t>WH12</t>
        </is>
      </c>
      <c r="B1349" s="4" t="inlineStr">
        <is>
          <t>Nagpur DC</t>
        </is>
      </c>
      <c r="C1349" s="4" t="inlineStr">
        <is>
          <t>Central</t>
        </is>
      </c>
      <c r="D1349" s="4" t="inlineStr">
        <is>
          <t>SKU025</t>
        </is>
      </c>
      <c r="E1349" s="4" t="inlineStr">
        <is>
          <t>Tea Bags 100pk</t>
        </is>
      </c>
      <c r="F1349" s="4" t="inlineStr">
        <is>
          <t>Beverages</t>
        </is>
      </c>
      <c r="G1349" s="4" t="inlineStr">
        <is>
          <t>C</t>
        </is>
      </c>
      <c r="H1349" s="11" t="n">
        <v>147</v>
      </c>
      <c r="I1349" s="4" t="n">
        <v>96.75</v>
      </c>
      <c r="J1349" s="13">
        <f>IF(I1349&gt;0,H1349/I1349,"")</f>
        <v/>
      </c>
      <c r="K1349" s="4">
        <f>IF(I1349&lt;=0,"NO DEMAND",IF(H1349=0,"STOCKOUT",IF(J1349&lt;Config!$B$5,"CRITICAL",IF(J1349&lt;Config!$B$6,"LOW",IF(J1349&gt;Config!$B$7,"EXCESS","HEALTHY")))))</f>
        <v/>
      </c>
      <c r="L1349" s="11" t="n">
        <v>24</v>
      </c>
      <c r="M1349" s="11" t="n">
        <v>28</v>
      </c>
      <c r="N1349" s="11">
        <f>H1349*L1349</f>
        <v/>
      </c>
      <c r="O1349" s="11">
        <f>IF(I1349&gt;0,I1349*(M1349-L1349),0)</f>
        <v/>
      </c>
      <c r="P1349" s="11" t="n">
        <v>2784</v>
      </c>
    </row>
    <row r="1350">
      <c r="A1350" s="4" t="inlineStr">
        <is>
          <t>WH12</t>
        </is>
      </c>
      <c r="B1350" s="4" t="inlineStr">
        <is>
          <t>Nagpur DC</t>
        </is>
      </c>
      <c r="C1350" s="4" t="inlineStr">
        <is>
          <t>Central</t>
        </is>
      </c>
      <c r="D1350" s="4" t="inlineStr">
        <is>
          <t>SKU026</t>
        </is>
      </c>
      <c r="E1350" s="4" t="inlineStr">
        <is>
          <t>Buttermilk 200ml</t>
        </is>
      </c>
      <c r="F1350" s="4" t="inlineStr">
        <is>
          <t>Beverages</t>
        </is>
      </c>
      <c r="G1350" s="4" t="inlineStr">
        <is>
          <t>B</t>
        </is>
      </c>
      <c r="H1350" s="11" t="n">
        <v>277</v>
      </c>
      <c r="I1350" s="4" t="n">
        <v>341.25</v>
      </c>
      <c r="J1350" s="13">
        <f>IF(I1350&gt;0,H1350/I1350,"")</f>
        <v/>
      </c>
      <c r="K1350" s="4">
        <f>IF(I1350&lt;=0,"NO DEMAND",IF(H1350=0,"STOCKOUT",IF(J1350&lt;Config!$B$5,"CRITICAL",IF(J1350&lt;Config!$B$6,"LOW",IF(J1350&gt;Config!$B$7,"EXCESS","HEALTHY")))))</f>
        <v/>
      </c>
      <c r="L1350" s="11" t="n">
        <v>31</v>
      </c>
      <c r="M1350" s="11" t="n">
        <v>36</v>
      </c>
      <c r="N1350" s="11">
        <f>H1350*L1350</f>
        <v/>
      </c>
      <c r="O1350" s="11">
        <f>IF(I1350&gt;0,I1350*(M1350-L1350),0)</f>
        <v/>
      </c>
      <c r="P1350" s="11" t="n">
        <v>1968</v>
      </c>
    </row>
    <row r="1351">
      <c r="A1351" s="4" t="inlineStr">
        <is>
          <t>WH12</t>
        </is>
      </c>
      <c r="B1351" s="4" t="inlineStr">
        <is>
          <t>Nagpur DC</t>
        </is>
      </c>
      <c r="C1351" s="4" t="inlineStr">
        <is>
          <t>Central</t>
        </is>
      </c>
      <c r="D1351" s="4" t="inlineStr">
        <is>
          <t>SKU027</t>
        </is>
      </c>
      <c r="E1351" s="4" t="inlineStr">
        <is>
          <t>Lassi 200ml</t>
        </is>
      </c>
      <c r="F1351" s="4" t="inlineStr">
        <is>
          <t>Beverages</t>
        </is>
      </c>
      <c r="G1351" s="4" t="inlineStr">
        <is>
          <t>A</t>
        </is>
      </c>
      <c r="H1351" s="11" t="n">
        <v>1554</v>
      </c>
      <c r="I1351" s="4" t="n">
        <v>439.5</v>
      </c>
      <c r="J1351" s="13">
        <f>IF(I1351&gt;0,H1351/I1351,"")</f>
        <v/>
      </c>
      <c r="K1351" s="4">
        <f>IF(I1351&lt;=0,"NO DEMAND",IF(H1351=0,"STOCKOUT",IF(J1351&lt;Config!$B$5,"CRITICAL",IF(J1351&lt;Config!$B$6,"LOW",IF(J1351&gt;Config!$B$7,"EXCESS","HEALTHY")))))</f>
        <v/>
      </c>
      <c r="L1351" s="11" t="n">
        <v>60</v>
      </c>
      <c r="M1351" s="11" t="n">
        <v>72</v>
      </c>
      <c r="N1351" s="11">
        <f>H1351*L1351</f>
        <v/>
      </c>
      <c r="O1351" s="11">
        <f>IF(I1351&gt;0,I1351*(M1351-L1351),0)</f>
        <v/>
      </c>
      <c r="P1351" s="11" t="n">
        <v>0</v>
      </c>
    </row>
    <row r="1352">
      <c r="A1352" s="4" t="inlineStr">
        <is>
          <t>WH12</t>
        </is>
      </c>
      <c r="B1352" s="4" t="inlineStr">
        <is>
          <t>Nagpur DC</t>
        </is>
      </c>
      <c r="C1352" s="4" t="inlineStr">
        <is>
          <t>Central</t>
        </is>
      </c>
      <c r="D1352" s="4" t="inlineStr">
        <is>
          <t>SKU028</t>
        </is>
      </c>
      <c r="E1352" s="4" t="inlineStr">
        <is>
          <t>Sports Drink 500ml</t>
        </is>
      </c>
      <c r="F1352" s="4" t="inlineStr">
        <is>
          <t>Beverages</t>
        </is>
      </c>
      <c r="G1352" s="4" t="inlineStr">
        <is>
          <t>A</t>
        </is>
      </c>
      <c r="H1352" s="11" t="n">
        <v>2226</v>
      </c>
      <c r="I1352" s="4" t="n">
        <v>197.5</v>
      </c>
      <c r="J1352" s="13">
        <f>IF(I1352&gt;0,H1352/I1352,"")</f>
        <v/>
      </c>
      <c r="K1352" s="4">
        <f>IF(I1352&lt;=0,"NO DEMAND",IF(H1352=0,"STOCKOUT",IF(J1352&lt;Config!$B$5,"CRITICAL",IF(J1352&lt;Config!$B$6,"LOW",IF(J1352&gt;Config!$B$7,"EXCESS","HEALTHY")))))</f>
        <v/>
      </c>
      <c r="L1352" s="11" t="n">
        <v>110</v>
      </c>
      <c r="M1352" s="11" t="n">
        <v>131</v>
      </c>
      <c r="N1352" s="11">
        <f>H1352*L1352</f>
        <v/>
      </c>
      <c r="O1352" s="11">
        <f>IF(I1352&gt;0,I1352*(M1352-L1352),0)</f>
        <v/>
      </c>
      <c r="P1352" s="11" t="n">
        <v>0</v>
      </c>
    </row>
    <row r="1353">
      <c r="A1353" s="4" t="inlineStr">
        <is>
          <t>WH12</t>
        </is>
      </c>
      <c r="B1353" s="4" t="inlineStr">
        <is>
          <t>Nagpur DC</t>
        </is>
      </c>
      <c r="C1353" s="4" t="inlineStr">
        <is>
          <t>Central</t>
        </is>
      </c>
      <c r="D1353" s="4" t="inlineStr">
        <is>
          <t>SKU029</t>
        </is>
      </c>
      <c r="E1353" s="4" t="inlineStr">
        <is>
          <t>Tonic Water 300ml</t>
        </is>
      </c>
      <c r="F1353" s="4" t="inlineStr">
        <is>
          <t>Beverages</t>
        </is>
      </c>
      <c r="G1353" s="4" t="inlineStr">
        <is>
          <t>B</t>
        </is>
      </c>
      <c r="H1353" s="11" t="n">
        <v>1775</v>
      </c>
      <c r="I1353" s="4" t="n">
        <v>461</v>
      </c>
      <c r="J1353" s="13">
        <f>IF(I1353&gt;0,H1353/I1353,"")</f>
        <v/>
      </c>
      <c r="K1353" s="4">
        <f>IF(I1353&lt;=0,"NO DEMAND",IF(H1353=0,"STOCKOUT",IF(J1353&lt;Config!$B$5,"CRITICAL",IF(J1353&lt;Config!$B$6,"LOW",IF(J1353&gt;Config!$B$7,"EXCESS","HEALTHY")))))</f>
        <v/>
      </c>
      <c r="L1353" s="11" t="n">
        <v>23</v>
      </c>
      <c r="M1353" s="11" t="n">
        <v>27</v>
      </c>
      <c r="N1353" s="11">
        <f>H1353*L1353</f>
        <v/>
      </c>
      <c r="O1353" s="11">
        <f>IF(I1353&gt;0,I1353*(M1353-L1353),0)</f>
        <v/>
      </c>
      <c r="P1353" s="11" t="n">
        <v>0</v>
      </c>
    </row>
    <row r="1354">
      <c r="A1354" s="4" t="inlineStr">
        <is>
          <t>WH12</t>
        </is>
      </c>
      <c r="B1354" s="4" t="inlineStr">
        <is>
          <t>Nagpur DC</t>
        </is>
      </c>
      <c r="C1354" s="4" t="inlineStr">
        <is>
          <t>Central</t>
        </is>
      </c>
      <c r="D1354" s="4" t="inlineStr">
        <is>
          <t>SKU030</t>
        </is>
      </c>
      <c r="E1354" s="4" t="inlineStr">
        <is>
          <t>Malt Drink 500g</t>
        </is>
      </c>
      <c r="F1354" s="4" t="inlineStr">
        <is>
          <t>Beverages</t>
        </is>
      </c>
      <c r="G1354" s="4" t="inlineStr">
        <is>
          <t>C</t>
        </is>
      </c>
      <c r="H1354" s="11" t="n">
        <v>2020</v>
      </c>
      <c r="I1354" s="4" t="n">
        <v>363.5</v>
      </c>
      <c r="J1354" s="13">
        <f>IF(I1354&gt;0,H1354/I1354,"")</f>
        <v/>
      </c>
      <c r="K1354" s="4">
        <f>IF(I1354&lt;=0,"NO DEMAND",IF(H1354=0,"STOCKOUT",IF(J1354&lt;Config!$B$5,"CRITICAL",IF(J1354&lt;Config!$B$6,"LOW",IF(J1354&gt;Config!$B$7,"EXCESS","HEALTHY")))))</f>
        <v/>
      </c>
      <c r="L1354" s="11" t="n">
        <v>31</v>
      </c>
      <c r="M1354" s="11" t="n">
        <v>37</v>
      </c>
      <c r="N1354" s="11">
        <f>H1354*L1354</f>
        <v/>
      </c>
      <c r="O1354" s="11">
        <f>IF(I1354&gt;0,I1354*(M1354-L1354),0)</f>
        <v/>
      </c>
      <c r="P1354" s="11" t="n">
        <v>0</v>
      </c>
    </row>
    <row r="1355">
      <c r="A1355" s="4" t="inlineStr">
        <is>
          <t>WH12</t>
        </is>
      </c>
      <c r="B1355" s="4" t="inlineStr">
        <is>
          <t>Nagpur DC</t>
        </is>
      </c>
      <c r="C1355" s="4" t="inlineStr">
        <is>
          <t>Central</t>
        </is>
      </c>
      <c r="D1355" s="4" t="inlineStr">
        <is>
          <t>SKU031</t>
        </is>
      </c>
      <c r="E1355" s="4" t="inlineStr">
        <is>
          <t>Potato Chips 90g</t>
        </is>
      </c>
      <c r="F1355" s="4" t="inlineStr">
        <is>
          <t>Snacks &amp; Confectionery</t>
        </is>
      </c>
      <c r="G1355" s="4" t="inlineStr">
        <is>
          <t>C</t>
        </is>
      </c>
      <c r="H1355" s="11" t="n">
        <v>1735</v>
      </c>
      <c r="I1355" s="4" t="n">
        <v>995.5</v>
      </c>
      <c r="J1355" s="13">
        <f>IF(I1355&gt;0,H1355/I1355,"")</f>
        <v/>
      </c>
      <c r="K1355" s="4">
        <f>IF(I1355&lt;=0,"NO DEMAND",IF(H1355=0,"STOCKOUT",IF(J1355&lt;Config!$B$5,"CRITICAL",IF(J1355&lt;Config!$B$6,"LOW",IF(J1355&gt;Config!$B$7,"EXCESS","HEALTHY")))))</f>
        <v/>
      </c>
      <c r="L1355" s="11" t="n">
        <v>13</v>
      </c>
      <c r="M1355" s="11" t="n">
        <v>16</v>
      </c>
      <c r="N1355" s="11">
        <f>H1355*L1355</f>
        <v/>
      </c>
      <c r="O1355" s="11">
        <f>IF(I1355&gt;0,I1355*(M1355-L1355),0)</f>
        <v/>
      </c>
      <c r="P1355" s="11" t="n">
        <v>0</v>
      </c>
    </row>
    <row r="1356">
      <c r="A1356" s="4" t="inlineStr">
        <is>
          <t>WH12</t>
        </is>
      </c>
      <c r="B1356" s="4" t="inlineStr">
        <is>
          <t>Nagpur DC</t>
        </is>
      </c>
      <c r="C1356" s="4" t="inlineStr">
        <is>
          <t>Central</t>
        </is>
      </c>
      <c r="D1356" s="4" t="inlineStr">
        <is>
          <t>SKU032</t>
        </is>
      </c>
      <c r="E1356" s="4" t="inlineStr">
        <is>
          <t>Namkeen Mix 400g</t>
        </is>
      </c>
      <c r="F1356" s="4" t="inlineStr">
        <is>
          <t>Snacks &amp; Confectionery</t>
        </is>
      </c>
      <c r="G1356" s="4" t="inlineStr">
        <is>
          <t>C</t>
        </is>
      </c>
      <c r="H1356" s="11" t="n">
        <v>521</v>
      </c>
      <c r="I1356" s="4" t="n">
        <v>480.5</v>
      </c>
      <c r="J1356" s="13">
        <f>IF(I1356&gt;0,H1356/I1356,"")</f>
        <v/>
      </c>
      <c r="K1356" s="4">
        <f>IF(I1356&lt;=0,"NO DEMAND",IF(H1356=0,"STOCKOUT",IF(J1356&lt;Config!$B$5,"CRITICAL",IF(J1356&lt;Config!$B$6,"LOW",IF(J1356&gt;Config!$B$7,"EXCESS","HEALTHY")))))</f>
        <v/>
      </c>
      <c r="L1356" s="11" t="n">
        <v>14</v>
      </c>
      <c r="M1356" s="11" t="n">
        <v>17</v>
      </c>
      <c r="N1356" s="11">
        <f>H1356*L1356</f>
        <v/>
      </c>
      <c r="O1356" s="11">
        <f>IF(I1356&gt;0,I1356*(M1356-L1356),0)</f>
        <v/>
      </c>
      <c r="P1356" s="11" t="n">
        <v>1920</v>
      </c>
    </row>
    <row r="1357">
      <c r="A1357" s="4" t="inlineStr">
        <is>
          <t>WH12</t>
        </is>
      </c>
      <c r="B1357" s="4" t="inlineStr">
        <is>
          <t>Nagpur DC</t>
        </is>
      </c>
      <c r="C1357" s="4" t="inlineStr">
        <is>
          <t>Central</t>
        </is>
      </c>
      <c r="D1357" s="4" t="inlineStr">
        <is>
          <t>SKU033</t>
        </is>
      </c>
      <c r="E1357" s="4" t="inlineStr">
        <is>
          <t>Glucose Biscuits 300g</t>
        </is>
      </c>
      <c r="F1357" s="4" t="inlineStr">
        <is>
          <t>Snacks &amp; Confectionery</t>
        </is>
      </c>
      <c r="G1357" s="4" t="inlineStr">
        <is>
          <t>A</t>
        </is>
      </c>
      <c r="H1357" s="11" t="n">
        <v>1917</v>
      </c>
      <c r="I1357" s="4" t="n">
        <v>104.75</v>
      </c>
      <c r="J1357" s="13">
        <f>IF(I1357&gt;0,H1357/I1357,"")</f>
        <v/>
      </c>
      <c r="K1357" s="4">
        <f>IF(I1357&lt;=0,"NO DEMAND",IF(H1357=0,"STOCKOUT",IF(J1357&lt;Config!$B$5,"CRITICAL",IF(J1357&lt;Config!$B$6,"LOW",IF(J1357&gt;Config!$B$7,"EXCESS","HEALTHY")))))</f>
        <v/>
      </c>
      <c r="L1357" s="11" t="n">
        <v>119</v>
      </c>
      <c r="M1357" s="11" t="n">
        <v>144</v>
      </c>
      <c r="N1357" s="11">
        <f>H1357*L1357</f>
        <v/>
      </c>
      <c r="O1357" s="11">
        <f>IF(I1357&gt;0,I1357*(M1357-L1357),0)</f>
        <v/>
      </c>
      <c r="P1357" s="11" t="n">
        <v>0</v>
      </c>
    </row>
    <row r="1358">
      <c r="A1358" s="4" t="inlineStr">
        <is>
          <t>WH12</t>
        </is>
      </c>
      <c r="B1358" s="4" t="inlineStr">
        <is>
          <t>Nagpur DC</t>
        </is>
      </c>
      <c r="C1358" s="4" t="inlineStr">
        <is>
          <t>Central</t>
        </is>
      </c>
      <c r="D1358" s="4" t="inlineStr">
        <is>
          <t>SKU034</t>
        </is>
      </c>
      <c r="E1358" s="4" t="inlineStr">
        <is>
          <t>Cream Biscuits 120g</t>
        </is>
      </c>
      <c r="F1358" s="4" t="inlineStr">
        <is>
          <t>Snacks &amp; Confectionery</t>
        </is>
      </c>
      <c r="G1358" s="4" t="inlineStr">
        <is>
          <t>B</t>
        </is>
      </c>
      <c r="H1358" s="11" t="n">
        <v>1538</v>
      </c>
      <c r="I1358" s="4" t="n">
        <v>512</v>
      </c>
      <c r="J1358" s="13">
        <f>IF(I1358&gt;0,H1358/I1358,"")</f>
        <v/>
      </c>
      <c r="K1358" s="4">
        <f>IF(I1358&lt;=0,"NO DEMAND",IF(H1358=0,"STOCKOUT",IF(J1358&lt;Config!$B$5,"CRITICAL",IF(J1358&lt;Config!$B$6,"LOW",IF(J1358&gt;Config!$B$7,"EXCESS","HEALTHY")))))</f>
        <v/>
      </c>
      <c r="L1358" s="11" t="n">
        <v>61</v>
      </c>
      <c r="M1358" s="11" t="n">
        <v>73</v>
      </c>
      <c r="N1358" s="11">
        <f>H1358*L1358</f>
        <v/>
      </c>
      <c r="O1358" s="11">
        <f>IF(I1358&gt;0,I1358*(M1358-L1358),0)</f>
        <v/>
      </c>
      <c r="P1358" s="11" t="n">
        <v>0</v>
      </c>
    </row>
    <row r="1359">
      <c r="A1359" s="4" t="inlineStr">
        <is>
          <t>WH12</t>
        </is>
      </c>
      <c r="B1359" s="4" t="inlineStr">
        <is>
          <t>Nagpur DC</t>
        </is>
      </c>
      <c r="C1359" s="4" t="inlineStr">
        <is>
          <t>Central</t>
        </is>
      </c>
      <c r="D1359" s="4" t="inlineStr">
        <is>
          <t>SKU035</t>
        </is>
      </c>
      <c r="E1359" s="4" t="inlineStr">
        <is>
          <t>Chocolate Bar 40g</t>
        </is>
      </c>
      <c r="F1359" s="4" t="inlineStr">
        <is>
          <t>Snacks &amp; Confectionery</t>
        </is>
      </c>
      <c r="G1359" s="4" t="inlineStr">
        <is>
          <t>C</t>
        </is>
      </c>
      <c r="H1359" s="11" t="n">
        <v>1464</v>
      </c>
      <c r="I1359" s="4" t="n">
        <v>502</v>
      </c>
      <c r="J1359" s="13">
        <f>IF(I1359&gt;0,H1359/I1359,"")</f>
        <v/>
      </c>
      <c r="K1359" s="4">
        <f>IF(I1359&lt;=0,"NO DEMAND",IF(H1359=0,"STOCKOUT",IF(J1359&lt;Config!$B$5,"CRITICAL",IF(J1359&lt;Config!$B$6,"LOW",IF(J1359&gt;Config!$B$7,"EXCESS","HEALTHY")))))</f>
        <v/>
      </c>
      <c r="L1359" s="11" t="n">
        <v>16</v>
      </c>
      <c r="M1359" s="11" t="n">
        <v>20</v>
      </c>
      <c r="N1359" s="11">
        <f>H1359*L1359</f>
        <v/>
      </c>
      <c r="O1359" s="11">
        <f>IF(I1359&gt;0,I1359*(M1359-L1359),0)</f>
        <v/>
      </c>
      <c r="P1359" s="11" t="n">
        <v>0</v>
      </c>
    </row>
    <row r="1360">
      <c r="A1360" s="4" t="inlineStr">
        <is>
          <t>WH12</t>
        </is>
      </c>
      <c r="B1360" s="4" t="inlineStr">
        <is>
          <t>Nagpur DC</t>
        </is>
      </c>
      <c r="C1360" s="4" t="inlineStr">
        <is>
          <t>Central</t>
        </is>
      </c>
      <c r="D1360" s="4" t="inlineStr">
        <is>
          <t>SKU036</t>
        </is>
      </c>
      <c r="E1360" s="4" t="inlineStr">
        <is>
          <t>Instant Noodles 70g</t>
        </is>
      </c>
      <c r="F1360" s="4" t="inlineStr">
        <is>
          <t>Snacks &amp; Confectionery</t>
        </is>
      </c>
      <c r="G1360" s="4" t="inlineStr">
        <is>
          <t>C</t>
        </is>
      </c>
      <c r="H1360" s="11" t="n">
        <v>1032</v>
      </c>
      <c r="I1360" s="4" t="n">
        <v>378.75</v>
      </c>
      <c r="J1360" s="13">
        <f>IF(I1360&gt;0,H1360/I1360,"")</f>
        <v/>
      </c>
      <c r="K1360" s="4">
        <f>IF(I1360&lt;=0,"NO DEMAND",IF(H1360=0,"STOCKOUT",IF(J1360&lt;Config!$B$5,"CRITICAL",IF(J1360&lt;Config!$B$6,"LOW",IF(J1360&gt;Config!$B$7,"EXCESS","HEALTHY")))))</f>
        <v/>
      </c>
      <c r="L1360" s="11" t="n">
        <v>19</v>
      </c>
      <c r="M1360" s="11" t="n">
        <v>24</v>
      </c>
      <c r="N1360" s="11">
        <f>H1360*L1360</f>
        <v/>
      </c>
      <c r="O1360" s="11">
        <f>IF(I1360&gt;0,I1360*(M1360-L1360),0)</f>
        <v/>
      </c>
      <c r="P1360" s="11" t="n">
        <v>0</v>
      </c>
    </row>
    <row r="1361">
      <c r="A1361" s="4" t="inlineStr">
        <is>
          <t>WH12</t>
        </is>
      </c>
      <c r="B1361" s="4" t="inlineStr">
        <is>
          <t>Nagpur DC</t>
        </is>
      </c>
      <c r="C1361" s="4" t="inlineStr">
        <is>
          <t>Central</t>
        </is>
      </c>
      <c r="D1361" s="4" t="inlineStr">
        <is>
          <t>SKU037</t>
        </is>
      </c>
      <c r="E1361" s="4" t="inlineStr">
        <is>
          <t>Popcorn 60g</t>
        </is>
      </c>
      <c r="F1361" s="4" t="inlineStr">
        <is>
          <t>Snacks &amp; Confectionery</t>
        </is>
      </c>
      <c r="G1361" s="4" t="inlineStr">
        <is>
          <t>A</t>
        </is>
      </c>
      <c r="H1361" s="11" t="n">
        <v>507</v>
      </c>
      <c r="I1361" s="4" t="n">
        <v>289.5</v>
      </c>
      <c r="J1361" s="13">
        <f>IF(I1361&gt;0,H1361/I1361,"")</f>
        <v/>
      </c>
      <c r="K1361" s="4">
        <f>IF(I1361&lt;=0,"NO DEMAND",IF(H1361=0,"STOCKOUT",IF(J1361&lt;Config!$B$5,"CRITICAL",IF(J1361&lt;Config!$B$6,"LOW",IF(J1361&gt;Config!$B$7,"EXCESS","HEALTHY")))))</f>
        <v/>
      </c>
      <c r="L1361" s="11" t="n">
        <v>137</v>
      </c>
      <c r="M1361" s="11" t="n">
        <v>163</v>
      </c>
      <c r="N1361" s="11">
        <f>H1361*L1361</f>
        <v/>
      </c>
      <c r="O1361" s="11">
        <f>IF(I1361&gt;0,I1361*(M1361-L1361),0)</f>
        <v/>
      </c>
      <c r="P1361" s="11" t="n">
        <v>1152</v>
      </c>
    </row>
    <row r="1362">
      <c r="A1362" s="4" t="inlineStr">
        <is>
          <t>WH12</t>
        </is>
      </c>
      <c r="B1362" s="4" t="inlineStr">
        <is>
          <t>Nagpur DC</t>
        </is>
      </c>
      <c r="C1362" s="4" t="inlineStr">
        <is>
          <t>Central</t>
        </is>
      </c>
      <c r="D1362" s="4" t="inlineStr">
        <is>
          <t>SKU038</t>
        </is>
      </c>
      <c r="E1362" s="4" t="inlineStr">
        <is>
          <t>Peanut Chikki 200g</t>
        </is>
      </c>
      <c r="F1362" s="4" t="inlineStr">
        <is>
          <t>Snacks &amp; Confectionery</t>
        </is>
      </c>
      <c r="G1362" s="4" t="inlineStr">
        <is>
          <t>C</t>
        </is>
      </c>
      <c r="H1362" s="11" t="n">
        <v>1033</v>
      </c>
      <c r="I1362" s="4" t="n">
        <v>473.75</v>
      </c>
      <c r="J1362" s="13">
        <f>IF(I1362&gt;0,H1362/I1362,"")</f>
        <v/>
      </c>
      <c r="K1362" s="4">
        <f>IF(I1362&lt;=0,"NO DEMAND",IF(H1362=0,"STOCKOUT",IF(J1362&lt;Config!$B$5,"CRITICAL",IF(J1362&lt;Config!$B$6,"LOW",IF(J1362&gt;Config!$B$7,"EXCESS","HEALTHY")))))</f>
        <v/>
      </c>
      <c r="L1362" s="11" t="n">
        <v>18</v>
      </c>
      <c r="M1362" s="11" t="n">
        <v>22</v>
      </c>
      <c r="N1362" s="11">
        <f>H1362*L1362</f>
        <v/>
      </c>
      <c r="O1362" s="11">
        <f>IF(I1362&gt;0,I1362*(M1362-L1362),0)</f>
        <v/>
      </c>
      <c r="P1362" s="11" t="n">
        <v>0</v>
      </c>
    </row>
    <row r="1363">
      <c r="A1363" s="4" t="inlineStr">
        <is>
          <t>WH12</t>
        </is>
      </c>
      <c r="B1363" s="4" t="inlineStr">
        <is>
          <t>Nagpur DC</t>
        </is>
      </c>
      <c r="C1363" s="4" t="inlineStr">
        <is>
          <t>Central</t>
        </is>
      </c>
      <c r="D1363" s="4" t="inlineStr">
        <is>
          <t>SKU039</t>
        </is>
      </c>
      <c r="E1363" s="4" t="inlineStr">
        <is>
          <t>Cookies 200g</t>
        </is>
      </c>
      <c r="F1363" s="4" t="inlineStr">
        <is>
          <t>Snacks &amp; Confectionery</t>
        </is>
      </c>
      <c r="G1363" s="4" t="inlineStr">
        <is>
          <t>A</t>
        </is>
      </c>
      <c r="H1363" s="11" t="n">
        <v>1753</v>
      </c>
      <c r="I1363" s="4" t="n">
        <v>1046.25</v>
      </c>
      <c r="J1363" s="13">
        <f>IF(I1363&gt;0,H1363/I1363,"")</f>
        <v/>
      </c>
      <c r="K1363" s="4">
        <f>IF(I1363&lt;=0,"NO DEMAND",IF(H1363=0,"STOCKOUT",IF(J1363&lt;Config!$B$5,"CRITICAL",IF(J1363&lt;Config!$B$6,"LOW",IF(J1363&gt;Config!$B$7,"EXCESS","HEALTHY")))))</f>
        <v/>
      </c>
      <c r="L1363" s="11" t="n">
        <v>126</v>
      </c>
      <c r="M1363" s="11" t="n">
        <v>150</v>
      </c>
      <c r="N1363" s="11">
        <f>H1363*L1363</f>
        <v/>
      </c>
      <c r="O1363" s="11">
        <f>IF(I1363&gt;0,I1363*(M1363-L1363),0)</f>
        <v/>
      </c>
      <c r="P1363" s="11" t="n">
        <v>3852</v>
      </c>
    </row>
    <row r="1364">
      <c r="A1364" s="4" t="inlineStr">
        <is>
          <t>WH12</t>
        </is>
      </c>
      <c r="B1364" s="4" t="inlineStr">
        <is>
          <t>Nagpur DC</t>
        </is>
      </c>
      <c r="C1364" s="4" t="inlineStr">
        <is>
          <t>Central</t>
        </is>
      </c>
      <c r="D1364" s="4" t="inlineStr">
        <is>
          <t>SKU040</t>
        </is>
      </c>
      <c r="E1364" s="4" t="inlineStr">
        <is>
          <t>Wafers 75g</t>
        </is>
      </c>
      <c r="F1364" s="4" t="inlineStr">
        <is>
          <t>Snacks &amp; Confectionery</t>
        </is>
      </c>
      <c r="G1364" s="4" t="inlineStr">
        <is>
          <t>A</t>
        </is>
      </c>
      <c r="H1364" s="11" t="n">
        <v>1616</v>
      </c>
      <c r="I1364" s="4" t="n">
        <v>553.5</v>
      </c>
      <c r="J1364" s="13">
        <f>IF(I1364&gt;0,H1364/I1364,"")</f>
        <v/>
      </c>
      <c r="K1364" s="4">
        <f>IF(I1364&lt;=0,"NO DEMAND",IF(H1364=0,"STOCKOUT",IF(J1364&lt;Config!$B$5,"CRITICAL",IF(J1364&lt;Config!$B$6,"LOW",IF(J1364&gt;Config!$B$7,"EXCESS","HEALTHY")))))</f>
        <v/>
      </c>
      <c r="L1364" s="11" t="n">
        <v>90</v>
      </c>
      <c r="M1364" s="11" t="n">
        <v>109</v>
      </c>
      <c r="N1364" s="11">
        <f>H1364*L1364</f>
        <v/>
      </c>
      <c r="O1364" s="11">
        <f>IF(I1364&gt;0,I1364*(M1364-L1364),0)</f>
        <v/>
      </c>
      <c r="P1364" s="11" t="n">
        <v>0</v>
      </c>
    </row>
    <row r="1365">
      <c r="A1365" s="4" t="inlineStr">
        <is>
          <t>WH12</t>
        </is>
      </c>
      <c r="B1365" s="4" t="inlineStr">
        <is>
          <t>Nagpur DC</t>
        </is>
      </c>
      <c r="C1365" s="4" t="inlineStr">
        <is>
          <t>Central</t>
        </is>
      </c>
      <c r="D1365" s="4" t="inlineStr">
        <is>
          <t>SKU041</t>
        </is>
      </c>
      <c r="E1365" s="4" t="inlineStr">
        <is>
          <t>Mathri 250g</t>
        </is>
      </c>
      <c r="F1365" s="4" t="inlineStr">
        <is>
          <t>Snacks &amp; Confectionery</t>
        </is>
      </c>
      <c r="G1365" s="4" t="inlineStr">
        <is>
          <t>A</t>
        </is>
      </c>
      <c r="H1365" s="11" t="n">
        <v>1198</v>
      </c>
      <c r="I1365" s="4" t="n">
        <v>391</v>
      </c>
      <c r="J1365" s="13">
        <f>IF(I1365&gt;0,H1365/I1365,"")</f>
        <v/>
      </c>
      <c r="K1365" s="4">
        <f>IF(I1365&lt;=0,"NO DEMAND",IF(H1365=0,"STOCKOUT",IF(J1365&lt;Config!$B$5,"CRITICAL",IF(J1365&lt;Config!$B$6,"LOW",IF(J1365&gt;Config!$B$7,"EXCESS","HEALTHY")))))</f>
        <v/>
      </c>
      <c r="L1365" s="11" t="n">
        <v>100</v>
      </c>
      <c r="M1365" s="11" t="n">
        <v>125</v>
      </c>
      <c r="N1365" s="11">
        <f>H1365*L1365</f>
        <v/>
      </c>
      <c r="O1365" s="11">
        <f>IF(I1365&gt;0,I1365*(M1365-L1365),0)</f>
        <v/>
      </c>
      <c r="P1365" s="11" t="n">
        <v>0</v>
      </c>
    </row>
    <row r="1366">
      <c r="A1366" s="4" t="inlineStr">
        <is>
          <t>WH12</t>
        </is>
      </c>
      <c r="B1366" s="4" t="inlineStr">
        <is>
          <t>Nagpur DC</t>
        </is>
      </c>
      <c r="C1366" s="4" t="inlineStr">
        <is>
          <t>Central</t>
        </is>
      </c>
      <c r="D1366" s="4" t="inlineStr">
        <is>
          <t>SKU042</t>
        </is>
      </c>
      <c r="E1366" s="4" t="inlineStr">
        <is>
          <t>Dry Fruit Mix 250g</t>
        </is>
      </c>
      <c r="F1366" s="4" t="inlineStr">
        <is>
          <t>Snacks &amp; Confectionery</t>
        </is>
      </c>
      <c r="G1366" s="4" t="inlineStr">
        <is>
          <t>A</t>
        </is>
      </c>
      <c r="H1366" s="11" t="n">
        <v>883</v>
      </c>
      <c r="I1366" s="4" t="n">
        <v>152</v>
      </c>
      <c r="J1366" s="13">
        <f>IF(I1366&gt;0,H1366/I1366,"")</f>
        <v/>
      </c>
      <c r="K1366" s="4">
        <f>IF(I1366&lt;=0,"NO DEMAND",IF(H1366=0,"STOCKOUT",IF(J1366&lt;Config!$B$5,"CRITICAL",IF(J1366&lt;Config!$B$6,"LOW",IF(J1366&gt;Config!$B$7,"EXCESS","HEALTHY")))))</f>
        <v/>
      </c>
      <c r="L1366" s="11" t="n">
        <v>74</v>
      </c>
      <c r="M1366" s="11" t="n">
        <v>88</v>
      </c>
      <c r="N1366" s="11">
        <f>H1366*L1366</f>
        <v/>
      </c>
      <c r="O1366" s="11">
        <f>IF(I1366&gt;0,I1366*(M1366-L1366),0)</f>
        <v/>
      </c>
      <c r="P1366" s="11" t="n">
        <v>0</v>
      </c>
    </row>
    <row r="1367">
      <c r="A1367" s="4" t="inlineStr">
        <is>
          <t>WH12</t>
        </is>
      </c>
      <c r="B1367" s="4" t="inlineStr">
        <is>
          <t>Nagpur DC</t>
        </is>
      </c>
      <c r="C1367" s="4" t="inlineStr">
        <is>
          <t>Central</t>
        </is>
      </c>
      <c r="D1367" s="4" t="inlineStr">
        <is>
          <t>SKU043</t>
        </is>
      </c>
      <c r="E1367" s="4" t="inlineStr">
        <is>
          <t>Soan Papdi 500g</t>
        </is>
      </c>
      <c r="F1367" s="4" t="inlineStr">
        <is>
          <t>Snacks &amp; Confectionery</t>
        </is>
      </c>
      <c r="G1367" s="4" t="inlineStr">
        <is>
          <t>C</t>
        </is>
      </c>
      <c r="H1367" s="11" t="n">
        <v>975</v>
      </c>
      <c r="I1367" s="4" t="n">
        <v>86.5</v>
      </c>
      <c r="J1367" s="13">
        <f>IF(I1367&gt;0,H1367/I1367,"")</f>
        <v/>
      </c>
      <c r="K1367" s="4">
        <f>IF(I1367&lt;=0,"NO DEMAND",IF(H1367=0,"STOCKOUT",IF(J1367&lt;Config!$B$5,"CRITICAL",IF(J1367&lt;Config!$B$6,"LOW",IF(J1367&gt;Config!$B$7,"EXCESS","HEALTHY")))))</f>
        <v/>
      </c>
      <c r="L1367" s="11" t="n">
        <v>15</v>
      </c>
      <c r="M1367" s="11" t="n">
        <v>18</v>
      </c>
      <c r="N1367" s="11">
        <f>H1367*L1367</f>
        <v/>
      </c>
      <c r="O1367" s="11">
        <f>IF(I1367&gt;0,I1367*(M1367-L1367),0)</f>
        <v/>
      </c>
      <c r="P1367" s="11" t="n">
        <v>0</v>
      </c>
    </row>
    <row r="1368">
      <c r="A1368" s="4" t="inlineStr">
        <is>
          <t>WH12</t>
        </is>
      </c>
      <c r="B1368" s="4" t="inlineStr">
        <is>
          <t>Nagpur DC</t>
        </is>
      </c>
      <c r="C1368" s="4" t="inlineStr">
        <is>
          <t>Central</t>
        </is>
      </c>
      <c r="D1368" s="4" t="inlineStr">
        <is>
          <t>SKU044</t>
        </is>
      </c>
      <c r="E1368" s="4" t="inlineStr">
        <is>
          <t>Rusk 300g</t>
        </is>
      </c>
      <c r="F1368" s="4" t="inlineStr">
        <is>
          <t>Snacks &amp; Confectionery</t>
        </is>
      </c>
      <c r="G1368" s="4" t="inlineStr">
        <is>
          <t>A</t>
        </is>
      </c>
      <c r="H1368" s="11" t="n">
        <v>1700</v>
      </c>
      <c r="I1368" s="4" t="n">
        <v>143</v>
      </c>
      <c r="J1368" s="13">
        <f>IF(I1368&gt;0,H1368/I1368,"")</f>
        <v/>
      </c>
      <c r="K1368" s="4">
        <f>IF(I1368&lt;=0,"NO DEMAND",IF(H1368=0,"STOCKOUT",IF(J1368&lt;Config!$B$5,"CRITICAL",IF(J1368&lt;Config!$B$6,"LOW",IF(J1368&gt;Config!$B$7,"EXCESS","HEALTHY")))))</f>
        <v/>
      </c>
      <c r="L1368" s="11" t="n">
        <v>57</v>
      </c>
      <c r="M1368" s="11" t="n">
        <v>70</v>
      </c>
      <c r="N1368" s="11">
        <f>H1368*L1368</f>
        <v/>
      </c>
      <c r="O1368" s="11">
        <f>IF(I1368&gt;0,I1368*(M1368-L1368),0)</f>
        <v/>
      </c>
      <c r="P1368" s="11" t="n">
        <v>0</v>
      </c>
    </row>
    <row r="1369">
      <c r="A1369" s="4" t="inlineStr">
        <is>
          <t>WH12</t>
        </is>
      </c>
      <c r="B1369" s="4" t="inlineStr">
        <is>
          <t>Nagpur DC</t>
        </is>
      </c>
      <c r="C1369" s="4" t="inlineStr">
        <is>
          <t>Central</t>
        </is>
      </c>
      <c r="D1369" s="4" t="inlineStr">
        <is>
          <t>SKU045</t>
        </is>
      </c>
      <c r="E1369" s="4" t="inlineStr">
        <is>
          <t>Candy Pack 150g</t>
        </is>
      </c>
      <c r="F1369" s="4" t="inlineStr">
        <is>
          <t>Snacks &amp; Confectionery</t>
        </is>
      </c>
      <c r="G1369" s="4" t="inlineStr">
        <is>
          <t>C</t>
        </is>
      </c>
      <c r="H1369" s="11" t="n">
        <v>1874</v>
      </c>
      <c r="I1369" s="4" t="n">
        <v>501.5</v>
      </c>
      <c r="J1369" s="13">
        <f>IF(I1369&gt;0,H1369/I1369,"")</f>
        <v/>
      </c>
      <c r="K1369" s="4">
        <f>IF(I1369&lt;=0,"NO DEMAND",IF(H1369=0,"STOCKOUT",IF(J1369&lt;Config!$B$5,"CRITICAL",IF(J1369&lt;Config!$B$6,"LOW",IF(J1369&gt;Config!$B$7,"EXCESS","HEALTHY")))))</f>
        <v/>
      </c>
      <c r="L1369" s="11" t="n">
        <v>22</v>
      </c>
      <c r="M1369" s="11" t="n">
        <v>27</v>
      </c>
      <c r="N1369" s="11">
        <f>H1369*L1369</f>
        <v/>
      </c>
      <c r="O1369" s="11">
        <f>IF(I1369&gt;0,I1369*(M1369-L1369),0)</f>
        <v/>
      </c>
      <c r="P1369" s="11" t="n">
        <v>0</v>
      </c>
    </row>
    <row r="1370">
      <c r="A1370" s="4" t="inlineStr">
        <is>
          <t>WH12</t>
        </is>
      </c>
      <c r="B1370" s="4" t="inlineStr">
        <is>
          <t>Nagpur DC</t>
        </is>
      </c>
      <c r="C1370" s="4" t="inlineStr">
        <is>
          <t>Central</t>
        </is>
      </c>
      <c r="D1370" s="4" t="inlineStr">
        <is>
          <t>SKU046</t>
        </is>
      </c>
      <c r="E1370" s="4" t="inlineStr">
        <is>
          <t>Shampoo 340ml</t>
        </is>
      </c>
      <c r="F1370" s="4" t="inlineStr">
        <is>
          <t>Personal Care</t>
        </is>
      </c>
      <c r="G1370" s="4" t="inlineStr">
        <is>
          <t>C</t>
        </is>
      </c>
      <c r="H1370" s="11" t="n">
        <v>91</v>
      </c>
      <c r="I1370" s="4" t="n">
        <v>324.75</v>
      </c>
      <c r="J1370" s="13">
        <f>IF(I1370&gt;0,H1370/I1370,"")</f>
        <v/>
      </c>
      <c r="K1370" s="4">
        <f>IF(I1370&lt;=0,"NO DEMAND",IF(H1370=0,"STOCKOUT",IF(J1370&lt;Config!$B$5,"CRITICAL",IF(J1370&lt;Config!$B$6,"LOW",IF(J1370&gt;Config!$B$7,"EXCESS","HEALTHY")))))</f>
        <v/>
      </c>
      <c r="L1370" s="11" t="n">
        <v>51</v>
      </c>
      <c r="M1370" s="11" t="n">
        <v>67</v>
      </c>
      <c r="N1370" s="11">
        <f>H1370*L1370</f>
        <v/>
      </c>
      <c r="O1370" s="11">
        <f>IF(I1370&gt;0,I1370*(M1370-L1370),0)</f>
        <v/>
      </c>
      <c r="P1370" s="11" t="n">
        <v>1260</v>
      </c>
    </row>
    <row r="1371">
      <c r="A1371" s="4" t="inlineStr">
        <is>
          <t>WH12</t>
        </is>
      </c>
      <c r="B1371" s="4" t="inlineStr">
        <is>
          <t>Nagpur DC</t>
        </is>
      </c>
      <c r="C1371" s="4" t="inlineStr">
        <is>
          <t>Central</t>
        </is>
      </c>
      <c r="D1371" s="4" t="inlineStr">
        <is>
          <t>SKU047</t>
        </is>
      </c>
      <c r="E1371" s="4" t="inlineStr">
        <is>
          <t>Soap 4-pack</t>
        </is>
      </c>
      <c r="F1371" s="4" t="inlineStr">
        <is>
          <t>Personal Care</t>
        </is>
      </c>
      <c r="G1371" s="4" t="inlineStr">
        <is>
          <t>C</t>
        </is>
      </c>
      <c r="H1371" s="11" t="n">
        <v>0</v>
      </c>
      <c r="I1371" s="4" t="n">
        <v>227.5</v>
      </c>
      <c r="J1371" s="13">
        <f>IF(I1371&gt;0,H1371/I1371,"")</f>
        <v/>
      </c>
      <c r="K1371" s="4">
        <f>IF(I1371&lt;=0,"NO DEMAND",IF(H1371=0,"STOCKOUT",IF(J1371&lt;Config!$B$5,"CRITICAL",IF(J1371&lt;Config!$B$6,"LOW",IF(J1371&gt;Config!$B$7,"EXCESS","HEALTHY")))))</f>
        <v/>
      </c>
      <c r="L1371" s="11" t="n">
        <v>37</v>
      </c>
      <c r="M1371" s="11" t="n">
        <v>47</v>
      </c>
      <c r="N1371" s="11">
        <f>H1371*L1371</f>
        <v/>
      </c>
      <c r="O1371" s="11">
        <f>IF(I1371&gt;0,I1371*(M1371-L1371),0)</f>
        <v/>
      </c>
      <c r="P1371" s="11" t="n">
        <v>1392</v>
      </c>
    </row>
    <row r="1372">
      <c r="A1372" s="4" t="inlineStr">
        <is>
          <t>WH12</t>
        </is>
      </c>
      <c r="B1372" s="4" t="inlineStr">
        <is>
          <t>Nagpur DC</t>
        </is>
      </c>
      <c r="C1372" s="4" t="inlineStr">
        <is>
          <t>Central</t>
        </is>
      </c>
      <c r="D1372" s="4" t="inlineStr">
        <is>
          <t>SKU048</t>
        </is>
      </c>
      <c r="E1372" s="4" t="inlineStr">
        <is>
          <t>Toothpaste 150g</t>
        </is>
      </c>
      <c r="F1372" s="4" t="inlineStr">
        <is>
          <t>Personal Care</t>
        </is>
      </c>
      <c r="G1372" s="4" t="inlineStr">
        <is>
          <t>C</t>
        </is>
      </c>
      <c r="H1372" s="11" t="n">
        <v>512</v>
      </c>
      <c r="I1372" s="4" t="n">
        <v>209.25</v>
      </c>
      <c r="J1372" s="13">
        <f>IF(I1372&gt;0,H1372/I1372,"")</f>
        <v/>
      </c>
      <c r="K1372" s="4">
        <f>IF(I1372&lt;=0,"NO DEMAND",IF(H1372=0,"STOCKOUT",IF(J1372&lt;Config!$B$5,"CRITICAL",IF(J1372&lt;Config!$B$6,"LOW",IF(J1372&gt;Config!$B$7,"EXCESS","HEALTHY")))))</f>
        <v/>
      </c>
      <c r="L1372" s="11" t="n">
        <v>51</v>
      </c>
      <c r="M1372" s="11" t="n">
        <v>67</v>
      </c>
      <c r="N1372" s="11">
        <f>H1372*L1372</f>
        <v/>
      </c>
      <c r="O1372" s="11">
        <f>IF(I1372&gt;0,I1372*(M1372-L1372),0)</f>
        <v/>
      </c>
      <c r="P1372" s="11" t="n">
        <v>0</v>
      </c>
    </row>
    <row r="1373">
      <c r="A1373" s="4" t="inlineStr">
        <is>
          <t>WH12</t>
        </is>
      </c>
      <c r="B1373" s="4" t="inlineStr">
        <is>
          <t>Nagpur DC</t>
        </is>
      </c>
      <c r="C1373" s="4" t="inlineStr">
        <is>
          <t>Central</t>
        </is>
      </c>
      <c r="D1373" s="4" t="inlineStr">
        <is>
          <t>SKU049</t>
        </is>
      </c>
      <c r="E1373" s="4" t="inlineStr">
        <is>
          <t>Face Wash 100ml</t>
        </is>
      </c>
      <c r="F1373" s="4" t="inlineStr">
        <is>
          <t>Personal Care</t>
        </is>
      </c>
      <c r="G1373" s="4" t="inlineStr">
        <is>
          <t>C</t>
        </is>
      </c>
      <c r="H1373" s="11" t="n">
        <v>494</v>
      </c>
      <c r="I1373" s="4" t="n">
        <v>142.75</v>
      </c>
      <c r="J1373" s="13">
        <f>IF(I1373&gt;0,H1373/I1373,"")</f>
        <v/>
      </c>
      <c r="K1373" s="4">
        <f>IF(I1373&lt;=0,"NO DEMAND",IF(H1373=0,"STOCKOUT",IF(J1373&lt;Config!$B$5,"CRITICAL",IF(J1373&lt;Config!$B$6,"LOW",IF(J1373&gt;Config!$B$7,"EXCESS","HEALTHY")))))</f>
        <v/>
      </c>
      <c r="L1373" s="11" t="n">
        <v>32</v>
      </c>
      <c r="M1373" s="11" t="n">
        <v>41</v>
      </c>
      <c r="N1373" s="11">
        <f>H1373*L1373</f>
        <v/>
      </c>
      <c r="O1373" s="11">
        <f>IF(I1373&gt;0,I1373*(M1373-L1373),0)</f>
        <v/>
      </c>
      <c r="P1373" s="11" t="n">
        <v>0</v>
      </c>
    </row>
    <row r="1374">
      <c r="A1374" s="4" t="inlineStr">
        <is>
          <t>WH12</t>
        </is>
      </c>
      <c r="B1374" s="4" t="inlineStr">
        <is>
          <t>Nagpur DC</t>
        </is>
      </c>
      <c r="C1374" s="4" t="inlineStr">
        <is>
          <t>Central</t>
        </is>
      </c>
      <c r="D1374" s="4" t="inlineStr">
        <is>
          <t>SKU050</t>
        </is>
      </c>
      <c r="E1374" s="4" t="inlineStr">
        <is>
          <t>Body Lotion 400ml</t>
        </is>
      </c>
      <c r="F1374" s="4" t="inlineStr">
        <is>
          <t>Personal Care</t>
        </is>
      </c>
      <c r="G1374" s="4" t="inlineStr">
        <is>
          <t>B</t>
        </is>
      </c>
      <c r="H1374" s="11" t="n">
        <v>535</v>
      </c>
      <c r="I1374" s="4" t="n">
        <v>248.5</v>
      </c>
      <c r="J1374" s="13">
        <f>IF(I1374&gt;0,H1374/I1374,"")</f>
        <v/>
      </c>
      <c r="K1374" s="4">
        <f>IF(I1374&lt;=0,"NO DEMAND",IF(H1374=0,"STOCKOUT",IF(J1374&lt;Config!$B$5,"CRITICAL",IF(J1374&lt;Config!$B$6,"LOW",IF(J1374&gt;Config!$B$7,"EXCESS","HEALTHY")))))</f>
        <v/>
      </c>
      <c r="L1374" s="11" t="n">
        <v>138</v>
      </c>
      <c r="M1374" s="11" t="n">
        <v>175</v>
      </c>
      <c r="N1374" s="11">
        <f>H1374*L1374</f>
        <v/>
      </c>
      <c r="O1374" s="11">
        <f>IF(I1374&gt;0,I1374*(M1374-L1374),0)</f>
        <v/>
      </c>
      <c r="P1374" s="11" t="n">
        <v>0</v>
      </c>
    </row>
    <row r="1375">
      <c r="A1375" s="4" t="inlineStr">
        <is>
          <t>WH12</t>
        </is>
      </c>
      <c r="B1375" s="4" t="inlineStr">
        <is>
          <t>Nagpur DC</t>
        </is>
      </c>
      <c r="C1375" s="4" t="inlineStr">
        <is>
          <t>Central</t>
        </is>
      </c>
      <c r="D1375" s="4" t="inlineStr">
        <is>
          <t>SKU051</t>
        </is>
      </c>
      <c r="E1375" s="4" t="inlineStr">
        <is>
          <t>Hair Oil 200ml</t>
        </is>
      </c>
      <c r="F1375" s="4" t="inlineStr">
        <is>
          <t>Personal Care</t>
        </is>
      </c>
      <c r="G1375" s="4" t="inlineStr">
        <is>
          <t>B</t>
        </is>
      </c>
      <c r="H1375" s="11" t="n">
        <v>741</v>
      </c>
      <c r="I1375" s="4" t="n">
        <v>37.5</v>
      </c>
      <c r="J1375" s="13">
        <f>IF(I1375&gt;0,H1375/I1375,"")</f>
        <v/>
      </c>
      <c r="K1375" s="4">
        <f>IF(I1375&lt;=0,"NO DEMAND",IF(H1375=0,"STOCKOUT",IF(J1375&lt;Config!$B$5,"CRITICAL",IF(J1375&lt;Config!$B$6,"LOW",IF(J1375&gt;Config!$B$7,"EXCESS","HEALTHY")))))</f>
        <v/>
      </c>
      <c r="L1375" s="11" t="n">
        <v>156</v>
      </c>
      <c r="M1375" s="11" t="n">
        <v>203</v>
      </c>
      <c r="N1375" s="11">
        <f>H1375*L1375</f>
        <v/>
      </c>
      <c r="O1375" s="11">
        <f>IF(I1375&gt;0,I1375*(M1375-L1375),0)</f>
        <v/>
      </c>
      <c r="P1375" s="11" t="n">
        <v>0</v>
      </c>
    </row>
    <row r="1376">
      <c r="A1376" s="4" t="inlineStr">
        <is>
          <t>WH12</t>
        </is>
      </c>
      <c r="B1376" s="4" t="inlineStr">
        <is>
          <t>Nagpur DC</t>
        </is>
      </c>
      <c r="C1376" s="4" t="inlineStr">
        <is>
          <t>Central</t>
        </is>
      </c>
      <c r="D1376" s="4" t="inlineStr">
        <is>
          <t>SKU052</t>
        </is>
      </c>
      <c r="E1376" s="4" t="inlineStr">
        <is>
          <t>Deodorant 150ml</t>
        </is>
      </c>
      <c r="F1376" s="4" t="inlineStr">
        <is>
          <t>Personal Care</t>
        </is>
      </c>
      <c r="G1376" s="4" t="inlineStr">
        <is>
          <t>B</t>
        </is>
      </c>
      <c r="H1376" s="11" t="n">
        <v>124</v>
      </c>
      <c r="I1376" s="4" t="n">
        <v>174.75</v>
      </c>
      <c r="J1376" s="13">
        <f>IF(I1376&gt;0,H1376/I1376,"")</f>
        <v/>
      </c>
      <c r="K1376" s="4">
        <f>IF(I1376&lt;=0,"NO DEMAND",IF(H1376=0,"STOCKOUT",IF(J1376&lt;Config!$B$5,"CRITICAL",IF(J1376&lt;Config!$B$6,"LOW",IF(J1376&gt;Config!$B$7,"EXCESS","HEALTHY")))))</f>
        <v/>
      </c>
      <c r="L1376" s="11" t="n">
        <v>133</v>
      </c>
      <c r="M1376" s="11" t="n">
        <v>179</v>
      </c>
      <c r="N1376" s="11">
        <f>H1376*L1376</f>
        <v/>
      </c>
      <c r="O1376" s="11">
        <f>IF(I1376&gt;0,I1376*(M1376-L1376),0)</f>
        <v/>
      </c>
      <c r="P1376" s="11" t="n">
        <v>1032</v>
      </c>
    </row>
    <row r="1377">
      <c r="A1377" s="4" t="inlineStr">
        <is>
          <t>WH12</t>
        </is>
      </c>
      <c r="B1377" s="4" t="inlineStr">
        <is>
          <t>Nagpur DC</t>
        </is>
      </c>
      <c r="C1377" s="4" t="inlineStr">
        <is>
          <t>Central</t>
        </is>
      </c>
      <c r="D1377" s="4" t="inlineStr">
        <is>
          <t>SKU053</t>
        </is>
      </c>
      <c r="E1377" s="4" t="inlineStr">
        <is>
          <t>Sanitary Pads 20pk</t>
        </is>
      </c>
      <c r="F1377" s="4" t="inlineStr">
        <is>
          <t>Personal Care</t>
        </is>
      </c>
      <c r="G1377" s="4" t="inlineStr">
        <is>
          <t>C</t>
        </is>
      </c>
      <c r="H1377" s="11" t="n">
        <v>1449</v>
      </c>
      <c r="I1377" s="4" t="n">
        <v>253.5</v>
      </c>
      <c r="J1377" s="13">
        <f>IF(I1377&gt;0,H1377/I1377,"")</f>
        <v/>
      </c>
      <c r="K1377" s="4">
        <f>IF(I1377&lt;=0,"NO DEMAND",IF(H1377=0,"STOCKOUT",IF(J1377&lt;Config!$B$5,"CRITICAL",IF(J1377&lt;Config!$B$6,"LOW",IF(J1377&gt;Config!$B$7,"EXCESS","HEALTHY")))))</f>
        <v/>
      </c>
      <c r="L1377" s="11" t="n">
        <v>31</v>
      </c>
      <c r="M1377" s="11" t="n">
        <v>39</v>
      </c>
      <c r="N1377" s="11">
        <f>H1377*L1377</f>
        <v/>
      </c>
      <c r="O1377" s="11">
        <f>IF(I1377&gt;0,I1377*(M1377-L1377),0)</f>
        <v/>
      </c>
      <c r="P1377" s="11" t="n">
        <v>0</v>
      </c>
    </row>
    <row r="1378">
      <c r="A1378" s="4" t="inlineStr">
        <is>
          <t>WH12</t>
        </is>
      </c>
      <c r="B1378" s="4" t="inlineStr">
        <is>
          <t>Nagpur DC</t>
        </is>
      </c>
      <c r="C1378" s="4" t="inlineStr">
        <is>
          <t>Central</t>
        </is>
      </c>
      <c r="D1378" s="4" t="inlineStr">
        <is>
          <t>SKU054</t>
        </is>
      </c>
      <c r="E1378" s="4" t="inlineStr">
        <is>
          <t>Razor 5pk</t>
        </is>
      </c>
      <c r="F1378" s="4" t="inlineStr">
        <is>
          <t>Personal Care</t>
        </is>
      </c>
      <c r="G1378" s="4" t="inlineStr">
        <is>
          <t>B</t>
        </is>
      </c>
      <c r="H1378" s="11" t="n">
        <v>456</v>
      </c>
      <c r="I1378" s="4" t="n">
        <v>197</v>
      </c>
      <c r="J1378" s="13">
        <f>IF(I1378&gt;0,H1378/I1378,"")</f>
        <v/>
      </c>
      <c r="K1378" s="4">
        <f>IF(I1378&lt;=0,"NO DEMAND",IF(H1378=0,"STOCKOUT",IF(J1378&lt;Config!$B$5,"CRITICAL",IF(J1378&lt;Config!$B$6,"LOW",IF(J1378&gt;Config!$B$7,"EXCESS","HEALTHY")))))</f>
        <v/>
      </c>
      <c r="L1378" s="11" t="n">
        <v>106</v>
      </c>
      <c r="M1378" s="11" t="n">
        <v>137</v>
      </c>
      <c r="N1378" s="11">
        <f>H1378*L1378</f>
        <v/>
      </c>
      <c r="O1378" s="11">
        <f>IF(I1378&gt;0,I1378*(M1378-L1378),0)</f>
        <v/>
      </c>
      <c r="P1378" s="11" t="n">
        <v>768</v>
      </c>
    </row>
    <row r="1379">
      <c r="A1379" s="4" t="inlineStr">
        <is>
          <t>WH12</t>
        </is>
      </c>
      <c r="B1379" s="4" t="inlineStr">
        <is>
          <t>Nagpur DC</t>
        </is>
      </c>
      <c r="C1379" s="4" t="inlineStr">
        <is>
          <t>Central</t>
        </is>
      </c>
      <c r="D1379" s="4" t="inlineStr">
        <is>
          <t>SKU055</t>
        </is>
      </c>
      <c r="E1379" s="4" t="inlineStr">
        <is>
          <t>Talc 300g</t>
        </is>
      </c>
      <c r="F1379" s="4" t="inlineStr">
        <is>
          <t>Personal Care</t>
        </is>
      </c>
      <c r="G1379" s="4" t="inlineStr">
        <is>
          <t>B</t>
        </is>
      </c>
      <c r="H1379" s="11" t="n">
        <v>246</v>
      </c>
      <c r="I1379" s="4" t="n">
        <v>278</v>
      </c>
      <c r="J1379" s="13">
        <f>IF(I1379&gt;0,H1379/I1379,"")</f>
        <v/>
      </c>
      <c r="K1379" s="4">
        <f>IF(I1379&lt;=0,"NO DEMAND",IF(H1379=0,"STOCKOUT",IF(J1379&lt;Config!$B$5,"CRITICAL",IF(J1379&lt;Config!$B$6,"LOW",IF(J1379&gt;Config!$B$7,"EXCESS","HEALTHY")))))</f>
        <v/>
      </c>
      <c r="L1379" s="11" t="n">
        <v>77</v>
      </c>
      <c r="M1379" s="11" t="n">
        <v>100</v>
      </c>
      <c r="N1379" s="11">
        <f>H1379*L1379</f>
        <v/>
      </c>
      <c r="O1379" s="11">
        <f>IF(I1379&gt;0,I1379*(M1379-L1379),0)</f>
        <v/>
      </c>
      <c r="P1379" s="11" t="n">
        <v>1272</v>
      </c>
    </row>
    <row r="1380">
      <c r="A1380" s="4" t="inlineStr">
        <is>
          <t>WH12</t>
        </is>
      </c>
      <c r="B1380" s="4" t="inlineStr">
        <is>
          <t>Nagpur DC</t>
        </is>
      </c>
      <c r="C1380" s="4" t="inlineStr">
        <is>
          <t>Central</t>
        </is>
      </c>
      <c r="D1380" s="4" t="inlineStr">
        <is>
          <t>SKU056</t>
        </is>
      </c>
      <c r="E1380" s="4" t="inlineStr">
        <is>
          <t>Sunscreen 50g</t>
        </is>
      </c>
      <c r="F1380" s="4" t="inlineStr">
        <is>
          <t>Personal Care</t>
        </is>
      </c>
      <c r="G1380" s="4" t="inlineStr">
        <is>
          <t>A</t>
        </is>
      </c>
      <c r="H1380" s="11" t="n">
        <v>547</v>
      </c>
      <c r="I1380" s="4" t="n">
        <v>96.75</v>
      </c>
      <c r="J1380" s="13">
        <f>IF(I1380&gt;0,H1380/I1380,"")</f>
        <v/>
      </c>
      <c r="K1380" s="4">
        <f>IF(I1380&lt;=0,"NO DEMAND",IF(H1380=0,"STOCKOUT",IF(J1380&lt;Config!$B$5,"CRITICAL",IF(J1380&lt;Config!$B$6,"LOW",IF(J1380&gt;Config!$B$7,"EXCESS","HEALTHY")))))</f>
        <v/>
      </c>
      <c r="L1380" s="11" t="n">
        <v>393</v>
      </c>
      <c r="M1380" s="11" t="n">
        <v>510</v>
      </c>
      <c r="N1380" s="11">
        <f>H1380*L1380</f>
        <v/>
      </c>
      <c r="O1380" s="11">
        <f>IF(I1380&gt;0,I1380*(M1380-L1380),0)</f>
        <v/>
      </c>
      <c r="P1380" s="11" t="n">
        <v>0</v>
      </c>
    </row>
    <row r="1381">
      <c r="A1381" s="4" t="inlineStr">
        <is>
          <t>WH12</t>
        </is>
      </c>
      <c r="B1381" s="4" t="inlineStr">
        <is>
          <t>Nagpur DC</t>
        </is>
      </c>
      <c r="C1381" s="4" t="inlineStr">
        <is>
          <t>Central</t>
        </is>
      </c>
      <c r="D1381" s="4" t="inlineStr">
        <is>
          <t>SKU057</t>
        </is>
      </c>
      <c r="E1381" s="4" t="inlineStr">
        <is>
          <t>Hand Wash 250ml</t>
        </is>
      </c>
      <c r="F1381" s="4" t="inlineStr">
        <is>
          <t>Personal Care</t>
        </is>
      </c>
      <c r="G1381" s="4" t="inlineStr">
        <is>
          <t>C</t>
        </is>
      </c>
      <c r="H1381" s="11" t="n">
        <v>503</v>
      </c>
      <c r="I1381" s="4" t="n">
        <v>71.75</v>
      </c>
      <c r="J1381" s="13">
        <f>IF(I1381&gt;0,H1381/I1381,"")</f>
        <v/>
      </c>
      <c r="K1381" s="4">
        <f>IF(I1381&lt;=0,"NO DEMAND",IF(H1381=0,"STOCKOUT",IF(J1381&lt;Config!$B$5,"CRITICAL",IF(J1381&lt;Config!$B$6,"LOW",IF(J1381&gt;Config!$B$7,"EXCESS","HEALTHY")))))</f>
        <v/>
      </c>
      <c r="L1381" s="11" t="n">
        <v>108</v>
      </c>
      <c r="M1381" s="11" t="n">
        <v>136</v>
      </c>
      <c r="N1381" s="11">
        <f>H1381*L1381</f>
        <v/>
      </c>
      <c r="O1381" s="11">
        <f>IF(I1381&gt;0,I1381*(M1381-L1381),0)</f>
        <v/>
      </c>
      <c r="P1381" s="11" t="n">
        <v>0</v>
      </c>
    </row>
    <row r="1382">
      <c r="A1382" s="4" t="inlineStr">
        <is>
          <t>WH12</t>
        </is>
      </c>
      <c r="B1382" s="4" t="inlineStr">
        <is>
          <t>Nagpur DC</t>
        </is>
      </c>
      <c r="C1382" s="4" t="inlineStr">
        <is>
          <t>Central</t>
        </is>
      </c>
      <c r="D1382" s="4" t="inlineStr">
        <is>
          <t>SKU058</t>
        </is>
      </c>
      <c r="E1382" s="4" t="inlineStr">
        <is>
          <t>Kajal Pack</t>
        </is>
      </c>
      <c r="F1382" s="4" t="inlineStr">
        <is>
          <t>Personal Care</t>
        </is>
      </c>
      <c r="G1382" s="4" t="inlineStr">
        <is>
          <t>A</t>
        </is>
      </c>
      <c r="H1382" s="11" t="n">
        <v>151</v>
      </c>
      <c r="I1382" s="4" t="n">
        <v>25.25</v>
      </c>
      <c r="J1382" s="13">
        <f>IF(I1382&gt;0,H1382/I1382,"")</f>
        <v/>
      </c>
      <c r="K1382" s="4">
        <f>IF(I1382&lt;=0,"NO DEMAND",IF(H1382=0,"STOCKOUT",IF(J1382&lt;Config!$B$5,"CRITICAL",IF(J1382&lt;Config!$B$6,"LOW",IF(J1382&gt;Config!$B$7,"EXCESS","HEALTHY")))))</f>
        <v/>
      </c>
      <c r="L1382" s="11" t="n">
        <v>392</v>
      </c>
      <c r="M1382" s="11" t="n">
        <v>498</v>
      </c>
      <c r="N1382" s="11">
        <f>H1382*L1382</f>
        <v/>
      </c>
      <c r="O1382" s="11">
        <f>IF(I1382&gt;0,I1382*(M1382-L1382),0)</f>
        <v/>
      </c>
      <c r="P1382" s="11" t="n">
        <v>0</v>
      </c>
    </row>
    <row r="1383">
      <c r="A1383" s="4" t="inlineStr">
        <is>
          <t>WH12</t>
        </is>
      </c>
      <c r="B1383" s="4" t="inlineStr">
        <is>
          <t>Nagpur DC</t>
        </is>
      </c>
      <c r="C1383" s="4" t="inlineStr">
        <is>
          <t>Central</t>
        </is>
      </c>
      <c r="D1383" s="4" t="inlineStr">
        <is>
          <t>SKU059</t>
        </is>
      </c>
      <c r="E1383" s="4" t="inlineStr">
        <is>
          <t>Lip Balm</t>
        </is>
      </c>
      <c r="F1383" s="4" t="inlineStr">
        <is>
          <t>Personal Care</t>
        </is>
      </c>
      <c r="G1383" s="4" t="inlineStr">
        <is>
          <t>B</t>
        </is>
      </c>
      <c r="H1383" s="11" t="n">
        <v>274</v>
      </c>
      <c r="I1383" s="4" t="n">
        <v>233.5</v>
      </c>
      <c r="J1383" s="13">
        <f>IF(I1383&gt;0,H1383/I1383,"")</f>
        <v/>
      </c>
      <c r="K1383" s="4">
        <f>IF(I1383&lt;=0,"NO DEMAND",IF(H1383=0,"STOCKOUT",IF(J1383&lt;Config!$B$5,"CRITICAL",IF(J1383&lt;Config!$B$6,"LOW",IF(J1383&gt;Config!$B$7,"EXCESS","HEALTHY")))))</f>
        <v/>
      </c>
      <c r="L1383" s="11" t="n">
        <v>150</v>
      </c>
      <c r="M1383" s="11" t="n">
        <v>198</v>
      </c>
      <c r="N1383" s="11">
        <f>H1383*L1383</f>
        <v/>
      </c>
      <c r="O1383" s="11">
        <f>IF(I1383&gt;0,I1383*(M1383-L1383),0)</f>
        <v/>
      </c>
      <c r="P1383" s="11" t="n">
        <v>828</v>
      </c>
    </row>
    <row r="1384">
      <c r="A1384" s="4" t="inlineStr">
        <is>
          <t>WH12</t>
        </is>
      </c>
      <c r="B1384" s="4" t="inlineStr">
        <is>
          <t>Nagpur DC</t>
        </is>
      </c>
      <c r="C1384" s="4" t="inlineStr">
        <is>
          <t>Central</t>
        </is>
      </c>
      <c r="D1384" s="4" t="inlineStr">
        <is>
          <t>SKU060</t>
        </is>
      </c>
      <c r="E1384" s="4" t="inlineStr">
        <is>
          <t>Mouthwash 250ml</t>
        </is>
      </c>
      <c r="F1384" s="4" t="inlineStr">
        <is>
          <t>Personal Care</t>
        </is>
      </c>
      <c r="G1384" s="4" t="inlineStr">
        <is>
          <t>A</t>
        </is>
      </c>
      <c r="H1384" s="11" t="n">
        <v>1473</v>
      </c>
      <c r="I1384" s="4" t="n">
        <v>84.75</v>
      </c>
      <c r="J1384" s="13">
        <f>IF(I1384&gt;0,H1384/I1384,"")</f>
        <v/>
      </c>
      <c r="K1384" s="4">
        <f>IF(I1384&lt;=0,"NO DEMAND",IF(H1384=0,"STOCKOUT",IF(J1384&lt;Config!$B$5,"CRITICAL",IF(J1384&lt;Config!$B$6,"LOW",IF(J1384&gt;Config!$B$7,"EXCESS","HEALTHY")))))</f>
        <v/>
      </c>
      <c r="L1384" s="11" t="n">
        <v>376</v>
      </c>
      <c r="M1384" s="11" t="n">
        <v>491</v>
      </c>
      <c r="N1384" s="11">
        <f>H1384*L1384</f>
        <v/>
      </c>
      <c r="O1384" s="11">
        <f>IF(I1384&gt;0,I1384*(M1384-L1384),0)</f>
        <v/>
      </c>
      <c r="P1384" s="11" t="n">
        <v>0</v>
      </c>
    </row>
    <row r="1385">
      <c r="A1385" s="4" t="inlineStr">
        <is>
          <t>WH12</t>
        </is>
      </c>
      <c r="B1385" s="4" t="inlineStr">
        <is>
          <t>Nagpur DC</t>
        </is>
      </c>
      <c r="C1385" s="4" t="inlineStr">
        <is>
          <t>Central</t>
        </is>
      </c>
      <c r="D1385" s="4" t="inlineStr">
        <is>
          <t>SKU061</t>
        </is>
      </c>
      <c r="E1385" s="4" t="inlineStr">
        <is>
          <t>Detergent Powder 2kg</t>
        </is>
      </c>
      <c r="F1385" s="4" t="inlineStr">
        <is>
          <t>Home Care</t>
        </is>
      </c>
      <c r="G1385" s="4" t="inlineStr">
        <is>
          <t>B</t>
        </is>
      </c>
      <c r="H1385" s="11" t="n">
        <v>746</v>
      </c>
      <c r="I1385" s="4" t="n">
        <v>367.5</v>
      </c>
      <c r="J1385" s="13">
        <f>IF(I1385&gt;0,H1385/I1385,"")</f>
        <v/>
      </c>
      <c r="K1385" s="4">
        <f>IF(I1385&lt;=0,"NO DEMAND",IF(H1385=0,"STOCKOUT",IF(J1385&lt;Config!$B$5,"CRITICAL",IF(J1385&lt;Config!$B$6,"LOW",IF(J1385&gt;Config!$B$7,"EXCESS","HEALTHY")))))</f>
        <v/>
      </c>
      <c r="L1385" s="11" t="n">
        <v>104</v>
      </c>
      <c r="M1385" s="11" t="n">
        <v>132</v>
      </c>
      <c r="N1385" s="11">
        <f>H1385*L1385</f>
        <v/>
      </c>
      <c r="O1385" s="11">
        <f>IF(I1385&gt;0,I1385*(M1385-L1385),0)</f>
        <v/>
      </c>
      <c r="P1385" s="11" t="n">
        <v>0</v>
      </c>
    </row>
    <row r="1386">
      <c r="A1386" s="4" t="inlineStr">
        <is>
          <t>WH12</t>
        </is>
      </c>
      <c r="B1386" s="4" t="inlineStr">
        <is>
          <t>Nagpur DC</t>
        </is>
      </c>
      <c r="C1386" s="4" t="inlineStr">
        <is>
          <t>Central</t>
        </is>
      </c>
      <c r="D1386" s="4" t="inlineStr">
        <is>
          <t>SKU062</t>
        </is>
      </c>
      <c r="E1386" s="4" t="inlineStr">
        <is>
          <t>Dishwash Liquid 750ml</t>
        </is>
      </c>
      <c r="F1386" s="4" t="inlineStr">
        <is>
          <t>Home Care</t>
        </is>
      </c>
      <c r="G1386" s="4" t="inlineStr">
        <is>
          <t>A</t>
        </is>
      </c>
      <c r="H1386" s="11" t="n">
        <v>1439</v>
      </c>
      <c r="I1386" s="4" t="n">
        <v>452.25</v>
      </c>
      <c r="J1386" s="13">
        <f>IF(I1386&gt;0,H1386/I1386,"")</f>
        <v/>
      </c>
      <c r="K1386" s="4">
        <f>IF(I1386&lt;=0,"NO DEMAND",IF(H1386=0,"STOCKOUT",IF(J1386&lt;Config!$B$5,"CRITICAL",IF(J1386&lt;Config!$B$6,"LOW",IF(J1386&gt;Config!$B$7,"EXCESS","HEALTHY")))))</f>
        <v/>
      </c>
      <c r="L1386" s="11" t="n">
        <v>122</v>
      </c>
      <c r="M1386" s="11" t="n">
        <v>148</v>
      </c>
      <c r="N1386" s="11">
        <f>H1386*L1386</f>
        <v/>
      </c>
      <c r="O1386" s="11">
        <f>IF(I1386&gt;0,I1386*(M1386-L1386),0)</f>
        <v/>
      </c>
      <c r="P1386" s="11" t="n">
        <v>0</v>
      </c>
    </row>
    <row r="1387">
      <c r="A1387" s="4" t="inlineStr">
        <is>
          <t>WH12</t>
        </is>
      </c>
      <c r="B1387" s="4" t="inlineStr">
        <is>
          <t>Nagpur DC</t>
        </is>
      </c>
      <c r="C1387" s="4" t="inlineStr">
        <is>
          <t>Central</t>
        </is>
      </c>
      <c r="D1387" s="4" t="inlineStr">
        <is>
          <t>SKU063</t>
        </is>
      </c>
      <c r="E1387" s="4" t="inlineStr">
        <is>
          <t>Floor Cleaner 1L</t>
        </is>
      </c>
      <c r="F1387" s="4" t="inlineStr">
        <is>
          <t>Home Care</t>
        </is>
      </c>
      <c r="G1387" s="4" t="inlineStr">
        <is>
          <t>C</t>
        </is>
      </c>
      <c r="H1387" s="11" t="n">
        <v>637</v>
      </c>
      <c r="I1387" s="4" t="n">
        <v>435.75</v>
      </c>
      <c r="J1387" s="13">
        <f>IF(I1387&gt;0,H1387/I1387,"")</f>
        <v/>
      </c>
      <c r="K1387" s="4">
        <f>IF(I1387&lt;=0,"NO DEMAND",IF(H1387=0,"STOCKOUT",IF(J1387&lt;Config!$B$5,"CRITICAL",IF(J1387&lt;Config!$B$6,"LOW",IF(J1387&gt;Config!$B$7,"EXCESS","HEALTHY")))))</f>
        <v/>
      </c>
      <c r="L1387" s="11" t="n">
        <v>44</v>
      </c>
      <c r="M1387" s="11" t="n">
        <v>56</v>
      </c>
      <c r="N1387" s="11">
        <f>H1387*L1387</f>
        <v/>
      </c>
      <c r="O1387" s="11">
        <f>IF(I1387&gt;0,I1387*(M1387-L1387),0)</f>
        <v/>
      </c>
      <c r="P1387" s="11" t="n">
        <v>1596</v>
      </c>
    </row>
    <row r="1388">
      <c r="A1388" s="4" t="inlineStr">
        <is>
          <t>WH12</t>
        </is>
      </c>
      <c r="B1388" s="4" t="inlineStr">
        <is>
          <t>Nagpur DC</t>
        </is>
      </c>
      <c r="C1388" s="4" t="inlineStr">
        <is>
          <t>Central</t>
        </is>
      </c>
      <c r="D1388" s="4" t="inlineStr">
        <is>
          <t>SKU064</t>
        </is>
      </c>
      <c r="E1388" s="4" t="inlineStr">
        <is>
          <t>Toilet Cleaner 500ml</t>
        </is>
      </c>
      <c r="F1388" s="4" t="inlineStr">
        <is>
          <t>Home Care</t>
        </is>
      </c>
      <c r="G1388" s="4" t="inlineStr">
        <is>
          <t>C</t>
        </is>
      </c>
      <c r="H1388" s="11" t="n">
        <v>136</v>
      </c>
      <c r="I1388" s="4" t="n">
        <v>161.75</v>
      </c>
      <c r="J1388" s="13">
        <f>IF(I1388&gt;0,H1388/I1388,"")</f>
        <v/>
      </c>
      <c r="K1388" s="4">
        <f>IF(I1388&lt;=0,"NO DEMAND",IF(H1388=0,"STOCKOUT",IF(J1388&lt;Config!$B$5,"CRITICAL",IF(J1388&lt;Config!$B$6,"LOW",IF(J1388&gt;Config!$B$7,"EXCESS","HEALTHY")))))</f>
        <v/>
      </c>
      <c r="L1388" s="11" t="n">
        <v>102</v>
      </c>
      <c r="M1388" s="11" t="n">
        <v>128</v>
      </c>
      <c r="N1388" s="11">
        <f>H1388*L1388</f>
        <v/>
      </c>
      <c r="O1388" s="11">
        <f>IF(I1388&gt;0,I1388*(M1388-L1388),0)</f>
        <v/>
      </c>
      <c r="P1388" s="11" t="n">
        <v>552</v>
      </c>
    </row>
    <row r="1389">
      <c r="A1389" s="4" t="inlineStr">
        <is>
          <t>WH12</t>
        </is>
      </c>
      <c r="B1389" s="4" t="inlineStr">
        <is>
          <t>Nagpur DC</t>
        </is>
      </c>
      <c r="C1389" s="4" t="inlineStr">
        <is>
          <t>Central</t>
        </is>
      </c>
      <c r="D1389" s="4" t="inlineStr">
        <is>
          <t>SKU065</t>
        </is>
      </c>
      <c r="E1389" s="4" t="inlineStr">
        <is>
          <t>Glass Cleaner 500ml</t>
        </is>
      </c>
      <c r="F1389" s="4" t="inlineStr">
        <is>
          <t>Home Care</t>
        </is>
      </c>
      <c r="G1389" s="4" t="inlineStr">
        <is>
          <t>B</t>
        </is>
      </c>
      <c r="H1389" s="11" t="n">
        <v>1147</v>
      </c>
      <c r="I1389" s="4" t="n">
        <v>276.75</v>
      </c>
      <c r="J1389" s="13">
        <f>IF(I1389&gt;0,H1389/I1389,"")</f>
        <v/>
      </c>
      <c r="K1389" s="4">
        <f>IF(I1389&lt;=0,"NO DEMAND",IF(H1389=0,"STOCKOUT",IF(J1389&lt;Config!$B$5,"CRITICAL",IF(J1389&lt;Config!$B$6,"LOW",IF(J1389&gt;Config!$B$7,"EXCESS","HEALTHY")))))</f>
        <v/>
      </c>
      <c r="L1389" s="11" t="n">
        <v>82</v>
      </c>
      <c r="M1389" s="11" t="n">
        <v>102</v>
      </c>
      <c r="N1389" s="11">
        <f>H1389*L1389</f>
        <v/>
      </c>
      <c r="O1389" s="11">
        <f>IF(I1389&gt;0,I1389*(M1389-L1389),0)</f>
        <v/>
      </c>
      <c r="P1389" s="11" t="n">
        <v>0</v>
      </c>
    </row>
    <row r="1390">
      <c r="A1390" s="4" t="inlineStr">
        <is>
          <t>WH12</t>
        </is>
      </c>
      <c r="B1390" s="4" t="inlineStr">
        <is>
          <t>Nagpur DC</t>
        </is>
      </c>
      <c r="C1390" s="4" t="inlineStr">
        <is>
          <t>Central</t>
        </is>
      </c>
      <c r="D1390" s="4" t="inlineStr">
        <is>
          <t>SKU066</t>
        </is>
      </c>
      <c r="E1390" s="4" t="inlineStr">
        <is>
          <t>Fabric Softener 1L</t>
        </is>
      </c>
      <c r="F1390" s="4" t="inlineStr">
        <is>
          <t>Home Care</t>
        </is>
      </c>
      <c r="G1390" s="4" t="inlineStr">
        <is>
          <t>B</t>
        </is>
      </c>
      <c r="H1390" s="11" t="n">
        <v>707</v>
      </c>
      <c r="I1390" s="4" t="n">
        <v>270.25</v>
      </c>
      <c r="J1390" s="13">
        <f>IF(I1390&gt;0,H1390/I1390,"")</f>
        <v/>
      </c>
      <c r="K1390" s="4">
        <f>IF(I1390&lt;=0,"NO DEMAND",IF(H1390=0,"STOCKOUT",IF(J1390&lt;Config!$B$5,"CRITICAL",IF(J1390&lt;Config!$B$6,"LOW",IF(J1390&gt;Config!$B$7,"EXCESS","HEALTHY")))))</f>
        <v/>
      </c>
      <c r="L1390" s="11" t="n">
        <v>51</v>
      </c>
      <c r="M1390" s="11" t="n">
        <v>65</v>
      </c>
      <c r="N1390" s="11">
        <f>H1390*L1390</f>
        <v/>
      </c>
      <c r="O1390" s="11">
        <f>IF(I1390&gt;0,I1390*(M1390-L1390),0)</f>
        <v/>
      </c>
      <c r="P1390" s="11" t="n">
        <v>1248</v>
      </c>
    </row>
    <row r="1391">
      <c r="A1391" s="4" t="inlineStr">
        <is>
          <t>WH12</t>
        </is>
      </c>
      <c r="B1391" s="4" t="inlineStr">
        <is>
          <t>Nagpur DC</t>
        </is>
      </c>
      <c r="C1391" s="4" t="inlineStr">
        <is>
          <t>Central</t>
        </is>
      </c>
      <c r="D1391" s="4" t="inlineStr">
        <is>
          <t>SKU067</t>
        </is>
      </c>
      <c r="E1391" s="4" t="inlineStr">
        <is>
          <t>Mosquito Coil 10pk</t>
        </is>
      </c>
      <c r="F1391" s="4" t="inlineStr">
        <is>
          <t>Home Care</t>
        </is>
      </c>
      <c r="G1391" s="4" t="inlineStr">
        <is>
          <t>A</t>
        </is>
      </c>
      <c r="H1391" s="11" t="n">
        <v>792</v>
      </c>
      <c r="I1391" s="4" t="n">
        <v>251.5</v>
      </c>
      <c r="J1391" s="13">
        <f>IF(I1391&gt;0,H1391/I1391,"")</f>
        <v/>
      </c>
      <c r="K1391" s="4">
        <f>IF(I1391&lt;=0,"NO DEMAND",IF(H1391=0,"STOCKOUT",IF(J1391&lt;Config!$B$5,"CRITICAL",IF(J1391&lt;Config!$B$6,"LOW",IF(J1391&gt;Config!$B$7,"EXCESS","HEALTHY")))))</f>
        <v/>
      </c>
      <c r="L1391" s="11" t="n">
        <v>200</v>
      </c>
      <c r="M1391" s="11" t="n">
        <v>257</v>
      </c>
      <c r="N1391" s="11">
        <f>H1391*L1391</f>
        <v/>
      </c>
      <c r="O1391" s="11">
        <f>IF(I1391&gt;0,I1391*(M1391-L1391),0)</f>
        <v/>
      </c>
      <c r="P1391" s="11" t="n">
        <v>0</v>
      </c>
    </row>
    <row r="1392">
      <c r="A1392" s="4" t="inlineStr">
        <is>
          <t>WH12</t>
        </is>
      </c>
      <c r="B1392" s="4" t="inlineStr">
        <is>
          <t>Nagpur DC</t>
        </is>
      </c>
      <c r="C1392" s="4" t="inlineStr">
        <is>
          <t>Central</t>
        </is>
      </c>
      <c r="D1392" s="4" t="inlineStr">
        <is>
          <t>SKU068</t>
        </is>
      </c>
      <c r="E1392" s="4" t="inlineStr">
        <is>
          <t>Air Freshener 250ml</t>
        </is>
      </c>
      <c r="F1392" s="4" t="inlineStr">
        <is>
          <t>Home Care</t>
        </is>
      </c>
      <c r="G1392" s="4" t="inlineStr">
        <is>
          <t>A</t>
        </is>
      </c>
      <c r="H1392" s="11" t="n">
        <v>1958</v>
      </c>
      <c r="I1392" s="4" t="n">
        <v>443.25</v>
      </c>
      <c r="J1392" s="13">
        <f>IF(I1392&gt;0,H1392/I1392,"")</f>
        <v/>
      </c>
      <c r="K1392" s="4">
        <f>IF(I1392&lt;=0,"NO DEMAND",IF(H1392=0,"STOCKOUT",IF(J1392&lt;Config!$B$5,"CRITICAL",IF(J1392&lt;Config!$B$6,"LOW",IF(J1392&gt;Config!$B$7,"EXCESS","HEALTHY")))))</f>
        <v/>
      </c>
      <c r="L1392" s="11" t="n">
        <v>99</v>
      </c>
      <c r="M1392" s="11" t="n">
        <v>123</v>
      </c>
      <c r="N1392" s="11">
        <f>H1392*L1392</f>
        <v/>
      </c>
      <c r="O1392" s="11">
        <f>IF(I1392&gt;0,I1392*(M1392-L1392),0)</f>
        <v/>
      </c>
      <c r="P1392" s="11" t="n">
        <v>0</v>
      </c>
    </row>
    <row r="1393">
      <c r="A1393" s="4" t="inlineStr">
        <is>
          <t>WH12</t>
        </is>
      </c>
      <c r="B1393" s="4" t="inlineStr">
        <is>
          <t>Nagpur DC</t>
        </is>
      </c>
      <c r="C1393" s="4" t="inlineStr">
        <is>
          <t>Central</t>
        </is>
      </c>
      <c r="D1393" s="4" t="inlineStr">
        <is>
          <t>SKU069</t>
        </is>
      </c>
      <c r="E1393" s="4" t="inlineStr">
        <is>
          <t>Garbage Bags 30pk</t>
        </is>
      </c>
      <c r="F1393" s="4" t="inlineStr">
        <is>
          <t>Home Care</t>
        </is>
      </c>
      <c r="G1393" s="4" t="inlineStr">
        <is>
          <t>B</t>
        </is>
      </c>
      <c r="H1393" s="11" t="n">
        <v>331</v>
      </c>
      <c r="I1393" s="4" t="n">
        <v>103.25</v>
      </c>
      <c r="J1393" s="13">
        <f>IF(I1393&gt;0,H1393/I1393,"")</f>
        <v/>
      </c>
      <c r="K1393" s="4">
        <f>IF(I1393&lt;=0,"NO DEMAND",IF(H1393=0,"STOCKOUT",IF(J1393&lt;Config!$B$5,"CRITICAL",IF(J1393&lt;Config!$B$6,"LOW",IF(J1393&gt;Config!$B$7,"EXCESS","HEALTHY")))))</f>
        <v/>
      </c>
      <c r="L1393" s="11" t="n">
        <v>202</v>
      </c>
      <c r="M1393" s="11" t="n">
        <v>252</v>
      </c>
      <c r="N1393" s="11">
        <f>H1393*L1393</f>
        <v/>
      </c>
      <c r="O1393" s="11">
        <f>IF(I1393&gt;0,I1393*(M1393-L1393),0)</f>
        <v/>
      </c>
      <c r="P1393" s="11" t="n">
        <v>0</v>
      </c>
    </row>
    <row r="1394">
      <c r="A1394" s="4" t="inlineStr">
        <is>
          <t>WH12</t>
        </is>
      </c>
      <c r="B1394" s="4" t="inlineStr">
        <is>
          <t>Nagpur DC</t>
        </is>
      </c>
      <c r="C1394" s="4" t="inlineStr">
        <is>
          <t>Central</t>
        </is>
      </c>
      <c r="D1394" s="4" t="inlineStr">
        <is>
          <t>SKU070</t>
        </is>
      </c>
      <c r="E1394" s="4" t="inlineStr">
        <is>
          <t>Scrub Pad 3pk</t>
        </is>
      </c>
      <c r="F1394" s="4" t="inlineStr">
        <is>
          <t>Home Care</t>
        </is>
      </c>
      <c r="G1394" s="4" t="inlineStr">
        <is>
          <t>A</t>
        </is>
      </c>
      <c r="H1394" s="11" t="n">
        <v>988</v>
      </c>
      <c r="I1394" s="4" t="n">
        <v>270.75</v>
      </c>
      <c r="J1394" s="13">
        <f>IF(I1394&gt;0,H1394/I1394,"")</f>
        <v/>
      </c>
      <c r="K1394" s="4">
        <f>IF(I1394&lt;=0,"NO DEMAND",IF(H1394=0,"STOCKOUT",IF(J1394&lt;Config!$B$5,"CRITICAL",IF(J1394&lt;Config!$B$6,"LOW",IF(J1394&gt;Config!$B$7,"EXCESS","HEALTHY")))))</f>
        <v/>
      </c>
      <c r="L1394" s="11" t="n">
        <v>121</v>
      </c>
      <c r="M1394" s="11" t="n">
        <v>153</v>
      </c>
      <c r="N1394" s="11">
        <f>H1394*L1394</f>
        <v/>
      </c>
      <c r="O1394" s="11">
        <f>IF(I1394&gt;0,I1394*(M1394-L1394),0)</f>
        <v/>
      </c>
      <c r="P1394" s="11" t="n">
        <v>0</v>
      </c>
    </row>
    <row r="1395">
      <c r="A1395" s="4" t="inlineStr">
        <is>
          <t>WH12</t>
        </is>
      </c>
      <c r="B1395" s="4" t="inlineStr">
        <is>
          <t>Nagpur DC</t>
        </is>
      </c>
      <c r="C1395" s="4" t="inlineStr">
        <is>
          <t>Central</t>
        </is>
      </c>
      <c r="D1395" s="4" t="inlineStr">
        <is>
          <t>SKU071</t>
        </is>
      </c>
      <c r="E1395" s="4" t="inlineStr">
        <is>
          <t>Bleach 500ml</t>
        </is>
      </c>
      <c r="F1395" s="4" t="inlineStr">
        <is>
          <t>Home Care</t>
        </is>
      </c>
      <c r="G1395" s="4" t="inlineStr">
        <is>
          <t>C</t>
        </is>
      </c>
      <c r="H1395" s="11" t="n">
        <v>961</v>
      </c>
      <c r="I1395" s="4" t="n">
        <v>192.75</v>
      </c>
      <c r="J1395" s="13">
        <f>IF(I1395&gt;0,H1395/I1395,"")</f>
        <v/>
      </c>
      <c r="K1395" s="4">
        <f>IF(I1395&lt;=0,"NO DEMAND",IF(H1395=0,"STOCKOUT",IF(J1395&lt;Config!$B$5,"CRITICAL",IF(J1395&lt;Config!$B$6,"LOW",IF(J1395&gt;Config!$B$7,"EXCESS","HEALTHY")))))</f>
        <v/>
      </c>
      <c r="L1395" s="11" t="n">
        <v>41</v>
      </c>
      <c r="M1395" s="11" t="n">
        <v>51</v>
      </c>
      <c r="N1395" s="11">
        <f>H1395*L1395</f>
        <v/>
      </c>
      <c r="O1395" s="11">
        <f>IF(I1395&gt;0,I1395*(M1395-L1395),0)</f>
        <v/>
      </c>
      <c r="P1395" s="11" t="n">
        <v>0</v>
      </c>
    </row>
    <row r="1396">
      <c r="A1396" s="4" t="inlineStr">
        <is>
          <t>WH12</t>
        </is>
      </c>
      <c r="B1396" s="4" t="inlineStr">
        <is>
          <t>Nagpur DC</t>
        </is>
      </c>
      <c r="C1396" s="4" t="inlineStr">
        <is>
          <t>Central</t>
        </is>
      </c>
      <c r="D1396" s="4" t="inlineStr">
        <is>
          <t>SKU072</t>
        </is>
      </c>
      <c r="E1396" s="4" t="inlineStr">
        <is>
          <t>Phenyl 1L</t>
        </is>
      </c>
      <c r="F1396" s="4" t="inlineStr">
        <is>
          <t>Home Care</t>
        </is>
      </c>
      <c r="G1396" s="4" t="inlineStr">
        <is>
          <t>B</t>
        </is>
      </c>
      <c r="H1396" s="11" t="n">
        <v>402</v>
      </c>
      <c r="I1396" s="4" t="n">
        <v>194.5</v>
      </c>
      <c r="J1396" s="13">
        <f>IF(I1396&gt;0,H1396/I1396,"")</f>
        <v/>
      </c>
      <c r="K1396" s="4">
        <f>IF(I1396&lt;=0,"NO DEMAND",IF(H1396=0,"STOCKOUT",IF(J1396&lt;Config!$B$5,"CRITICAL",IF(J1396&lt;Config!$B$6,"LOW",IF(J1396&gt;Config!$B$7,"EXCESS","HEALTHY")))))</f>
        <v/>
      </c>
      <c r="L1396" s="11" t="n">
        <v>137</v>
      </c>
      <c r="M1396" s="11" t="n">
        <v>170</v>
      </c>
      <c r="N1396" s="11">
        <f>H1396*L1396</f>
        <v/>
      </c>
      <c r="O1396" s="11">
        <f>IF(I1396&gt;0,I1396*(M1396-L1396),0)</f>
        <v/>
      </c>
      <c r="P1396" s="11" t="n">
        <v>864</v>
      </c>
    </row>
    <row r="1397">
      <c r="A1397" s="4" t="inlineStr">
        <is>
          <t>WH12</t>
        </is>
      </c>
      <c r="B1397" s="4" t="inlineStr">
        <is>
          <t>Nagpur DC</t>
        </is>
      </c>
      <c r="C1397" s="4" t="inlineStr">
        <is>
          <t>Central</t>
        </is>
      </c>
      <c r="D1397" s="4" t="inlineStr">
        <is>
          <t>SKU073</t>
        </is>
      </c>
      <c r="E1397" s="4" t="inlineStr">
        <is>
          <t>Agarbatti 100pk</t>
        </is>
      </c>
      <c r="F1397" s="4" t="inlineStr">
        <is>
          <t>Home Care</t>
        </is>
      </c>
      <c r="G1397" s="4" t="inlineStr">
        <is>
          <t>C</t>
        </is>
      </c>
      <c r="H1397" s="11" t="n">
        <v>1184</v>
      </c>
      <c r="I1397" s="4" t="n">
        <v>298.25</v>
      </c>
      <c r="J1397" s="13">
        <f>IF(I1397&gt;0,H1397/I1397,"")</f>
        <v/>
      </c>
      <c r="K1397" s="4">
        <f>IF(I1397&lt;=0,"NO DEMAND",IF(H1397=0,"STOCKOUT",IF(J1397&lt;Config!$B$5,"CRITICAL",IF(J1397&lt;Config!$B$6,"LOW",IF(J1397&gt;Config!$B$7,"EXCESS","HEALTHY")))))</f>
        <v/>
      </c>
      <c r="L1397" s="11" t="n">
        <v>59</v>
      </c>
      <c r="M1397" s="11" t="n">
        <v>75</v>
      </c>
      <c r="N1397" s="11">
        <f>H1397*L1397</f>
        <v/>
      </c>
      <c r="O1397" s="11">
        <f>IF(I1397&gt;0,I1397*(M1397-L1397),0)</f>
        <v/>
      </c>
      <c r="P1397" s="11" t="n">
        <v>0</v>
      </c>
    </row>
    <row r="1398">
      <c r="A1398" s="4" t="inlineStr">
        <is>
          <t>WH12</t>
        </is>
      </c>
      <c r="B1398" s="4" t="inlineStr">
        <is>
          <t>Nagpur DC</t>
        </is>
      </c>
      <c r="C1398" s="4" t="inlineStr">
        <is>
          <t>Central</t>
        </is>
      </c>
      <c r="D1398" s="4" t="inlineStr">
        <is>
          <t>SKU074</t>
        </is>
      </c>
      <c r="E1398" s="4" t="inlineStr">
        <is>
          <t>Matchbox 10pk</t>
        </is>
      </c>
      <c r="F1398" s="4" t="inlineStr">
        <is>
          <t>Home Care</t>
        </is>
      </c>
      <c r="G1398" s="4" t="inlineStr">
        <is>
          <t>A</t>
        </is>
      </c>
      <c r="H1398" s="11" t="n">
        <v>0</v>
      </c>
      <c r="I1398" s="4" t="n">
        <v>263.75</v>
      </c>
      <c r="J1398" s="13">
        <f>IF(I1398&gt;0,H1398/I1398,"")</f>
        <v/>
      </c>
      <c r="K1398" s="4">
        <f>IF(I1398&lt;=0,"NO DEMAND",IF(H1398=0,"STOCKOUT",IF(J1398&lt;Config!$B$5,"CRITICAL",IF(J1398&lt;Config!$B$6,"LOW",IF(J1398&gt;Config!$B$7,"EXCESS","HEALTHY")))))</f>
        <v/>
      </c>
      <c r="L1398" s="11" t="n">
        <v>257</v>
      </c>
      <c r="M1398" s="11" t="n">
        <v>315</v>
      </c>
      <c r="N1398" s="11">
        <f>H1398*L1398</f>
        <v/>
      </c>
      <c r="O1398" s="11">
        <f>IF(I1398&gt;0,I1398*(M1398-L1398),0)</f>
        <v/>
      </c>
      <c r="P1398" s="11" t="n">
        <v>948</v>
      </c>
    </row>
    <row r="1399">
      <c r="A1399" s="4" t="inlineStr">
        <is>
          <t>WH12</t>
        </is>
      </c>
      <c r="B1399" s="4" t="inlineStr">
        <is>
          <t>Nagpur DC</t>
        </is>
      </c>
      <c r="C1399" s="4" t="inlineStr">
        <is>
          <t>Central</t>
        </is>
      </c>
      <c r="D1399" s="4" t="inlineStr">
        <is>
          <t>SKU075</t>
        </is>
      </c>
      <c r="E1399" s="4" t="inlineStr">
        <is>
          <t>Naphthalene Balls 200g</t>
        </is>
      </c>
      <c r="F1399" s="4" t="inlineStr">
        <is>
          <t>Home Care</t>
        </is>
      </c>
      <c r="G1399" s="4" t="inlineStr">
        <is>
          <t>C</t>
        </is>
      </c>
      <c r="H1399" s="11" t="n">
        <v>837</v>
      </c>
      <c r="I1399" s="4" t="n">
        <v>352</v>
      </c>
      <c r="J1399" s="13">
        <f>IF(I1399&gt;0,H1399/I1399,"")</f>
        <v/>
      </c>
      <c r="K1399" s="4">
        <f>IF(I1399&lt;=0,"NO DEMAND",IF(H1399=0,"STOCKOUT",IF(J1399&lt;Config!$B$5,"CRITICAL",IF(J1399&lt;Config!$B$6,"LOW",IF(J1399&gt;Config!$B$7,"EXCESS","HEALTHY")))))</f>
        <v/>
      </c>
      <c r="L1399" s="11" t="n">
        <v>49</v>
      </c>
      <c r="M1399" s="11" t="n">
        <v>60</v>
      </c>
      <c r="N1399" s="11">
        <f>H1399*L1399</f>
        <v/>
      </c>
      <c r="O1399" s="11">
        <f>IF(I1399&gt;0,I1399*(M1399-L1399),0)</f>
        <v/>
      </c>
      <c r="P1399" s="11" t="n">
        <v>1224</v>
      </c>
    </row>
    <row r="1400">
      <c r="A1400" s="4" t="inlineStr">
        <is>
          <t>WH12</t>
        </is>
      </c>
      <c r="B1400" s="4" t="inlineStr">
        <is>
          <t>Nagpur DC</t>
        </is>
      </c>
      <c r="C1400" s="4" t="inlineStr">
        <is>
          <t>Central</t>
        </is>
      </c>
      <c r="D1400" s="4" t="inlineStr">
        <is>
          <t>SKU076</t>
        </is>
      </c>
      <c r="E1400" s="4" t="inlineStr">
        <is>
          <t>USB-C Cable 1m</t>
        </is>
      </c>
      <c r="F1400" s="4" t="inlineStr">
        <is>
          <t>Electronics Accessories</t>
        </is>
      </c>
      <c r="G1400" s="4" t="inlineStr">
        <is>
          <t>A</t>
        </is>
      </c>
      <c r="H1400" s="11" t="n">
        <v>0</v>
      </c>
      <c r="I1400" s="4" t="n">
        <v>92.75</v>
      </c>
      <c r="J1400" s="13">
        <f>IF(I1400&gt;0,H1400/I1400,"")</f>
        <v/>
      </c>
      <c r="K1400" s="4">
        <f>IF(I1400&lt;=0,"NO DEMAND",IF(H1400=0,"STOCKOUT",IF(J1400&lt;Config!$B$5,"CRITICAL",IF(J1400&lt;Config!$B$6,"LOW",IF(J1400&gt;Config!$B$7,"EXCESS","HEALTHY")))))</f>
        <v/>
      </c>
      <c r="L1400" s="11" t="n">
        <v>441</v>
      </c>
      <c r="M1400" s="11" t="n">
        <v>572</v>
      </c>
      <c r="N1400" s="11">
        <f>H1400*L1400</f>
        <v/>
      </c>
      <c r="O1400" s="11">
        <f>IF(I1400&gt;0,I1400*(M1400-L1400),0)</f>
        <v/>
      </c>
      <c r="P1400" s="11" t="n">
        <v>450</v>
      </c>
    </row>
    <row r="1401">
      <c r="A1401" s="4" t="inlineStr">
        <is>
          <t>WH12</t>
        </is>
      </c>
      <c r="B1401" s="4" t="inlineStr">
        <is>
          <t>Nagpur DC</t>
        </is>
      </c>
      <c r="C1401" s="4" t="inlineStr">
        <is>
          <t>Central</t>
        </is>
      </c>
      <c r="D1401" s="4" t="inlineStr">
        <is>
          <t>SKU077</t>
        </is>
      </c>
      <c r="E1401" s="4" t="inlineStr">
        <is>
          <t>Fast Charger 25W</t>
        </is>
      </c>
      <c r="F1401" s="4" t="inlineStr">
        <is>
          <t>Electronics Accessories</t>
        </is>
      </c>
      <c r="G1401" s="4" t="inlineStr">
        <is>
          <t>B</t>
        </is>
      </c>
      <c r="H1401" s="11" t="n">
        <v>268</v>
      </c>
      <c r="I1401" s="4" t="n">
        <v>116.75</v>
      </c>
      <c r="J1401" s="13">
        <f>IF(I1401&gt;0,H1401/I1401,"")</f>
        <v/>
      </c>
      <c r="K1401" s="4">
        <f>IF(I1401&lt;=0,"NO DEMAND",IF(H1401=0,"STOCKOUT",IF(J1401&lt;Config!$B$5,"CRITICAL",IF(J1401&lt;Config!$B$6,"LOW",IF(J1401&gt;Config!$B$7,"EXCESS","HEALTHY")))))</f>
        <v/>
      </c>
      <c r="L1401" s="11" t="n">
        <v>364</v>
      </c>
      <c r="M1401" s="11" t="n">
        <v>465</v>
      </c>
      <c r="N1401" s="11">
        <f>H1401*L1401</f>
        <v/>
      </c>
      <c r="O1401" s="11">
        <f>IF(I1401&gt;0,I1401*(M1401-L1401),0)</f>
        <v/>
      </c>
      <c r="P1401" s="11" t="n">
        <v>490</v>
      </c>
    </row>
    <row r="1402">
      <c r="A1402" s="4" t="inlineStr">
        <is>
          <t>WH12</t>
        </is>
      </c>
      <c r="B1402" s="4" t="inlineStr">
        <is>
          <t>Nagpur DC</t>
        </is>
      </c>
      <c r="C1402" s="4" t="inlineStr">
        <is>
          <t>Central</t>
        </is>
      </c>
      <c r="D1402" s="4" t="inlineStr">
        <is>
          <t>SKU078</t>
        </is>
      </c>
      <c r="E1402" s="4" t="inlineStr">
        <is>
          <t>Power Bank 10000mAh</t>
        </is>
      </c>
      <c r="F1402" s="4" t="inlineStr">
        <is>
          <t>Electronics Accessories</t>
        </is>
      </c>
      <c r="G1402" s="4" t="inlineStr">
        <is>
          <t>B</t>
        </is>
      </c>
      <c r="H1402" s="11" t="n">
        <v>348</v>
      </c>
      <c r="I1402" s="4" t="n">
        <v>39</v>
      </c>
      <c r="J1402" s="13">
        <f>IF(I1402&gt;0,H1402/I1402,"")</f>
        <v/>
      </c>
      <c r="K1402" s="4">
        <f>IF(I1402&lt;=0,"NO DEMAND",IF(H1402=0,"STOCKOUT",IF(J1402&lt;Config!$B$5,"CRITICAL",IF(J1402&lt;Config!$B$6,"LOW",IF(J1402&gt;Config!$B$7,"EXCESS","HEALTHY")))))</f>
        <v/>
      </c>
      <c r="L1402" s="11" t="n">
        <v>359</v>
      </c>
      <c r="M1402" s="11" t="n">
        <v>471</v>
      </c>
      <c r="N1402" s="11">
        <f>H1402*L1402</f>
        <v/>
      </c>
      <c r="O1402" s="11">
        <f>IF(I1402&gt;0,I1402*(M1402-L1402),0)</f>
        <v/>
      </c>
      <c r="P1402" s="11" t="n">
        <v>0</v>
      </c>
    </row>
    <row r="1403">
      <c r="A1403" s="4" t="inlineStr">
        <is>
          <t>WH12</t>
        </is>
      </c>
      <c r="B1403" s="4" t="inlineStr">
        <is>
          <t>Nagpur DC</t>
        </is>
      </c>
      <c r="C1403" s="4" t="inlineStr">
        <is>
          <t>Central</t>
        </is>
      </c>
      <c r="D1403" s="4" t="inlineStr">
        <is>
          <t>SKU079</t>
        </is>
      </c>
      <c r="E1403" s="4" t="inlineStr">
        <is>
          <t>Wired Earphones</t>
        </is>
      </c>
      <c r="F1403" s="4" t="inlineStr">
        <is>
          <t>Electronics Accessories</t>
        </is>
      </c>
      <c r="G1403" s="4" t="inlineStr">
        <is>
          <t>A</t>
        </is>
      </c>
      <c r="H1403" s="11" t="n">
        <v>251</v>
      </c>
      <c r="I1403" s="4" t="n">
        <v>20.25</v>
      </c>
      <c r="J1403" s="13">
        <f>IF(I1403&gt;0,H1403/I1403,"")</f>
        <v/>
      </c>
      <c r="K1403" s="4">
        <f>IF(I1403&lt;=0,"NO DEMAND",IF(H1403=0,"STOCKOUT",IF(J1403&lt;Config!$B$5,"CRITICAL",IF(J1403&lt;Config!$B$6,"LOW",IF(J1403&gt;Config!$B$7,"EXCESS","HEALTHY")))))</f>
        <v/>
      </c>
      <c r="L1403" s="11" t="n">
        <v>1110</v>
      </c>
      <c r="M1403" s="11" t="n">
        <v>1412</v>
      </c>
      <c r="N1403" s="11">
        <f>H1403*L1403</f>
        <v/>
      </c>
      <c r="O1403" s="11">
        <f>IF(I1403&gt;0,I1403*(M1403-L1403),0)</f>
        <v/>
      </c>
      <c r="P1403" s="11" t="n">
        <v>0</v>
      </c>
    </row>
    <row r="1404">
      <c r="A1404" s="4" t="inlineStr">
        <is>
          <t>WH12</t>
        </is>
      </c>
      <c r="B1404" s="4" t="inlineStr">
        <is>
          <t>Nagpur DC</t>
        </is>
      </c>
      <c r="C1404" s="4" t="inlineStr">
        <is>
          <t>Central</t>
        </is>
      </c>
      <c r="D1404" s="4" t="inlineStr">
        <is>
          <t>SKU080</t>
        </is>
      </c>
      <c r="E1404" s="4" t="inlineStr">
        <is>
          <t>TWS Earbuds</t>
        </is>
      </c>
      <c r="F1404" s="4" t="inlineStr">
        <is>
          <t>Electronics Accessories</t>
        </is>
      </c>
      <c r="G1404" s="4" t="inlineStr">
        <is>
          <t>A</t>
        </is>
      </c>
      <c r="H1404" s="11" t="n">
        <v>149</v>
      </c>
      <c r="I1404" s="4" t="n">
        <v>75.75</v>
      </c>
      <c r="J1404" s="13">
        <f>IF(I1404&gt;0,H1404/I1404,"")</f>
        <v/>
      </c>
      <c r="K1404" s="4">
        <f>IF(I1404&lt;=0,"NO DEMAND",IF(H1404=0,"STOCKOUT",IF(J1404&lt;Config!$B$5,"CRITICAL",IF(J1404&lt;Config!$B$6,"LOW",IF(J1404&gt;Config!$B$7,"EXCESS","HEALTHY")))))</f>
        <v/>
      </c>
      <c r="L1404" s="11" t="n">
        <v>2238</v>
      </c>
      <c r="M1404" s="11" t="n">
        <v>2947</v>
      </c>
      <c r="N1404" s="11">
        <f>H1404*L1404</f>
        <v/>
      </c>
      <c r="O1404" s="11">
        <f>IF(I1404&gt;0,I1404*(M1404-L1404),0)</f>
        <v/>
      </c>
      <c r="P1404" s="11" t="n">
        <v>450</v>
      </c>
    </row>
    <row r="1405">
      <c r="A1405" s="4" t="inlineStr">
        <is>
          <t>WH12</t>
        </is>
      </c>
      <c r="B1405" s="4" t="inlineStr">
        <is>
          <t>Nagpur DC</t>
        </is>
      </c>
      <c r="C1405" s="4" t="inlineStr">
        <is>
          <t>Central</t>
        </is>
      </c>
      <c r="D1405" s="4" t="inlineStr">
        <is>
          <t>SKU081</t>
        </is>
      </c>
      <c r="E1405" s="4" t="inlineStr">
        <is>
          <t>Bluetooth Speaker</t>
        </is>
      </c>
      <c r="F1405" s="4" t="inlineStr">
        <is>
          <t>Electronics Accessories</t>
        </is>
      </c>
      <c r="G1405" s="4" t="inlineStr">
        <is>
          <t>B</t>
        </is>
      </c>
      <c r="H1405" s="11" t="n">
        <v>169</v>
      </c>
      <c r="I1405" s="4" t="n">
        <v>120.25</v>
      </c>
      <c r="J1405" s="13">
        <f>IF(I1405&gt;0,H1405/I1405,"")</f>
        <v/>
      </c>
      <c r="K1405" s="4">
        <f>IF(I1405&lt;=0,"NO DEMAND",IF(H1405=0,"STOCKOUT",IF(J1405&lt;Config!$B$5,"CRITICAL",IF(J1405&lt;Config!$B$6,"LOW",IF(J1405&gt;Config!$B$7,"EXCESS","HEALTHY")))))</f>
        <v/>
      </c>
      <c r="L1405" s="11" t="n">
        <v>227</v>
      </c>
      <c r="M1405" s="11" t="n">
        <v>293</v>
      </c>
      <c r="N1405" s="11">
        <f>H1405*L1405</f>
        <v/>
      </c>
      <c r="O1405" s="11">
        <f>IF(I1405&gt;0,I1405*(M1405-L1405),0)</f>
        <v/>
      </c>
      <c r="P1405" s="11" t="n">
        <v>520</v>
      </c>
    </row>
    <row r="1406">
      <c r="A1406" s="4" t="inlineStr">
        <is>
          <t>WH12</t>
        </is>
      </c>
      <c r="B1406" s="4" t="inlineStr">
        <is>
          <t>Nagpur DC</t>
        </is>
      </c>
      <c r="C1406" s="4" t="inlineStr">
        <is>
          <t>Central</t>
        </is>
      </c>
      <c r="D1406" s="4" t="inlineStr">
        <is>
          <t>SKU082</t>
        </is>
      </c>
      <c r="E1406" s="4" t="inlineStr">
        <is>
          <t>Phone Case</t>
        </is>
      </c>
      <c r="F1406" s="4" t="inlineStr">
        <is>
          <t>Electronics Accessories</t>
        </is>
      </c>
      <c r="G1406" s="4" t="inlineStr">
        <is>
          <t>B</t>
        </is>
      </c>
      <c r="H1406" s="11" t="n">
        <v>145</v>
      </c>
      <c r="I1406" s="4" t="n">
        <v>48.5</v>
      </c>
      <c r="J1406" s="13">
        <f>IF(I1406&gt;0,H1406/I1406,"")</f>
        <v/>
      </c>
      <c r="K1406" s="4">
        <f>IF(I1406&lt;=0,"NO DEMAND",IF(H1406=0,"STOCKOUT",IF(J1406&lt;Config!$B$5,"CRITICAL",IF(J1406&lt;Config!$B$6,"LOW",IF(J1406&gt;Config!$B$7,"EXCESS","HEALTHY")))))</f>
        <v/>
      </c>
      <c r="L1406" s="11" t="n">
        <v>665</v>
      </c>
      <c r="M1406" s="11" t="n">
        <v>835</v>
      </c>
      <c r="N1406" s="11">
        <f>H1406*L1406</f>
        <v/>
      </c>
      <c r="O1406" s="11">
        <f>IF(I1406&gt;0,I1406*(M1406-L1406),0)</f>
        <v/>
      </c>
      <c r="P1406" s="11" t="n">
        <v>180</v>
      </c>
    </row>
    <row r="1407">
      <c r="A1407" s="4" t="inlineStr">
        <is>
          <t>WH12</t>
        </is>
      </c>
      <c r="B1407" s="4" t="inlineStr">
        <is>
          <t>Nagpur DC</t>
        </is>
      </c>
      <c r="C1407" s="4" t="inlineStr">
        <is>
          <t>Central</t>
        </is>
      </c>
      <c r="D1407" s="4" t="inlineStr">
        <is>
          <t>SKU083</t>
        </is>
      </c>
      <c r="E1407" s="4" t="inlineStr">
        <is>
          <t>Screen Guard</t>
        </is>
      </c>
      <c r="F1407" s="4" t="inlineStr">
        <is>
          <t>Electronics Accessories</t>
        </is>
      </c>
      <c r="G1407" s="4" t="inlineStr">
        <is>
          <t>C</t>
        </is>
      </c>
      <c r="H1407" s="11" t="n">
        <v>0</v>
      </c>
      <c r="I1407" s="4" t="n">
        <v>43.5</v>
      </c>
      <c r="J1407" s="13">
        <f>IF(I1407&gt;0,H1407/I1407,"")</f>
        <v/>
      </c>
      <c r="K1407" s="4">
        <f>IF(I1407&lt;=0,"NO DEMAND",IF(H1407=0,"STOCKOUT",IF(J1407&lt;Config!$B$5,"CRITICAL",IF(J1407&lt;Config!$B$6,"LOW",IF(J1407&gt;Config!$B$7,"EXCESS","HEALTHY")))))</f>
        <v/>
      </c>
      <c r="L1407" s="11" t="n">
        <v>229</v>
      </c>
      <c r="M1407" s="11" t="n">
        <v>298</v>
      </c>
      <c r="N1407" s="11">
        <f>H1407*L1407</f>
        <v/>
      </c>
      <c r="O1407" s="11">
        <f>IF(I1407&gt;0,I1407*(M1407-L1407),0)</f>
        <v/>
      </c>
      <c r="P1407" s="11" t="n">
        <v>300</v>
      </c>
    </row>
    <row r="1408">
      <c r="A1408" s="4" t="inlineStr">
        <is>
          <t>WH12</t>
        </is>
      </c>
      <c r="B1408" s="4" t="inlineStr">
        <is>
          <t>Nagpur DC</t>
        </is>
      </c>
      <c r="C1408" s="4" t="inlineStr">
        <is>
          <t>Central</t>
        </is>
      </c>
      <c r="D1408" s="4" t="inlineStr">
        <is>
          <t>SKU084</t>
        </is>
      </c>
      <c r="E1408" s="4" t="inlineStr">
        <is>
          <t>LED Bulb 9W</t>
        </is>
      </c>
      <c r="F1408" s="4" t="inlineStr">
        <is>
          <t>Electronics Accessories</t>
        </is>
      </c>
      <c r="G1408" s="4" t="inlineStr">
        <is>
          <t>C</t>
        </is>
      </c>
      <c r="H1408" s="11" t="n">
        <v>24</v>
      </c>
      <c r="I1408" s="4" t="n">
        <v>6</v>
      </c>
      <c r="J1408" s="13">
        <f>IF(I1408&gt;0,H1408/I1408,"")</f>
        <v/>
      </c>
      <c r="K1408" s="4">
        <f>IF(I1408&lt;=0,"NO DEMAND",IF(H1408=0,"STOCKOUT",IF(J1408&lt;Config!$B$5,"CRITICAL",IF(J1408&lt;Config!$B$6,"LOW",IF(J1408&gt;Config!$B$7,"EXCESS","HEALTHY")))))</f>
        <v/>
      </c>
      <c r="L1408" s="11" t="n">
        <v>160</v>
      </c>
      <c r="M1408" s="11" t="n">
        <v>207</v>
      </c>
      <c r="N1408" s="11">
        <f>H1408*L1408</f>
        <v/>
      </c>
      <c r="O1408" s="11">
        <f>IF(I1408&gt;0,I1408*(M1408-L1408),0)</f>
        <v/>
      </c>
      <c r="P1408" s="11" t="n">
        <v>230</v>
      </c>
    </row>
    <row r="1409">
      <c r="A1409" s="4" t="inlineStr">
        <is>
          <t>WH12</t>
        </is>
      </c>
      <c r="B1409" s="4" t="inlineStr">
        <is>
          <t>Nagpur DC</t>
        </is>
      </c>
      <c r="C1409" s="4" t="inlineStr">
        <is>
          <t>Central</t>
        </is>
      </c>
      <c r="D1409" s="4" t="inlineStr">
        <is>
          <t>SKU085</t>
        </is>
      </c>
      <c r="E1409" s="4" t="inlineStr">
        <is>
          <t>Extension Board 4-socket</t>
        </is>
      </c>
      <c r="F1409" s="4" t="inlineStr">
        <is>
          <t>Electronics Accessories</t>
        </is>
      </c>
      <c r="G1409" s="4" t="inlineStr">
        <is>
          <t>B</t>
        </is>
      </c>
      <c r="H1409" s="11" t="n">
        <v>151</v>
      </c>
      <c r="I1409" s="4" t="n">
        <v>120.75</v>
      </c>
      <c r="J1409" s="13">
        <f>IF(I1409&gt;0,H1409/I1409,"")</f>
        <v/>
      </c>
      <c r="K1409" s="4">
        <f>IF(I1409&lt;=0,"NO DEMAND",IF(H1409=0,"STOCKOUT",IF(J1409&lt;Config!$B$5,"CRITICAL",IF(J1409&lt;Config!$B$6,"LOW",IF(J1409&gt;Config!$B$7,"EXCESS","HEALTHY")))))</f>
        <v/>
      </c>
      <c r="L1409" s="11" t="n">
        <v>336</v>
      </c>
      <c r="M1409" s="11" t="n">
        <v>431</v>
      </c>
      <c r="N1409" s="11">
        <f>H1409*L1409</f>
        <v/>
      </c>
      <c r="O1409" s="11">
        <f>IF(I1409&gt;0,I1409*(M1409-L1409),0)</f>
        <v/>
      </c>
      <c r="P1409" s="11" t="n">
        <v>700</v>
      </c>
    </row>
    <row r="1410">
      <c r="A1410" s="4" t="inlineStr">
        <is>
          <t>WH12</t>
        </is>
      </c>
      <c r="B1410" s="4" t="inlineStr">
        <is>
          <t>Nagpur DC</t>
        </is>
      </c>
      <c r="C1410" s="4" t="inlineStr">
        <is>
          <t>Central</t>
        </is>
      </c>
      <c r="D1410" s="4" t="inlineStr">
        <is>
          <t>SKU086</t>
        </is>
      </c>
      <c r="E1410" s="4" t="inlineStr">
        <is>
          <t>AA Batteries 10pk</t>
        </is>
      </c>
      <c r="F1410" s="4" t="inlineStr">
        <is>
          <t>Electronics Accessories</t>
        </is>
      </c>
      <c r="G1410" s="4" t="inlineStr">
        <is>
          <t>A</t>
        </is>
      </c>
      <c r="H1410" s="11" t="n">
        <v>450</v>
      </c>
      <c r="I1410" s="4" t="n">
        <v>160</v>
      </c>
      <c r="J1410" s="13">
        <f>IF(I1410&gt;0,H1410/I1410,"")</f>
        <v/>
      </c>
      <c r="K1410" s="4">
        <f>IF(I1410&lt;=0,"NO DEMAND",IF(H1410=0,"STOCKOUT",IF(J1410&lt;Config!$B$5,"CRITICAL",IF(J1410&lt;Config!$B$6,"LOW",IF(J1410&gt;Config!$B$7,"EXCESS","HEALTHY")))))</f>
        <v/>
      </c>
      <c r="L1410" s="11" t="n">
        <v>1335</v>
      </c>
      <c r="M1410" s="11" t="n">
        <v>1740</v>
      </c>
      <c r="N1410" s="11">
        <f>H1410*L1410</f>
        <v/>
      </c>
      <c r="O1410" s="11">
        <f>IF(I1410&gt;0,I1410*(M1410-L1410),0)</f>
        <v/>
      </c>
      <c r="P1410" s="11" t="n">
        <v>840</v>
      </c>
    </row>
    <row r="1411">
      <c r="A1411" s="4" t="inlineStr">
        <is>
          <t>WH12</t>
        </is>
      </c>
      <c r="B1411" s="4" t="inlineStr">
        <is>
          <t>Nagpur DC</t>
        </is>
      </c>
      <c r="C1411" s="4" t="inlineStr">
        <is>
          <t>Central</t>
        </is>
      </c>
      <c r="D1411" s="4" t="inlineStr">
        <is>
          <t>SKU087</t>
        </is>
      </c>
      <c r="E1411" s="4" t="inlineStr">
        <is>
          <t>SD Card 64GB</t>
        </is>
      </c>
      <c r="F1411" s="4" t="inlineStr">
        <is>
          <t>Electronics Accessories</t>
        </is>
      </c>
      <c r="G1411" s="4" t="inlineStr">
        <is>
          <t>A</t>
        </is>
      </c>
      <c r="H1411" s="11" t="n">
        <v>348</v>
      </c>
      <c r="I1411" s="4" t="n">
        <v>99</v>
      </c>
      <c r="J1411" s="13">
        <f>IF(I1411&gt;0,H1411/I1411,"")</f>
        <v/>
      </c>
      <c r="K1411" s="4">
        <f>IF(I1411&lt;=0,"NO DEMAND",IF(H1411=0,"STOCKOUT",IF(J1411&lt;Config!$B$5,"CRITICAL",IF(J1411&lt;Config!$B$6,"LOW",IF(J1411&gt;Config!$B$7,"EXCESS","HEALTHY")))))</f>
        <v/>
      </c>
      <c r="L1411" s="11" t="n">
        <v>1750</v>
      </c>
      <c r="M1411" s="11" t="n">
        <v>2180</v>
      </c>
      <c r="N1411" s="11">
        <f>H1411*L1411</f>
        <v/>
      </c>
      <c r="O1411" s="11">
        <f>IF(I1411&gt;0,I1411*(M1411-L1411),0)</f>
        <v/>
      </c>
      <c r="P1411" s="11" t="n">
        <v>0</v>
      </c>
    </row>
    <row r="1412">
      <c r="A1412" s="4" t="inlineStr">
        <is>
          <t>WH12</t>
        </is>
      </c>
      <c r="B1412" s="4" t="inlineStr">
        <is>
          <t>Nagpur DC</t>
        </is>
      </c>
      <c r="C1412" s="4" t="inlineStr">
        <is>
          <t>Central</t>
        </is>
      </c>
      <c r="D1412" s="4" t="inlineStr">
        <is>
          <t>SKU088</t>
        </is>
      </c>
      <c r="E1412" s="4" t="inlineStr">
        <is>
          <t>Wireless Mouse</t>
        </is>
      </c>
      <c r="F1412" s="4" t="inlineStr">
        <is>
          <t>Electronics Accessories</t>
        </is>
      </c>
      <c r="G1412" s="4" t="inlineStr">
        <is>
          <t>A</t>
        </is>
      </c>
      <c r="H1412" s="11" t="n">
        <v>0</v>
      </c>
      <c r="I1412" s="4" t="n">
        <v>88.75</v>
      </c>
      <c r="J1412" s="13">
        <f>IF(I1412&gt;0,H1412/I1412,"")</f>
        <v/>
      </c>
      <c r="K1412" s="4">
        <f>IF(I1412&lt;=0,"NO DEMAND",IF(H1412=0,"STOCKOUT",IF(J1412&lt;Config!$B$5,"CRITICAL",IF(J1412&lt;Config!$B$6,"LOW",IF(J1412&gt;Config!$B$7,"EXCESS","HEALTHY")))))</f>
        <v/>
      </c>
      <c r="L1412" s="11" t="n">
        <v>429</v>
      </c>
      <c r="M1412" s="11" t="n">
        <v>534</v>
      </c>
      <c r="N1412" s="11">
        <f>H1412*L1412</f>
        <v/>
      </c>
      <c r="O1412" s="11">
        <f>IF(I1412&gt;0,I1412*(M1412-L1412),0)</f>
        <v/>
      </c>
      <c r="P1412" s="11" t="n">
        <v>420</v>
      </c>
    </row>
    <row r="1413">
      <c r="A1413" s="4" t="inlineStr">
        <is>
          <t>WH12</t>
        </is>
      </c>
      <c r="B1413" s="4" t="inlineStr">
        <is>
          <t>Nagpur DC</t>
        </is>
      </c>
      <c r="C1413" s="4" t="inlineStr">
        <is>
          <t>Central</t>
        </is>
      </c>
      <c r="D1413" s="4" t="inlineStr">
        <is>
          <t>SKU089</t>
        </is>
      </c>
      <c r="E1413" s="4" t="inlineStr">
        <is>
          <t>USB Keyboard</t>
        </is>
      </c>
      <c r="F1413" s="4" t="inlineStr">
        <is>
          <t>Electronics Accessories</t>
        </is>
      </c>
      <c r="G1413" s="4" t="inlineStr">
        <is>
          <t>A</t>
        </is>
      </c>
      <c r="H1413" s="11" t="n">
        <v>135</v>
      </c>
      <c r="I1413" s="4" t="n">
        <v>122</v>
      </c>
      <c r="J1413" s="13">
        <f>IF(I1413&gt;0,H1413/I1413,"")</f>
        <v/>
      </c>
      <c r="K1413" s="4">
        <f>IF(I1413&lt;=0,"NO DEMAND",IF(H1413=0,"STOCKOUT",IF(J1413&lt;Config!$B$5,"CRITICAL",IF(J1413&lt;Config!$B$6,"LOW",IF(J1413&gt;Config!$B$7,"EXCESS","HEALTHY")))))</f>
        <v/>
      </c>
      <c r="L1413" s="11" t="n">
        <v>2249</v>
      </c>
      <c r="M1413" s="11" t="n">
        <v>2812</v>
      </c>
      <c r="N1413" s="11">
        <f>H1413*L1413</f>
        <v/>
      </c>
      <c r="O1413" s="11">
        <f>IF(I1413&gt;0,I1413*(M1413-L1413),0)</f>
        <v/>
      </c>
      <c r="P1413" s="11" t="n">
        <v>450</v>
      </c>
    </row>
    <row r="1414">
      <c r="A1414" s="4" t="inlineStr">
        <is>
          <t>WH12</t>
        </is>
      </c>
      <c r="B1414" s="4" t="inlineStr">
        <is>
          <t>Nagpur DC</t>
        </is>
      </c>
      <c r="C1414" s="4" t="inlineStr">
        <is>
          <t>Central</t>
        </is>
      </c>
      <c r="D1414" s="4" t="inlineStr">
        <is>
          <t>SKU090</t>
        </is>
      </c>
      <c r="E1414" s="4" t="inlineStr">
        <is>
          <t>HDMI Cable 2m</t>
        </is>
      </c>
      <c r="F1414" s="4" t="inlineStr">
        <is>
          <t>Electronics Accessories</t>
        </is>
      </c>
      <c r="G1414" s="4" t="inlineStr">
        <is>
          <t>C</t>
        </is>
      </c>
      <c r="H1414" s="11" t="n">
        <v>60</v>
      </c>
      <c r="I1414" s="4" t="n">
        <v>30</v>
      </c>
      <c r="J1414" s="13">
        <f>IF(I1414&gt;0,H1414/I1414,"")</f>
        <v/>
      </c>
      <c r="K1414" s="4">
        <f>IF(I1414&lt;=0,"NO DEMAND",IF(H1414=0,"STOCKOUT",IF(J1414&lt;Config!$B$5,"CRITICAL",IF(J1414&lt;Config!$B$6,"LOW",IF(J1414&gt;Config!$B$7,"EXCESS","HEALTHY")))))</f>
        <v/>
      </c>
      <c r="L1414" s="11" t="n">
        <v>292</v>
      </c>
      <c r="M1414" s="11" t="n">
        <v>378</v>
      </c>
      <c r="N1414" s="11">
        <f>H1414*L1414</f>
        <v/>
      </c>
      <c r="O1414" s="11">
        <f>IF(I1414&gt;0,I1414*(M1414-L1414),0)</f>
        <v/>
      </c>
      <c r="P1414" s="11" t="n">
        <v>140</v>
      </c>
    </row>
    <row r="1415">
      <c r="A1415" s="4" t="inlineStr">
        <is>
          <t>WH12</t>
        </is>
      </c>
      <c r="B1415" s="4" t="inlineStr">
        <is>
          <t>Nagpur DC</t>
        </is>
      </c>
      <c r="C1415" s="4" t="inlineStr">
        <is>
          <t>Central</t>
        </is>
      </c>
      <c r="D1415" s="4" t="inlineStr">
        <is>
          <t>SKU091</t>
        </is>
      </c>
      <c r="E1415" s="4" t="inlineStr">
        <is>
          <t>Paracetamol 500mg 15s</t>
        </is>
      </c>
      <c r="F1415" s="4" t="inlineStr">
        <is>
          <t>OTC Pharma &amp; Wellness</t>
        </is>
      </c>
      <c r="G1415" s="4" t="inlineStr">
        <is>
          <t>C</t>
        </is>
      </c>
      <c r="H1415" s="11" t="n">
        <v>467</v>
      </c>
      <c r="I1415" s="4" t="n">
        <v>93.75</v>
      </c>
      <c r="J1415" s="13">
        <f>IF(I1415&gt;0,H1415/I1415,"")</f>
        <v/>
      </c>
      <c r="K1415" s="4">
        <f>IF(I1415&lt;=0,"NO DEMAND",IF(H1415=0,"STOCKOUT",IF(J1415&lt;Config!$B$5,"CRITICAL",IF(J1415&lt;Config!$B$6,"LOW",IF(J1415&gt;Config!$B$7,"EXCESS","HEALTHY")))))</f>
        <v/>
      </c>
      <c r="L1415" s="11" t="n">
        <v>113</v>
      </c>
      <c r="M1415" s="11" t="n">
        <v>144</v>
      </c>
      <c r="N1415" s="11">
        <f>H1415*L1415</f>
        <v/>
      </c>
      <c r="O1415" s="11">
        <f>IF(I1415&gt;0,I1415*(M1415-L1415),0)</f>
        <v/>
      </c>
      <c r="P1415" s="11" t="n">
        <v>0</v>
      </c>
    </row>
    <row r="1416">
      <c r="A1416" s="4" t="inlineStr">
        <is>
          <t>WH12</t>
        </is>
      </c>
      <c r="B1416" s="4" t="inlineStr">
        <is>
          <t>Nagpur DC</t>
        </is>
      </c>
      <c r="C1416" s="4" t="inlineStr">
        <is>
          <t>Central</t>
        </is>
      </c>
      <c r="D1416" s="4" t="inlineStr">
        <is>
          <t>SKU092</t>
        </is>
      </c>
      <c r="E1416" s="4" t="inlineStr">
        <is>
          <t>ORS Sachets 10pk</t>
        </is>
      </c>
      <c r="F1416" s="4" t="inlineStr">
        <is>
          <t>OTC Pharma &amp; Wellness</t>
        </is>
      </c>
      <c r="G1416" s="4" t="inlineStr">
        <is>
          <t>C</t>
        </is>
      </c>
      <c r="H1416" s="11" t="n">
        <v>469</v>
      </c>
      <c r="I1416" s="4" t="n">
        <v>204.25</v>
      </c>
      <c r="J1416" s="13">
        <f>IF(I1416&gt;0,H1416/I1416,"")</f>
        <v/>
      </c>
      <c r="K1416" s="4">
        <f>IF(I1416&lt;=0,"NO DEMAND",IF(H1416=0,"STOCKOUT",IF(J1416&lt;Config!$B$5,"CRITICAL",IF(J1416&lt;Config!$B$6,"LOW",IF(J1416&gt;Config!$B$7,"EXCESS","HEALTHY")))))</f>
        <v/>
      </c>
      <c r="L1416" s="11" t="n">
        <v>55</v>
      </c>
      <c r="M1416" s="11" t="n">
        <v>75</v>
      </c>
      <c r="N1416" s="11">
        <f>H1416*L1416</f>
        <v/>
      </c>
      <c r="O1416" s="11">
        <f>IF(I1416&gt;0,I1416*(M1416-L1416),0)</f>
        <v/>
      </c>
      <c r="P1416" s="11" t="n">
        <v>648</v>
      </c>
    </row>
    <row r="1417">
      <c r="A1417" s="4" t="inlineStr">
        <is>
          <t>WH12</t>
        </is>
      </c>
      <c r="B1417" s="4" t="inlineStr">
        <is>
          <t>Nagpur DC</t>
        </is>
      </c>
      <c r="C1417" s="4" t="inlineStr">
        <is>
          <t>Central</t>
        </is>
      </c>
      <c r="D1417" s="4" t="inlineStr">
        <is>
          <t>SKU093</t>
        </is>
      </c>
      <c r="E1417" s="4" t="inlineStr">
        <is>
          <t>Antacid Syrup 200ml</t>
        </is>
      </c>
      <c r="F1417" s="4" t="inlineStr">
        <is>
          <t>OTC Pharma &amp; Wellness</t>
        </is>
      </c>
      <c r="G1417" s="4" t="inlineStr">
        <is>
          <t>A</t>
        </is>
      </c>
      <c r="H1417" s="11" t="n">
        <v>351</v>
      </c>
      <c r="I1417" s="4" t="n">
        <v>207.75</v>
      </c>
      <c r="J1417" s="13">
        <f>IF(I1417&gt;0,H1417/I1417,"")</f>
        <v/>
      </c>
      <c r="K1417" s="4">
        <f>IF(I1417&lt;=0,"NO DEMAND",IF(H1417=0,"STOCKOUT",IF(J1417&lt;Config!$B$5,"CRITICAL",IF(J1417&lt;Config!$B$6,"LOW",IF(J1417&gt;Config!$B$7,"EXCESS","HEALTHY")))))</f>
        <v/>
      </c>
      <c r="L1417" s="11" t="n">
        <v>277</v>
      </c>
      <c r="M1417" s="11" t="n">
        <v>362</v>
      </c>
      <c r="N1417" s="11">
        <f>H1417*L1417</f>
        <v/>
      </c>
      <c r="O1417" s="11">
        <f>IF(I1417&gt;0,I1417*(M1417-L1417),0)</f>
        <v/>
      </c>
      <c r="P1417" s="11" t="n">
        <v>636</v>
      </c>
    </row>
    <row r="1418">
      <c r="A1418" s="4" t="inlineStr">
        <is>
          <t>WH12</t>
        </is>
      </c>
      <c r="B1418" s="4" t="inlineStr">
        <is>
          <t>Nagpur DC</t>
        </is>
      </c>
      <c r="C1418" s="4" t="inlineStr">
        <is>
          <t>Central</t>
        </is>
      </c>
      <c r="D1418" s="4" t="inlineStr">
        <is>
          <t>SKU094</t>
        </is>
      </c>
      <c r="E1418" s="4" t="inlineStr">
        <is>
          <t>Cough Syrup 100ml</t>
        </is>
      </c>
      <c r="F1418" s="4" t="inlineStr">
        <is>
          <t>OTC Pharma &amp; Wellness</t>
        </is>
      </c>
      <c r="G1418" s="4" t="inlineStr">
        <is>
          <t>B</t>
        </is>
      </c>
      <c r="H1418" s="11" t="n">
        <v>495</v>
      </c>
      <c r="I1418" s="4" t="n">
        <v>114.25</v>
      </c>
      <c r="J1418" s="13">
        <f>IF(I1418&gt;0,H1418/I1418,"")</f>
        <v/>
      </c>
      <c r="K1418" s="4">
        <f>IF(I1418&lt;=0,"NO DEMAND",IF(H1418=0,"STOCKOUT",IF(J1418&lt;Config!$B$5,"CRITICAL",IF(J1418&lt;Config!$B$6,"LOW",IF(J1418&gt;Config!$B$7,"EXCESS","HEALTHY")))))</f>
        <v/>
      </c>
      <c r="L1418" s="11" t="n">
        <v>190</v>
      </c>
      <c r="M1418" s="11" t="n">
        <v>254</v>
      </c>
      <c r="N1418" s="11">
        <f>H1418*L1418</f>
        <v/>
      </c>
      <c r="O1418" s="11">
        <f>IF(I1418&gt;0,I1418*(M1418-L1418),0)</f>
        <v/>
      </c>
      <c r="P1418" s="11" t="n">
        <v>456</v>
      </c>
    </row>
    <row r="1419">
      <c r="A1419" s="4" t="inlineStr">
        <is>
          <t>WH12</t>
        </is>
      </c>
      <c r="B1419" s="4" t="inlineStr">
        <is>
          <t>Nagpur DC</t>
        </is>
      </c>
      <c r="C1419" s="4" t="inlineStr">
        <is>
          <t>Central</t>
        </is>
      </c>
      <c r="D1419" s="4" t="inlineStr">
        <is>
          <t>SKU095</t>
        </is>
      </c>
      <c r="E1419" s="4" t="inlineStr">
        <is>
          <t>Multivitamin 30s</t>
        </is>
      </c>
      <c r="F1419" s="4" t="inlineStr">
        <is>
          <t>OTC Pharma &amp; Wellness</t>
        </is>
      </c>
      <c r="G1419" s="4" t="inlineStr">
        <is>
          <t>B</t>
        </is>
      </c>
      <c r="H1419" s="11" t="n">
        <v>584</v>
      </c>
      <c r="I1419" s="4" t="n">
        <v>155.5</v>
      </c>
      <c r="J1419" s="13">
        <f>IF(I1419&gt;0,H1419/I1419,"")</f>
        <v/>
      </c>
      <c r="K1419" s="4">
        <f>IF(I1419&lt;=0,"NO DEMAND",IF(H1419=0,"STOCKOUT",IF(J1419&lt;Config!$B$5,"CRITICAL",IF(J1419&lt;Config!$B$6,"LOW",IF(J1419&gt;Config!$B$7,"EXCESS","HEALTHY")))))</f>
        <v/>
      </c>
      <c r="L1419" s="11" t="n">
        <v>178</v>
      </c>
      <c r="M1419" s="11" t="n">
        <v>237</v>
      </c>
      <c r="N1419" s="11">
        <f>H1419*L1419</f>
        <v/>
      </c>
      <c r="O1419" s="11">
        <f>IF(I1419&gt;0,I1419*(M1419-L1419),0)</f>
        <v/>
      </c>
      <c r="P1419" s="11" t="n">
        <v>0</v>
      </c>
    </row>
    <row r="1420">
      <c r="A1420" s="4" t="inlineStr">
        <is>
          <t>WH12</t>
        </is>
      </c>
      <c r="B1420" s="4" t="inlineStr">
        <is>
          <t>Nagpur DC</t>
        </is>
      </c>
      <c r="C1420" s="4" t="inlineStr">
        <is>
          <t>Central</t>
        </is>
      </c>
      <c r="D1420" s="4" t="inlineStr">
        <is>
          <t>SKU096</t>
        </is>
      </c>
      <c r="E1420" s="4" t="inlineStr">
        <is>
          <t>Antiseptic Liquid 250ml</t>
        </is>
      </c>
      <c r="F1420" s="4" t="inlineStr">
        <is>
          <t>OTC Pharma &amp; Wellness</t>
        </is>
      </c>
      <c r="G1420" s="4" t="inlineStr">
        <is>
          <t>C</t>
        </is>
      </c>
      <c r="H1420" s="11" t="n">
        <v>239</v>
      </c>
      <c r="I1420" s="4" t="n">
        <v>62.75</v>
      </c>
      <c r="J1420" s="13">
        <f>IF(I1420&gt;0,H1420/I1420,"")</f>
        <v/>
      </c>
      <c r="K1420" s="4">
        <f>IF(I1420&lt;=0,"NO DEMAND",IF(H1420=0,"STOCKOUT",IF(J1420&lt;Config!$B$5,"CRITICAL",IF(J1420&lt;Config!$B$6,"LOW",IF(J1420&gt;Config!$B$7,"EXCESS","HEALTHY")))))</f>
        <v/>
      </c>
      <c r="L1420" s="11" t="n">
        <v>88</v>
      </c>
      <c r="M1420" s="11" t="n">
        <v>112</v>
      </c>
      <c r="N1420" s="11">
        <f>H1420*L1420</f>
        <v/>
      </c>
      <c r="O1420" s="11">
        <f>IF(I1420&gt;0,I1420*(M1420-L1420),0)</f>
        <v/>
      </c>
      <c r="P1420" s="11" t="n">
        <v>0</v>
      </c>
    </row>
    <row r="1421">
      <c r="A1421" s="4" t="inlineStr">
        <is>
          <t>WH12</t>
        </is>
      </c>
      <c r="B1421" s="4" t="inlineStr">
        <is>
          <t>Nagpur DC</t>
        </is>
      </c>
      <c r="C1421" s="4" t="inlineStr">
        <is>
          <t>Central</t>
        </is>
      </c>
      <c r="D1421" s="4" t="inlineStr">
        <is>
          <t>SKU097</t>
        </is>
      </c>
      <c r="E1421" s="4" t="inlineStr">
        <is>
          <t>Pain Balm 50g</t>
        </is>
      </c>
      <c r="F1421" s="4" t="inlineStr">
        <is>
          <t>OTC Pharma &amp; Wellness</t>
        </is>
      </c>
      <c r="G1421" s="4" t="inlineStr">
        <is>
          <t>C</t>
        </is>
      </c>
      <c r="H1421" s="11" t="n">
        <v>327</v>
      </c>
      <c r="I1421" s="4" t="n">
        <v>72.5</v>
      </c>
      <c r="J1421" s="13">
        <f>IF(I1421&gt;0,H1421/I1421,"")</f>
        <v/>
      </c>
      <c r="K1421" s="4">
        <f>IF(I1421&lt;=0,"NO DEMAND",IF(H1421=0,"STOCKOUT",IF(J1421&lt;Config!$B$5,"CRITICAL",IF(J1421&lt;Config!$B$6,"LOW",IF(J1421&gt;Config!$B$7,"EXCESS","HEALTHY")))))</f>
        <v/>
      </c>
      <c r="L1421" s="11" t="n">
        <v>68</v>
      </c>
      <c r="M1421" s="11" t="n">
        <v>91</v>
      </c>
      <c r="N1421" s="11">
        <f>H1421*L1421</f>
        <v/>
      </c>
      <c r="O1421" s="11">
        <f>IF(I1421&gt;0,I1421*(M1421-L1421),0)</f>
        <v/>
      </c>
      <c r="P1421" s="11" t="n">
        <v>300</v>
      </c>
    </row>
    <row r="1422">
      <c r="A1422" s="4" t="inlineStr">
        <is>
          <t>WH12</t>
        </is>
      </c>
      <c r="B1422" s="4" t="inlineStr">
        <is>
          <t>Nagpur DC</t>
        </is>
      </c>
      <c r="C1422" s="4" t="inlineStr">
        <is>
          <t>Central</t>
        </is>
      </c>
      <c r="D1422" s="4" t="inlineStr">
        <is>
          <t>SKU098</t>
        </is>
      </c>
      <c r="E1422" s="4" t="inlineStr">
        <is>
          <t>Bandage Pack</t>
        </is>
      </c>
      <c r="F1422" s="4" t="inlineStr">
        <is>
          <t>OTC Pharma &amp; Wellness</t>
        </is>
      </c>
      <c r="G1422" s="4" t="inlineStr">
        <is>
          <t>C</t>
        </is>
      </c>
      <c r="H1422" s="11" t="n">
        <v>389</v>
      </c>
      <c r="I1422" s="4" t="n">
        <v>40.25</v>
      </c>
      <c r="J1422" s="13">
        <f>IF(I1422&gt;0,H1422/I1422,"")</f>
        <v/>
      </c>
      <c r="K1422" s="4">
        <f>IF(I1422&lt;=0,"NO DEMAND",IF(H1422=0,"STOCKOUT",IF(J1422&lt;Config!$B$5,"CRITICAL",IF(J1422&lt;Config!$B$6,"LOW",IF(J1422&gt;Config!$B$7,"EXCESS","HEALTHY")))))</f>
        <v/>
      </c>
      <c r="L1422" s="11" t="n">
        <v>49</v>
      </c>
      <c r="M1422" s="11" t="n">
        <v>66</v>
      </c>
      <c r="N1422" s="11">
        <f>H1422*L1422</f>
        <v/>
      </c>
      <c r="O1422" s="11">
        <f>IF(I1422&gt;0,I1422*(M1422-L1422),0)</f>
        <v/>
      </c>
      <c r="P1422" s="11" t="n">
        <v>0</v>
      </c>
    </row>
    <row r="1423">
      <c r="A1423" s="4" t="inlineStr">
        <is>
          <t>WH12</t>
        </is>
      </c>
      <c r="B1423" s="4" t="inlineStr">
        <is>
          <t>Nagpur DC</t>
        </is>
      </c>
      <c r="C1423" s="4" t="inlineStr">
        <is>
          <t>Central</t>
        </is>
      </c>
      <c r="D1423" s="4" t="inlineStr">
        <is>
          <t>SKU099</t>
        </is>
      </c>
      <c r="E1423" s="4" t="inlineStr">
        <is>
          <t>Digital Thermometer</t>
        </is>
      </c>
      <c r="F1423" s="4" t="inlineStr">
        <is>
          <t>OTC Pharma &amp; Wellness</t>
        </is>
      </c>
      <c r="G1423" s="4" t="inlineStr">
        <is>
          <t>B</t>
        </is>
      </c>
      <c r="H1423" s="11" t="n">
        <v>570</v>
      </c>
      <c r="I1423" s="4" t="n">
        <v>222.75</v>
      </c>
      <c r="J1423" s="13">
        <f>IF(I1423&gt;0,H1423/I1423,"")</f>
        <v/>
      </c>
      <c r="K1423" s="4">
        <f>IF(I1423&lt;=0,"NO DEMAND",IF(H1423=0,"STOCKOUT",IF(J1423&lt;Config!$B$5,"CRITICAL",IF(J1423&lt;Config!$B$6,"LOW",IF(J1423&gt;Config!$B$7,"EXCESS","HEALTHY")))))</f>
        <v/>
      </c>
      <c r="L1423" s="11" t="n">
        <v>88</v>
      </c>
      <c r="M1423" s="11" t="n">
        <v>112</v>
      </c>
      <c r="N1423" s="11">
        <f>H1423*L1423</f>
        <v/>
      </c>
      <c r="O1423" s="11">
        <f>IF(I1423&gt;0,I1423*(M1423-L1423),0)</f>
        <v/>
      </c>
      <c r="P1423" s="11" t="n">
        <v>996</v>
      </c>
    </row>
    <row r="1424">
      <c r="A1424" s="4" t="inlineStr">
        <is>
          <t>WH12</t>
        </is>
      </c>
      <c r="B1424" s="4" t="inlineStr">
        <is>
          <t>Nagpur DC</t>
        </is>
      </c>
      <c r="C1424" s="4" t="inlineStr">
        <is>
          <t>Central</t>
        </is>
      </c>
      <c r="D1424" s="4" t="inlineStr">
        <is>
          <t>SKU100</t>
        </is>
      </c>
      <c r="E1424" s="4" t="inlineStr">
        <is>
          <t>Glucose Powder 500g</t>
        </is>
      </c>
      <c r="F1424" s="4" t="inlineStr">
        <is>
          <t>OTC Pharma &amp; Wellness</t>
        </is>
      </c>
      <c r="G1424" s="4" t="inlineStr">
        <is>
          <t>C</t>
        </is>
      </c>
      <c r="H1424" s="11" t="n">
        <v>75</v>
      </c>
      <c r="I1424" s="4" t="n">
        <v>21.5</v>
      </c>
      <c r="J1424" s="13">
        <f>IF(I1424&gt;0,H1424/I1424,"")</f>
        <v/>
      </c>
      <c r="K1424" s="4">
        <f>IF(I1424&lt;=0,"NO DEMAND",IF(H1424=0,"STOCKOUT",IF(J1424&lt;Config!$B$5,"CRITICAL",IF(J1424&lt;Config!$B$6,"LOW",IF(J1424&gt;Config!$B$7,"EXCESS","HEALTHY")))))</f>
        <v/>
      </c>
      <c r="L1424" s="11" t="n">
        <v>32</v>
      </c>
      <c r="M1424" s="11" t="n">
        <v>42</v>
      </c>
      <c r="N1424" s="11">
        <f>H1424*L1424</f>
        <v/>
      </c>
      <c r="O1424" s="11">
        <f>IF(I1424&gt;0,I1424*(M1424-L1424),0)</f>
        <v/>
      </c>
      <c r="P1424" s="11" t="n">
        <v>0</v>
      </c>
    </row>
    <row r="1425">
      <c r="A1425" s="4" t="inlineStr">
        <is>
          <t>WH12</t>
        </is>
      </c>
      <c r="B1425" s="4" t="inlineStr">
        <is>
          <t>Nagpur DC</t>
        </is>
      </c>
      <c r="C1425" s="4" t="inlineStr">
        <is>
          <t>Central</t>
        </is>
      </c>
      <c r="D1425" s="4" t="inlineStr">
        <is>
          <t>SKU101</t>
        </is>
      </c>
      <c r="E1425" s="4" t="inlineStr">
        <is>
          <t>Vitamin C 30s</t>
        </is>
      </c>
      <c r="F1425" s="4" t="inlineStr">
        <is>
          <t>OTC Pharma &amp; Wellness</t>
        </is>
      </c>
      <c r="G1425" s="4" t="inlineStr">
        <is>
          <t>B</t>
        </is>
      </c>
      <c r="H1425" s="11" t="n">
        <v>272</v>
      </c>
      <c r="I1425" s="4" t="n">
        <v>78.25</v>
      </c>
      <c r="J1425" s="13">
        <f>IF(I1425&gt;0,H1425/I1425,"")</f>
        <v/>
      </c>
      <c r="K1425" s="4">
        <f>IF(I1425&lt;=0,"NO DEMAND",IF(H1425=0,"STOCKOUT",IF(J1425&lt;Config!$B$5,"CRITICAL",IF(J1425&lt;Config!$B$6,"LOW",IF(J1425&gt;Config!$B$7,"EXCESS","HEALTHY")))))</f>
        <v/>
      </c>
      <c r="L1425" s="11" t="n">
        <v>176</v>
      </c>
      <c r="M1425" s="11" t="n">
        <v>237</v>
      </c>
      <c r="N1425" s="11">
        <f>H1425*L1425</f>
        <v/>
      </c>
      <c r="O1425" s="11">
        <f>IF(I1425&gt;0,I1425*(M1425-L1425),0)</f>
        <v/>
      </c>
      <c r="P1425" s="11" t="n">
        <v>0</v>
      </c>
    </row>
    <row r="1426">
      <c r="A1426" s="4" t="inlineStr">
        <is>
          <t>WH12</t>
        </is>
      </c>
      <c r="B1426" s="4" t="inlineStr">
        <is>
          <t>Nagpur DC</t>
        </is>
      </c>
      <c r="C1426" s="4" t="inlineStr">
        <is>
          <t>Central</t>
        </is>
      </c>
      <c r="D1426" s="4" t="inlineStr">
        <is>
          <t>SKU102</t>
        </is>
      </c>
      <c r="E1426" s="4" t="inlineStr">
        <is>
          <t>Eye Drops 10ml</t>
        </is>
      </c>
      <c r="F1426" s="4" t="inlineStr">
        <is>
          <t>OTC Pharma &amp; Wellness</t>
        </is>
      </c>
      <c r="G1426" s="4" t="inlineStr">
        <is>
          <t>C</t>
        </is>
      </c>
      <c r="H1426" s="11" t="n">
        <v>645</v>
      </c>
      <c r="I1426" s="4" t="n">
        <v>163.75</v>
      </c>
      <c r="J1426" s="13">
        <f>IF(I1426&gt;0,H1426/I1426,"")</f>
        <v/>
      </c>
      <c r="K1426" s="4">
        <f>IF(I1426&lt;=0,"NO DEMAND",IF(H1426=0,"STOCKOUT",IF(J1426&lt;Config!$B$5,"CRITICAL",IF(J1426&lt;Config!$B$6,"LOW",IF(J1426&gt;Config!$B$7,"EXCESS","HEALTHY")))))</f>
        <v/>
      </c>
      <c r="L1426" s="11" t="n">
        <v>72</v>
      </c>
      <c r="M1426" s="11" t="n">
        <v>92</v>
      </c>
      <c r="N1426" s="11">
        <f>H1426*L1426</f>
        <v/>
      </c>
      <c r="O1426" s="11">
        <f>IF(I1426&gt;0,I1426*(M1426-L1426),0)</f>
        <v/>
      </c>
      <c r="P1426" s="11" t="n">
        <v>0</v>
      </c>
    </row>
    <row r="1427">
      <c r="A1427" s="4" t="inlineStr">
        <is>
          <t>WH12</t>
        </is>
      </c>
      <c r="B1427" s="4" t="inlineStr">
        <is>
          <t>Nagpur DC</t>
        </is>
      </c>
      <c r="C1427" s="4" t="inlineStr">
        <is>
          <t>Central</t>
        </is>
      </c>
      <c r="D1427" s="4" t="inlineStr">
        <is>
          <t>SKU103</t>
        </is>
      </c>
      <c r="E1427" s="4" t="inlineStr">
        <is>
          <t>Zinc Tablets 20s</t>
        </is>
      </c>
      <c r="F1427" s="4" t="inlineStr">
        <is>
          <t>OTC Pharma &amp; Wellness</t>
        </is>
      </c>
      <c r="G1427" s="4" t="inlineStr">
        <is>
          <t>C</t>
        </is>
      </c>
      <c r="H1427" s="11" t="n">
        <v>65</v>
      </c>
      <c r="I1427" s="4" t="n">
        <v>19.5</v>
      </c>
      <c r="J1427" s="13">
        <f>IF(I1427&gt;0,H1427/I1427,"")</f>
        <v/>
      </c>
      <c r="K1427" s="4">
        <f>IF(I1427&lt;=0,"NO DEMAND",IF(H1427=0,"STOCKOUT",IF(J1427&lt;Config!$B$5,"CRITICAL",IF(J1427&lt;Config!$B$6,"LOW",IF(J1427&gt;Config!$B$7,"EXCESS","HEALTHY")))))</f>
        <v/>
      </c>
      <c r="L1427" s="11" t="n">
        <v>169</v>
      </c>
      <c r="M1427" s="11" t="n">
        <v>216</v>
      </c>
      <c r="N1427" s="11">
        <f>H1427*L1427</f>
        <v/>
      </c>
      <c r="O1427" s="11">
        <f>IF(I1427&gt;0,I1427*(M1427-L1427),0)</f>
        <v/>
      </c>
      <c r="P1427" s="11" t="n">
        <v>0</v>
      </c>
    </row>
    <row r="1428">
      <c r="A1428" s="4" t="inlineStr">
        <is>
          <t>WH12</t>
        </is>
      </c>
      <c r="B1428" s="4" t="inlineStr">
        <is>
          <t>Nagpur DC</t>
        </is>
      </c>
      <c r="C1428" s="4" t="inlineStr">
        <is>
          <t>Central</t>
        </is>
      </c>
      <c r="D1428" s="4" t="inlineStr">
        <is>
          <t>SKU104</t>
        </is>
      </c>
      <c r="E1428" s="4" t="inlineStr">
        <is>
          <t>Hand Sanitizer 500ml</t>
        </is>
      </c>
      <c r="F1428" s="4" t="inlineStr">
        <is>
          <t>OTC Pharma &amp; Wellness</t>
        </is>
      </c>
      <c r="G1428" s="4" t="inlineStr">
        <is>
          <t>C</t>
        </is>
      </c>
      <c r="H1428" s="11" t="n">
        <v>899</v>
      </c>
      <c r="I1428" s="4" t="n">
        <v>277.25</v>
      </c>
      <c r="J1428" s="13">
        <f>IF(I1428&gt;0,H1428/I1428,"")</f>
        <v/>
      </c>
      <c r="K1428" s="4">
        <f>IF(I1428&lt;=0,"NO DEMAND",IF(H1428=0,"STOCKOUT",IF(J1428&lt;Config!$B$5,"CRITICAL",IF(J1428&lt;Config!$B$6,"LOW",IF(J1428&gt;Config!$B$7,"EXCESS","HEALTHY")))))</f>
        <v/>
      </c>
      <c r="L1428" s="11" t="n">
        <v>37</v>
      </c>
      <c r="M1428" s="11" t="n">
        <v>48</v>
      </c>
      <c r="N1428" s="11">
        <f>H1428*L1428</f>
        <v/>
      </c>
      <c r="O1428" s="11">
        <f>IF(I1428&gt;0,I1428*(M1428-L1428),0)</f>
        <v/>
      </c>
      <c r="P1428" s="11" t="n">
        <v>0</v>
      </c>
    </row>
    <row r="1429">
      <c r="A1429" s="4" t="inlineStr">
        <is>
          <t>WH12</t>
        </is>
      </c>
      <c r="B1429" s="4" t="inlineStr">
        <is>
          <t>Nagpur DC</t>
        </is>
      </c>
      <c r="C1429" s="4" t="inlineStr">
        <is>
          <t>Central</t>
        </is>
      </c>
      <c r="D1429" s="4" t="inlineStr">
        <is>
          <t>SKU105</t>
        </is>
      </c>
      <c r="E1429" s="4" t="inlineStr">
        <is>
          <t>Face Masks 50pk</t>
        </is>
      </c>
      <c r="F1429" s="4" t="inlineStr">
        <is>
          <t>OTC Pharma &amp; Wellness</t>
        </is>
      </c>
      <c r="G1429" s="4" t="inlineStr">
        <is>
          <t>C</t>
        </is>
      </c>
      <c r="H1429" s="11" t="n">
        <v>535</v>
      </c>
      <c r="I1429" s="4" t="n">
        <v>190</v>
      </c>
      <c r="J1429" s="13">
        <f>IF(I1429&gt;0,H1429/I1429,"")</f>
        <v/>
      </c>
      <c r="K1429" s="4">
        <f>IF(I1429&lt;=0,"NO DEMAND",IF(H1429=0,"STOCKOUT",IF(J1429&lt;Config!$B$5,"CRITICAL",IF(J1429&lt;Config!$B$6,"LOW",IF(J1429&gt;Config!$B$7,"EXCESS","HEALTHY")))))</f>
        <v/>
      </c>
      <c r="L1429" s="11" t="n">
        <v>92</v>
      </c>
      <c r="M1429" s="11" t="n">
        <v>121</v>
      </c>
      <c r="N1429" s="11">
        <f>H1429*L1429</f>
        <v/>
      </c>
      <c r="O1429" s="11">
        <f>IF(I1429&gt;0,I1429*(M1429-L1429),0)</f>
        <v/>
      </c>
      <c r="P1429" s="11" t="n">
        <v>744</v>
      </c>
    </row>
    <row r="1430">
      <c r="A1430" s="4" t="inlineStr">
        <is>
          <t>WH12</t>
        </is>
      </c>
      <c r="B1430" s="4" t="inlineStr">
        <is>
          <t>Nagpur DC</t>
        </is>
      </c>
      <c r="C1430" s="4" t="inlineStr">
        <is>
          <t>Central</t>
        </is>
      </c>
      <c r="D1430" s="4" t="inlineStr">
        <is>
          <t>SKU106</t>
        </is>
      </c>
      <c r="E1430" s="4" t="inlineStr">
        <is>
          <t>Corrugated Box 12x12</t>
        </is>
      </c>
      <c r="F1430" s="4" t="inlineStr">
        <is>
          <t>Packaging &amp; Supplies</t>
        </is>
      </c>
      <c r="G1430" s="4" t="inlineStr">
        <is>
          <t>B</t>
        </is>
      </c>
      <c r="H1430" s="11" t="n">
        <v>132</v>
      </c>
      <c r="I1430" s="4" t="n">
        <v>90.75</v>
      </c>
      <c r="J1430" s="13">
        <f>IF(I1430&gt;0,H1430/I1430,"")</f>
        <v/>
      </c>
      <c r="K1430" s="4">
        <f>IF(I1430&lt;=0,"NO DEMAND",IF(H1430=0,"STOCKOUT",IF(J1430&lt;Config!$B$5,"CRITICAL",IF(J1430&lt;Config!$B$6,"LOW",IF(J1430&gt;Config!$B$7,"EXCESS","HEALTHY")))))</f>
        <v/>
      </c>
      <c r="L1430" s="11" t="n">
        <v>400</v>
      </c>
      <c r="M1430" s="11" t="n">
        <v>480</v>
      </c>
      <c r="N1430" s="11">
        <f>H1430*L1430</f>
        <v/>
      </c>
      <c r="O1430" s="11">
        <f>IF(I1430&gt;0,I1430*(M1430-L1430),0)</f>
        <v/>
      </c>
      <c r="P1430" s="11" t="n">
        <v>360</v>
      </c>
    </row>
    <row r="1431">
      <c r="A1431" s="4" t="inlineStr">
        <is>
          <t>WH12</t>
        </is>
      </c>
      <c r="B1431" s="4" t="inlineStr">
        <is>
          <t>Nagpur DC</t>
        </is>
      </c>
      <c r="C1431" s="4" t="inlineStr">
        <is>
          <t>Central</t>
        </is>
      </c>
      <c r="D1431" s="4" t="inlineStr">
        <is>
          <t>SKU107</t>
        </is>
      </c>
      <c r="E1431" s="4" t="inlineStr">
        <is>
          <t>Stretch Film 500mm</t>
        </is>
      </c>
      <c r="F1431" s="4" t="inlineStr">
        <is>
          <t>Packaging &amp; Supplies</t>
        </is>
      </c>
      <c r="G1431" s="4" t="inlineStr">
        <is>
          <t>A</t>
        </is>
      </c>
      <c r="H1431" s="11" t="n">
        <v>399</v>
      </c>
      <c r="I1431" s="4" t="n">
        <v>151.75</v>
      </c>
      <c r="J1431" s="13">
        <f>IF(I1431&gt;0,H1431/I1431,"")</f>
        <v/>
      </c>
      <c r="K1431" s="4">
        <f>IF(I1431&lt;=0,"NO DEMAND",IF(H1431=0,"STOCKOUT",IF(J1431&lt;Config!$B$5,"CRITICAL",IF(J1431&lt;Config!$B$6,"LOW",IF(J1431&gt;Config!$B$7,"EXCESS","HEALTHY")))))</f>
        <v/>
      </c>
      <c r="L1431" s="11" t="n">
        <v>324</v>
      </c>
      <c r="M1431" s="11" t="n">
        <v>383</v>
      </c>
      <c r="N1431" s="11">
        <f>H1431*L1431</f>
        <v/>
      </c>
      <c r="O1431" s="11">
        <f>IF(I1431&gt;0,I1431*(M1431-L1431),0)</f>
        <v/>
      </c>
      <c r="P1431" s="11" t="n">
        <v>0</v>
      </c>
    </row>
    <row r="1432">
      <c r="A1432" s="4" t="inlineStr">
        <is>
          <t>WH12</t>
        </is>
      </c>
      <c r="B1432" s="4" t="inlineStr">
        <is>
          <t>Nagpur DC</t>
        </is>
      </c>
      <c r="C1432" s="4" t="inlineStr">
        <is>
          <t>Central</t>
        </is>
      </c>
      <c r="D1432" s="4" t="inlineStr">
        <is>
          <t>SKU108</t>
        </is>
      </c>
      <c r="E1432" s="4" t="inlineStr">
        <is>
          <t>BOPP Tape 48mm</t>
        </is>
      </c>
      <c r="F1432" s="4" t="inlineStr">
        <is>
          <t>Packaging &amp; Supplies</t>
        </is>
      </c>
      <c r="G1432" s="4" t="inlineStr">
        <is>
          <t>A</t>
        </is>
      </c>
      <c r="H1432" s="11" t="n">
        <v>139</v>
      </c>
      <c r="I1432" s="4" t="n">
        <v>130.75</v>
      </c>
      <c r="J1432" s="13">
        <f>IF(I1432&gt;0,H1432/I1432,"")</f>
        <v/>
      </c>
      <c r="K1432" s="4">
        <f>IF(I1432&lt;=0,"NO DEMAND",IF(H1432=0,"STOCKOUT",IF(J1432&lt;Config!$B$5,"CRITICAL",IF(J1432&lt;Config!$B$6,"LOW",IF(J1432&gt;Config!$B$7,"EXCESS","HEALTHY")))))</f>
        <v/>
      </c>
      <c r="L1432" s="11" t="n">
        <v>699</v>
      </c>
      <c r="M1432" s="11" t="n">
        <v>822</v>
      </c>
      <c r="N1432" s="11">
        <f>H1432*L1432</f>
        <v/>
      </c>
      <c r="O1432" s="11">
        <f>IF(I1432&gt;0,I1432*(M1432-L1432),0)</f>
        <v/>
      </c>
      <c r="P1432" s="11" t="n">
        <v>400</v>
      </c>
    </row>
    <row r="1433">
      <c r="A1433" s="4" t="inlineStr">
        <is>
          <t>WH12</t>
        </is>
      </c>
      <c r="B1433" s="4" t="inlineStr">
        <is>
          <t>Nagpur DC</t>
        </is>
      </c>
      <c r="C1433" s="4" t="inlineStr">
        <is>
          <t>Central</t>
        </is>
      </c>
      <c r="D1433" s="4" t="inlineStr">
        <is>
          <t>SKU109</t>
        </is>
      </c>
      <c r="E1433" s="4" t="inlineStr">
        <is>
          <t>Bubble Wrap Roll</t>
        </is>
      </c>
      <c r="F1433" s="4" t="inlineStr">
        <is>
          <t>Packaging &amp; Supplies</t>
        </is>
      </c>
      <c r="G1433" s="4" t="inlineStr">
        <is>
          <t>C</t>
        </is>
      </c>
      <c r="H1433" s="11" t="n">
        <v>334</v>
      </c>
      <c r="I1433" s="4" t="n">
        <v>63.5</v>
      </c>
      <c r="J1433" s="13">
        <f>IF(I1433&gt;0,H1433/I1433,"")</f>
        <v/>
      </c>
      <c r="K1433" s="4">
        <f>IF(I1433&lt;=0,"NO DEMAND",IF(H1433=0,"STOCKOUT",IF(J1433&lt;Config!$B$5,"CRITICAL",IF(J1433&lt;Config!$B$6,"LOW",IF(J1433&gt;Config!$B$7,"EXCESS","HEALTHY")))))</f>
        <v/>
      </c>
      <c r="L1433" s="11" t="n">
        <v>68</v>
      </c>
      <c r="M1433" s="11" t="n">
        <v>80</v>
      </c>
      <c r="N1433" s="11">
        <f>H1433*L1433</f>
        <v/>
      </c>
      <c r="O1433" s="11">
        <f>IF(I1433&gt;0,I1433*(M1433-L1433),0)</f>
        <v/>
      </c>
      <c r="P1433" s="11" t="n">
        <v>0</v>
      </c>
    </row>
    <row r="1434">
      <c r="A1434" s="4" t="inlineStr">
        <is>
          <t>WH12</t>
        </is>
      </c>
      <c r="B1434" s="4" t="inlineStr">
        <is>
          <t>Nagpur DC</t>
        </is>
      </c>
      <c r="C1434" s="4" t="inlineStr">
        <is>
          <t>Central</t>
        </is>
      </c>
      <c r="D1434" s="4" t="inlineStr">
        <is>
          <t>SKU110</t>
        </is>
      </c>
      <c r="E1434" s="4" t="inlineStr">
        <is>
          <t>Pallet Strapping Roll</t>
        </is>
      </c>
      <c r="F1434" s="4" t="inlineStr">
        <is>
          <t>Packaging &amp; Supplies</t>
        </is>
      </c>
      <c r="G1434" s="4" t="inlineStr">
        <is>
          <t>C</t>
        </is>
      </c>
      <c r="H1434" s="11" t="n">
        <v>540</v>
      </c>
      <c r="I1434" s="4" t="n">
        <v>141.25</v>
      </c>
      <c r="J1434" s="13">
        <f>IF(I1434&gt;0,H1434/I1434,"")</f>
        <v/>
      </c>
      <c r="K1434" s="4">
        <f>IF(I1434&lt;=0,"NO DEMAND",IF(H1434=0,"STOCKOUT",IF(J1434&lt;Config!$B$5,"CRITICAL",IF(J1434&lt;Config!$B$6,"LOW",IF(J1434&gt;Config!$B$7,"EXCESS","HEALTHY")))))</f>
        <v/>
      </c>
      <c r="L1434" s="11" t="n">
        <v>45</v>
      </c>
      <c r="M1434" s="11" t="n">
        <v>53</v>
      </c>
      <c r="N1434" s="11">
        <f>H1434*L1434</f>
        <v/>
      </c>
      <c r="O1434" s="11">
        <f>IF(I1434&gt;0,I1434*(M1434-L1434),0)</f>
        <v/>
      </c>
      <c r="P1434" s="11" t="n">
        <v>0</v>
      </c>
    </row>
    <row r="1435">
      <c r="A1435" s="4" t="inlineStr">
        <is>
          <t>WH12</t>
        </is>
      </c>
      <c r="B1435" s="4" t="inlineStr">
        <is>
          <t>Nagpur DC</t>
        </is>
      </c>
      <c r="C1435" s="4" t="inlineStr">
        <is>
          <t>Central</t>
        </is>
      </c>
      <c r="D1435" s="4" t="inlineStr">
        <is>
          <t>SKU111</t>
        </is>
      </c>
      <c r="E1435" s="4" t="inlineStr">
        <is>
          <t>Shipping Labels 1000</t>
        </is>
      </c>
      <c r="F1435" s="4" t="inlineStr">
        <is>
          <t>Packaging &amp; Supplies</t>
        </is>
      </c>
      <c r="G1435" s="4" t="inlineStr">
        <is>
          <t>A</t>
        </is>
      </c>
      <c r="H1435" s="11" t="n">
        <v>277</v>
      </c>
      <c r="I1435" s="4" t="n">
        <v>18.25</v>
      </c>
      <c r="J1435" s="13">
        <f>IF(I1435&gt;0,H1435/I1435,"")</f>
        <v/>
      </c>
      <c r="K1435" s="4">
        <f>IF(I1435&lt;=0,"NO DEMAND",IF(H1435=0,"STOCKOUT",IF(J1435&lt;Config!$B$5,"CRITICAL",IF(J1435&lt;Config!$B$6,"LOW",IF(J1435&gt;Config!$B$7,"EXCESS","HEALTHY")))))</f>
        <v/>
      </c>
      <c r="L1435" s="11" t="n">
        <v>617</v>
      </c>
      <c r="M1435" s="11" t="n">
        <v>741</v>
      </c>
      <c r="N1435" s="11">
        <f>H1435*L1435</f>
        <v/>
      </c>
      <c r="O1435" s="11">
        <f>IF(I1435&gt;0,I1435*(M1435-L1435),0)</f>
        <v/>
      </c>
      <c r="P1435" s="11" t="n">
        <v>0</v>
      </c>
    </row>
    <row r="1436">
      <c r="A1436" s="4" t="inlineStr">
        <is>
          <t>WH12</t>
        </is>
      </c>
      <c r="B1436" s="4" t="inlineStr">
        <is>
          <t>Nagpur DC</t>
        </is>
      </c>
      <c r="C1436" s="4" t="inlineStr">
        <is>
          <t>Central</t>
        </is>
      </c>
      <c r="D1436" s="4" t="inlineStr">
        <is>
          <t>SKU112</t>
        </is>
      </c>
      <c r="E1436" s="4" t="inlineStr">
        <is>
          <t>Poly Mailer 100pk</t>
        </is>
      </c>
      <c r="F1436" s="4" t="inlineStr">
        <is>
          <t>Packaging &amp; Supplies</t>
        </is>
      </c>
      <c r="G1436" s="4" t="inlineStr">
        <is>
          <t>C</t>
        </is>
      </c>
      <c r="H1436" s="11" t="n">
        <v>91</v>
      </c>
      <c r="I1436" s="4" t="n">
        <v>9.75</v>
      </c>
      <c r="J1436" s="13">
        <f>IF(I1436&gt;0,H1436/I1436,"")</f>
        <v/>
      </c>
      <c r="K1436" s="4">
        <f>IF(I1436&lt;=0,"NO DEMAND",IF(H1436=0,"STOCKOUT",IF(J1436&lt;Config!$B$5,"CRITICAL",IF(J1436&lt;Config!$B$6,"LOW",IF(J1436&gt;Config!$B$7,"EXCESS","HEALTHY")))))</f>
        <v/>
      </c>
      <c r="L1436" s="11" t="n">
        <v>93</v>
      </c>
      <c r="M1436" s="11" t="n">
        <v>113</v>
      </c>
      <c r="N1436" s="11">
        <f>H1436*L1436</f>
        <v/>
      </c>
      <c r="O1436" s="11">
        <f>IF(I1436&gt;0,I1436*(M1436-L1436),0)</f>
        <v/>
      </c>
      <c r="P1436" s="11" t="n">
        <v>0</v>
      </c>
    </row>
    <row r="1437">
      <c r="A1437" s="4" t="inlineStr">
        <is>
          <t>WH12</t>
        </is>
      </c>
      <c r="B1437" s="4" t="inlineStr">
        <is>
          <t>Nagpur DC</t>
        </is>
      </c>
      <c r="C1437" s="4" t="inlineStr">
        <is>
          <t>Central</t>
        </is>
      </c>
      <c r="D1437" s="4" t="inlineStr">
        <is>
          <t>SKU113</t>
        </is>
      </c>
      <c r="E1437" s="4" t="inlineStr">
        <is>
          <t>Void Fill Paper</t>
        </is>
      </c>
      <c r="F1437" s="4" t="inlineStr">
        <is>
          <t>Packaging &amp; Supplies</t>
        </is>
      </c>
      <c r="G1437" s="4" t="inlineStr">
        <is>
          <t>C</t>
        </is>
      </c>
      <c r="H1437" s="11" t="n">
        <v>121</v>
      </c>
      <c r="I1437" s="4" t="n">
        <v>22</v>
      </c>
      <c r="J1437" s="13">
        <f>IF(I1437&gt;0,H1437/I1437,"")</f>
        <v/>
      </c>
      <c r="K1437" s="4">
        <f>IF(I1437&lt;=0,"NO DEMAND",IF(H1437=0,"STOCKOUT",IF(J1437&lt;Config!$B$5,"CRITICAL",IF(J1437&lt;Config!$B$6,"LOW",IF(J1437&gt;Config!$B$7,"EXCESS","HEALTHY")))))</f>
        <v/>
      </c>
      <c r="L1437" s="11" t="n">
        <v>89</v>
      </c>
      <c r="M1437" s="11" t="n">
        <v>108</v>
      </c>
      <c r="N1437" s="11">
        <f>H1437*L1437</f>
        <v/>
      </c>
      <c r="O1437" s="11">
        <f>IF(I1437&gt;0,I1437*(M1437-L1437),0)</f>
        <v/>
      </c>
      <c r="P1437" s="11" t="n">
        <v>0</v>
      </c>
    </row>
    <row r="1438">
      <c r="A1438" s="4" t="inlineStr">
        <is>
          <t>WH12</t>
        </is>
      </c>
      <c r="B1438" s="4" t="inlineStr">
        <is>
          <t>Nagpur DC</t>
        </is>
      </c>
      <c r="C1438" s="4" t="inlineStr">
        <is>
          <t>Central</t>
        </is>
      </c>
      <c r="D1438" s="4" t="inlineStr">
        <is>
          <t>SKU114</t>
        </is>
      </c>
      <c r="E1438" s="4" t="inlineStr">
        <is>
          <t>Cable Ties 100pk</t>
        </is>
      </c>
      <c r="F1438" s="4" t="inlineStr">
        <is>
          <t>Packaging &amp; Supplies</t>
        </is>
      </c>
      <c r="G1438" s="4" t="inlineStr">
        <is>
          <t>C</t>
        </is>
      </c>
      <c r="H1438" s="11" t="n">
        <v>0</v>
      </c>
      <c r="I1438" s="4" t="n">
        <v>232.5</v>
      </c>
      <c r="J1438" s="13">
        <f>IF(I1438&gt;0,H1438/I1438,"")</f>
        <v/>
      </c>
      <c r="K1438" s="4">
        <f>IF(I1438&lt;=0,"NO DEMAND",IF(H1438=0,"STOCKOUT",IF(J1438&lt;Config!$B$5,"CRITICAL",IF(J1438&lt;Config!$B$6,"LOW",IF(J1438&gt;Config!$B$7,"EXCESS","HEALTHY")))))</f>
        <v/>
      </c>
      <c r="L1438" s="11" t="n">
        <v>66</v>
      </c>
      <c r="M1438" s="11" t="n">
        <v>80</v>
      </c>
      <c r="N1438" s="11">
        <f>H1438*L1438</f>
        <v/>
      </c>
      <c r="O1438" s="11">
        <f>IF(I1438&gt;0,I1438*(M1438-L1438),0)</f>
        <v/>
      </c>
      <c r="P1438" s="11" t="n">
        <v>1820</v>
      </c>
    </row>
    <row r="1439">
      <c r="A1439" s="4" t="inlineStr">
        <is>
          <t>WH12</t>
        </is>
      </c>
      <c r="B1439" s="4" t="inlineStr">
        <is>
          <t>Nagpur DC</t>
        </is>
      </c>
      <c r="C1439" s="4" t="inlineStr">
        <is>
          <t>Central</t>
        </is>
      </c>
      <c r="D1439" s="4" t="inlineStr">
        <is>
          <t>SKU115</t>
        </is>
      </c>
      <c r="E1439" s="4" t="inlineStr">
        <is>
          <t>Edge Protectors 50pk</t>
        </is>
      </c>
      <c r="F1439" s="4" t="inlineStr">
        <is>
          <t>Packaging &amp; Supplies</t>
        </is>
      </c>
      <c r="G1439" s="4" t="inlineStr">
        <is>
          <t>C</t>
        </is>
      </c>
      <c r="H1439" s="11" t="n">
        <v>95</v>
      </c>
      <c r="I1439" s="4" t="n">
        <v>83.5</v>
      </c>
      <c r="J1439" s="13">
        <f>IF(I1439&gt;0,H1439/I1439,"")</f>
        <v/>
      </c>
      <c r="K1439" s="4">
        <f>IF(I1439&lt;=0,"NO DEMAND",IF(H1439=0,"STOCKOUT",IF(J1439&lt;Config!$B$5,"CRITICAL",IF(J1439&lt;Config!$B$6,"LOW",IF(J1439&gt;Config!$B$7,"EXCESS","HEALTHY")))))</f>
        <v/>
      </c>
      <c r="L1439" s="11" t="n">
        <v>52</v>
      </c>
      <c r="M1439" s="11" t="n">
        <v>63</v>
      </c>
      <c r="N1439" s="11">
        <f>H1439*L1439</f>
        <v/>
      </c>
      <c r="O1439" s="11">
        <f>IF(I1439&gt;0,I1439*(M1439-L1439),0)</f>
        <v/>
      </c>
      <c r="P1439" s="11" t="n">
        <v>320</v>
      </c>
    </row>
    <row r="1440">
      <c r="A1440" s="4" t="inlineStr">
        <is>
          <t>WH12</t>
        </is>
      </c>
      <c r="B1440" s="4" t="inlineStr">
        <is>
          <t>Nagpur DC</t>
        </is>
      </c>
      <c r="C1440" s="4" t="inlineStr">
        <is>
          <t>Central</t>
        </is>
      </c>
      <c r="D1440" s="4" t="inlineStr">
        <is>
          <t>SKU116</t>
        </is>
      </c>
      <c r="E1440" s="4" t="inlineStr">
        <is>
          <t>Pallet Wrap Hand</t>
        </is>
      </c>
      <c r="F1440" s="4" t="inlineStr">
        <is>
          <t>Packaging &amp; Supplies</t>
        </is>
      </c>
      <c r="G1440" s="4" t="inlineStr">
        <is>
          <t>C</t>
        </is>
      </c>
      <c r="H1440" s="11" t="n">
        <v>118</v>
      </c>
      <c r="I1440" s="4" t="n">
        <v>61</v>
      </c>
      <c r="J1440" s="13">
        <f>IF(I1440&gt;0,H1440/I1440,"")</f>
        <v/>
      </c>
      <c r="K1440" s="4">
        <f>IF(I1440&lt;=0,"NO DEMAND",IF(H1440=0,"STOCKOUT",IF(J1440&lt;Config!$B$5,"CRITICAL",IF(J1440&lt;Config!$B$6,"LOW",IF(J1440&gt;Config!$B$7,"EXCESS","HEALTHY")))))</f>
        <v/>
      </c>
      <c r="L1440" s="11" t="n">
        <v>39</v>
      </c>
      <c r="M1440" s="11" t="n">
        <v>47</v>
      </c>
      <c r="N1440" s="11">
        <f>H1440*L1440</f>
        <v/>
      </c>
      <c r="O1440" s="11">
        <f>IF(I1440&gt;0,I1440*(M1440-L1440),0)</f>
        <v/>
      </c>
      <c r="P1440" s="11" t="n">
        <v>0</v>
      </c>
    </row>
    <row r="1441">
      <c r="A1441" s="4" t="inlineStr">
        <is>
          <t>WH12</t>
        </is>
      </c>
      <c r="B1441" s="4" t="inlineStr">
        <is>
          <t>Nagpur DC</t>
        </is>
      </c>
      <c r="C1441" s="4" t="inlineStr">
        <is>
          <t>Central</t>
        </is>
      </c>
      <c r="D1441" s="4" t="inlineStr">
        <is>
          <t>SKU117</t>
        </is>
      </c>
      <c r="E1441" s="4" t="inlineStr">
        <is>
          <t>Courier Bags 100pk</t>
        </is>
      </c>
      <c r="F1441" s="4" t="inlineStr">
        <is>
          <t>Packaging &amp; Supplies</t>
        </is>
      </c>
      <c r="G1441" s="4" t="inlineStr">
        <is>
          <t>C</t>
        </is>
      </c>
      <c r="H1441" s="11" t="n">
        <v>749</v>
      </c>
      <c r="I1441" s="4" t="n">
        <v>189</v>
      </c>
      <c r="J1441" s="13">
        <f>IF(I1441&gt;0,H1441/I1441,"")</f>
        <v/>
      </c>
      <c r="K1441" s="4">
        <f>IF(I1441&lt;=0,"NO DEMAND",IF(H1441=0,"STOCKOUT",IF(J1441&lt;Config!$B$5,"CRITICAL",IF(J1441&lt;Config!$B$6,"LOW",IF(J1441&gt;Config!$B$7,"EXCESS","HEALTHY")))))</f>
        <v/>
      </c>
      <c r="L1441" s="11" t="n">
        <v>21</v>
      </c>
      <c r="M1441" s="11" t="n">
        <v>25</v>
      </c>
      <c r="N1441" s="11">
        <f>H1441*L1441</f>
        <v/>
      </c>
      <c r="O1441" s="11">
        <f>IF(I1441&gt;0,I1441*(M1441-L1441),0)</f>
        <v/>
      </c>
      <c r="P1441" s="11" t="n">
        <v>0</v>
      </c>
    </row>
    <row r="1442">
      <c r="A1442" s="4" t="inlineStr">
        <is>
          <t>WH12</t>
        </is>
      </c>
      <c r="B1442" s="4" t="inlineStr">
        <is>
          <t>Nagpur DC</t>
        </is>
      </c>
      <c r="C1442" s="4" t="inlineStr">
        <is>
          <t>Central</t>
        </is>
      </c>
      <c r="D1442" s="4" t="inlineStr">
        <is>
          <t>SKU118</t>
        </is>
      </c>
      <c r="E1442" s="4" t="inlineStr">
        <is>
          <t>Thermal Paper Roll 20pk</t>
        </is>
      </c>
      <c r="F1442" s="4" t="inlineStr">
        <is>
          <t>Packaging &amp; Supplies</t>
        </is>
      </c>
      <c r="G1442" s="4" t="inlineStr">
        <is>
          <t>B</t>
        </is>
      </c>
      <c r="H1442" s="11" t="n">
        <v>369</v>
      </c>
      <c r="I1442" s="4" t="n">
        <v>151.75</v>
      </c>
      <c r="J1442" s="13">
        <f>IF(I1442&gt;0,H1442/I1442,"")</f>
        <v/>
      </c>
      <c r="K1442" s="4">
        <f>IF(I1442&lt;=0,"NO DEMAND",IF(H1442=0,"STOCKOUT",IF(J1442&lt;Config!$B$5,"CRITICAL",IF(J1442&lt;Config!$B$6,"LOW",IF(J1442&gt;Config!$B$7,"EXCESS","HEALTHY")))))</f>
        <v/>
      </c>
      <c r="L1442" s="11" t="n">
        <v>181</v>
      </c>
      <c r="M1442" s="11" t="n">
        <v>218</v>
      </c>
      <c r="N1442" s="11">
        <f>H1442*L1442</f>
        <v/>
      </c>
      <c r="O1442" s="11">
        <f>IF(I1442&gt;0,I1442*(M1442-L1442),0)</f>
        <v/>
      </c>
      <c r="P1442" s="11" t="n">
        <v>620</v>
      </c>
    </row>
    <row r="1443">
      <c r="A1443" s="4" t="inlineStr">
        <is>
          <t>WH12</t>
        </is>
      </c>
      <c r="B1443" s="4" t="inlineStr">
        <is>
          <t>Nagpur DC</t>
        </is>
      </c>
      <c r="C1443" s="4" t="inlineStr">
        <is>
          <t>Central</t>
        </is>
      </c>
      <c r="D1443" s="4" t="inlineStr">
        <is>
          <t>SKU119</t>
        </is>
      </c>
      <c r="E1443" s="4" t="inlineStr">
        <is>
          <t>Safety Gloves 12pk</t>
        </is>
      </c>
      <c r="F1443" s="4" t="inlineStr">
        <is>
          <t>Packaging &amp; Supplies</t>
        </is>
      </c>
      <c r="G1443" s="4" t="inlineStr">
        <is>
          <t>A</t>
        </is>
      </c>
      <c r="H1443" s="11" t="n">
        <v>322</v>
      </c>
      <c r="I1443" s="4" t="n">
        <v>127</v>
      </c>
      <c r="J1443" s="13">
        <f>IF(I1443&gt;0,H1443/I1443,"")</f>
        <v/>
      </c>
      <c r="K1443" s="4">
        <f>IF(I1443&lt;=0,"NO DEMAND",IF(H1443=0,"STOCKOUT",IF(J1443&lt;Config!$B$5,"CRITICAL",IF(J1443&lt;Config!$B$6,"LOW",IF(J1443&gt;Config!$B$7,"EXCESS","HEALTHY")))))</f>
        <v/>
      </c>
      <c r="L1443" s="11" t="n">
        <v>420</v>
      </c>
      <c r="M1443" s="11" t="n">
        <v>511</v>
      </c>
      <c r="N1443" s="11">
        <f>H1443*L1443</f>
        <v/>
      </c>
      <c r="O1443" s="11">
        <f>IF(I1443&gt;0,I1443*(M1443-L1443),0)</f>
        <v/>
      </c>
      <c r="P1443" s="11" t="n">
        <v>0</v>
      </c>
    </row>
    <row r="1444">
      <c r="A1444" s="4" t="inlineStr">
        <is>
          <t>WH12</t>
        </is>
      </c>
      <c r="B1444" s="4" t="inlineStr">
        <is>
          <t>Nagpur DC</t>
        </is>
      </c>
      <c r="C1444" s="4" t="inlineStr">
        <is>
          <t>Central</t>
        </is>
      </c>
      <c r="D1444" s="4" t="inlineStr">
        <is>
          <t>SKU120</t>
        </is>
      </c>
      <c r="E1444" s="4" t="inlineStr">
        <is>
          <t>Cutter Blades 10pk</t>
        </is>
      </c>
      <c r="F1444" s="4" t="inlineStr">
        <is>
          <t>Packaging &amp; Supplies</t>
        </is>
      </c>
      <c r="G1444" s="4" t="inlineStr">
        <is>
          <t>C</t>
        </is>
      </c>
      <c r="H1444" s="11" t="n">
        <v>578</v>
      </c>
      <c r="I1444" s="4" t="n">
        <v>196</v>
      </c>
      <c r="J1444" s="13">
        <f>IF(I1444&gt;0,H1444/I1444,"")</f>
        <v/>
      </c>
      <c r="K1444" s="4">
        <f>IF(I1444&lt;=0,"NO DEMAND",IF(H1444=0,"STOCKOUT",IF(J1444&lt;Config!$B$5,"CRITICAL",IF(J1444&lt;Config!$B$6,"LOW",IF(J1444&gt;Config!$B$7,"EXCESS","HEALTHY")))))</f>
        <v/>
      </c>
      <c r="L1444" s="11" t="n">
        <v>30</v>
      </c>
      <c r="M1444" s="11" t="n">
        <v>35</v>
      </c>
      <c r="N1444" s="11">
        <f>H1444*L1444</f>
        <v/>
      </c>
      <c r="O1444" s="11">
        <f>IF(I1444&gt;0,I1444*(M1444-L1444),0)</f>
        <v/>
      </c>
      <c r="P1444" s="11" t="n">
        <v>0</v>
      </c>
    </row>
  </sheetData>
  <autoFilter ref="A4:P1444"/>
  <conditionalFormatting sqref="K5:K1444">
    <cfRule type="cellIs" priority="1" operator="equal" dxfId="0">
      <formula>"STOCKOUT"</formula>
    </cfRule>
    <cfRule type="cellIs" priority="2" operator="equal" dxfId="2">
      <formula>"CRITICAL"</formula>
    </cfRule>
    <cfRule type="cellIs" priority="3" operator="equal" dxfId="3">
      <formula>"LOW"</formula>
    </cfRule>
    <cfRule type="cellIs" priority="4" operator="equal" dxfId="1">
      <formula>"EXCESS"</formula>
    </cfRule>
    <cfRule type="cellIs" priority="5" operator="equal" dxfId="4">
      <formula>"HEALTHY"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2.8" customWidth="1" min="2" max="2"/>
    <col width="11" customWidth="1" min="3" max="3"/>
    <col width="11" customWidth="1" min="4" max="4"/>
    <col width="15.5" customWidth="1" min="5" max="5"/>
    <col width="16.4" customWidth="1" min="6" max="6"/>
    <col width="11" customWidth="1" min="7" max="7"/>
  </cols>
  <sheetData>
    <row r="1">
      <c r="A1" s="1" t="inlineStr">
        <is>
          <t>Weekly network trend</t>
        </is>
      </c>
    </row>
    <row r="2">
      <c r="A2" s="2" t="inlineStr">
        <is>
          <t>Aggregated from vw_inventory_enriched. Fill rate is a formula.</t>
        </is>
      </c>
    </row>
    <row r="4" ht="30" customHeight="1">
      <c r="A4" s="18" t="inlineStr">
        <is>
          <t>week_start</t>
        </is>
      </c>
      <c r="B4" s="18" t="inlineStr">
        <is>
          <t>demand_units</t>
        </is>
      </c>
      <c r="C4" s="18" t="inlineStr">
        <is>
          <t>units_sold</t>
        </is>
      </c>
      <c r="D4" s="18" t="inlineStr">
        <is>
          <t>lost_units</t>
        </is>
      </c>
      <c r="E4" s="18" t="inlineStr">
        <is>
          <t>stock_value_inr</t>
        </is>
      </c>
      <c r="F4" s="18" t="inlineStr">
        <is>
          <t>lost_revenue_inr</t>
        </is>
      </c>
      <c r="G4" s="3" t="inlineStr">
        <is>
          <t>fill_rate</t>
        </is>
      </c>
    </row>
    <row r="5">
      <c r="A5" s="19" t="n">
        <v>45572</v>
      </c>
      <c r="B5" s="11" t="n">
        <v>682736</v>
      </c>
      <c r="C5" s="11" t="n">
        <v>682736</v>
      </c>
      <c r="D5" s="11" t="n">
        <v>0</v>
      </c>
      <c r="E5" s="11" t="n">
        <v>412667212</v>
      </c>
      <c r="F5" s="11" t="n">
        <v>0</v>
      </c>
      <c r="G5" s="12">
        <f>IF(B5&gt;0,C5/B5,0)</f>
        <v/>
      </c>
    </row>
    <row r="6">
      <c r="A6" s="19" t="n">
        <v>45579</v>
      </c>
      <c r="B6" s="11" t="n">
        <v>762133</v>
      </c>
      <c r="C6" s="11" t="n">
        <v>762133</v>
      </c>
      <c r="D6" s="11" t="n">
        <v>0</v>
      </c>
      <c r="E6" s="11" t="n">
        <v>316192828</v>
      </c>
      <c r="F6" s="11" t="n">
        <v>0</v>
      </c>
      <c r="G6" s="12">
        <f>IF(B6&gt;0,C6/B6,0)</f>
        <v/>
      </c>
    </row>
    <row r="7">
      <c r="A7" s="19" t="n">
        <v>45586</v>
      </c>
      <c r="B7" s="11" t="n">
        <v>779920</v>
      </c>
      <c r="C7" s="11" t="n">
        <v>779395</v>
      </c>
      <c r="D7" s="11" t="n">
        <v>525</v>
      </c>
      <c r="E7" s="11" t="n">
        <v>276126414</v>
      </c>
      <c r="F7" s="11" t="n">
        <v>385393</v>
      </c>
      <c r="G7" s="12">
        <f>IF(B7&gt;0,C7/B7,0)</f>
        <v/>
      </c>
    </row>
    <row r="8">
      <c r="A8" s="19" t="n">
        <v>45593</v>
      </c>
      <c r="B8" s="11" t="n">
        <v>726058</v>
      </c>
      <c r="C8" s="11" t="n">
        <v>715526</v>
      </c>
      <c r="D8" s="11" t="n">
        <v>10532</v>
      </c>
      <c r="E8" s="11" t="n">
        <v>256569770</v>
      </c>
      <c r="F8" s="11" t="n">
        <v>2653728</v>
      </c>
      <c r="G8" s="12">
        <f>IF(B8&gt;0,C8/B8,0)</f>
        <v/>
      </c>
    </row>
    <row r="9">
      <c r="A9" s="19" t="n">
        <v>45600</v>
      </c>
      <c r="B9" s="11" t="n">
        <v>623882</v>
      </c>
      <c r="C9" s="11" t="n">
        <v>606490</v>
      </c>
      <c r="D9" s="11" t="n">
        <v>17392</v>
      </c>
      <c r="E9" s="11" t="n">
        <v>297843689</v>
      </c>
      <c r="F9" s="11" t="n">
        <v>4000447</v>
      </c>
      <c r="G9" s="12">
        <f>IF(B9&gt;0,C9/B9,0)</f>
        <v/>
      </c>
    </row>
    <row r="10">
      <c r="A10" s="19" t="n">
        <v>45607</v>
      </c>
      <c r="B10" s="11" t="n">
        <v>604424</v>
      </c>
      <c r="C10" s="11" t="n">
        <v>589960</v>
      </c>
      <c r="D10" s="11" t="n">
        <v>14464</v>
      </c>
      <c r="E10" s="11" t="n">
        <v>309070240</v>
      </c>
      <c r="F10" s="11" t="n">
        <v>4461438</v>
      </c>
      <c r="G10" s="12">
        <f>IF(B10&gt;0,C10/B10,0)</f>
        <v/>
      </c>
    </row>
    <row r="11">
      <c r="A11" s="19" t="n">
        <v>45614</v>
      </c>
      <c r="B11" s="11" t="n">
        <v>610896</v>
      </c>
      <c r="C11" s="11" t="n">
        <v>597752</v>
      </c>
      <c r="D11" s="11" t="n">
        <v>13144</v>
      </c>
      <c r="E11" s="11" t="n">
        <v>332248202</v>
      </c>
      <c r="F11" s="11" t="n">
        <v>3356268</v>
      </c>
      <c r="G11" s="12">
        <f>IF(B11&gt;0,C11/B11,0)</f>
        <v/>
      </c>
    </row>
    <row r="12">
      <c r="A12" s="19" t="n">
        <v>45621</v>
      </c>
      <c r="B12" s="11" t="n">
        <v>605468</v>
      </c>
      <c r="C12" s="11" t="n">
        <v>594124</v>
      </c>
      <c r="D12" s="11" t="n">
        <v>11344</v>
      </c>
      <c r="E12" s="11" t="n">
        <v>335990067</v>
      </c>
      <c r="F12" s="11" t="n">
        <v>2170706</v>
      </c>
      <c r="G12" s="12">
        <f>IF(B12&gt;0,C12/B12,0)</f>
        <v/>
      </c>
    </row>
    <row r="13">
      <c r="A13" s="19" t="n">
        <v>45628</v>
      </c>
      <c r="B13" s="11" t="n">
        <v>591034</v>
      </c>
      <c r="C13" s="11" t="n">
        <v>581939</v>
      </c>
      <c r="D13" s="11" t="n">
        <v>9095</v>
      </c>
      <c r="E13" s="11" t="n">
        <v>363163391</v>
      </c>
      <c r="F13" s="11" t="n">
        <v>1294619</v>
      </c>
      <c r="G13" s="12">
        <f>IF(B13&gt;0,C13/B13,0)</f>
        <v/>
      </c>
    </row>
    <row r="14">
      <c r="A14" s="19" t="n">
        <v>45635</v>
      </c>
      <c r="B14" s="11" t="n">
        <v>584396</v>
      </c>
      <c r="C14" s="11" t="n">
        <v>570781</v>
      </c>
      <c r="D14" s="11" t="n">
        <v>13615</v>
      </c>
      <c r="E14" s="11" t="n">
        <v>358232373</v>
      </c>
      <c r="F14" s="11" t="n">
        <v>1324180</v>
      </c>
      <c r="G14" s="12">
        <f>IF(B14&gt;0,C14/B14,0)</f>
        <v/>
      </c>
    </row>
    <row r="15">
      <c r="A15" s="19" t="n">
        <v>45642</v>
      </c>
      <c r="B15" s="11" t="n">
        <v>578530</v>
      </c>
      <c r="C15" s="11" t="n">
        <v>564142</v>
      </c>
      <c r="D15" s="11" t="n">
        <v>14388</v>
      </c>
      <c r="E15" s="11" t="n">
        <v>344755293</v>
      </c>
      <c r="F15" s="11" t="n">
        <v>1780678</v>
      </c>
      <c r="G15" s="12">
        <f>IF(B15&gt;0,C15/B15,0)</f>
        <v/>
      </c>
    </row>
    <row r="16">
      <c r="A16" s="19" t="n">
        <v>45649</v>
      </c>
      <c r="B16" s="11" t="n">
        <v>592142</v>
      </c>
      <c r="C16" s="11" t="n">
        <v>580962</v>
      </c>
      <c r="D16" s="11" t="n">
        <v>11180</v>
      </c>
      <c r="E16" s="11" t="n">
        <v>325087776</v>
      </c>
      <c r="F16" s="11" t="n">
        <v>2024544</v>
      </c>
      <c r="G16" s="12">
        <f>IF(B16&gt;0,C16/B16,0)</f>
        <v/>
      </c>
    </row>
    <row r="17">
      <c r="A17" s="19" t="n">
        <v>45656</v>
      </c>
      <c r="B17" s="11" t="n">
        <v>570390</v>
      </c>
      <c r="C17" s="11" t="n">
        <v>557144</v>
      </c>
      <c r="D17" s="11" t="n">
        <v>13246</v>
      </c>
      <c r="E17" s="11" t="n">
        <v>308136142</v>
      </c>
      <c r="F17" s="11" t="n">
        <v>2469604</v>
      </c>
      <c r="G17" s="12">
        <f>IF(B17&gt;0,C17/B17,0)</f>
        <v/>
      </c>
    </row>
    <row r="18">
      <c r="A18" s="19" t="n">
        <v>45663</v>
      </c>
      <c r="B18" s="11" t="n">
        <v>586782</v>
      </c>
      <c r="C18" s="11" t="n">
        <v>574154</v>
      </c>
      <c r="D18" s="11" t="n">
        <v>12628</v>
      </c>
      <c r="E18" s="11" t="n">
        <v>297056304</v>
      </c>
      <c r="F18" s="11" t="n">
        <v>3309394</v>
      </c>
      <c r="G18" s="12">
        <f>IF(B18&gt;0,C18/B18,0)</f>
        <v/>
      </c>
    </row>
    <row r="19">
      <c r="A19" s="19" t="n">
        <v>45670</v>
      </c>
      <c r="B19" s="11" t="n">
        <v>565544</v>
      </c>
      <c r="C19" s="11" t="n">
        <v>551201</v>
      </c>
      <c r="D19" s="11" t="n">
        <v>14343</v>
      </c>
      <c r="E19" s="11" t="n">
        <v>285427597</v>
      </c>
      <c r="F19" s="11" t="n">
        <v>3202005</v>
      </c>
      <c r="G19" s="12">
        <f>IF(B19&gt;0,C19/B19,0)</f>
        <v/>
      </c>
    </row>
    <row r="20">
      <c r="A20" s="19" t="n">
        <v>45677</v>
      </c>
      <c r="B20" s="11" t="n">
        <v>576842</v>
      </c>
      <c r="C20" s="11" t="n">
        <v>567510</v>
      </c>
      <c r="D20" s="11" t="n">
        <v>9332</v>
      </c>
      <c r="E20" s="11" t="n">
        <v>290194663</v>
      </c>
      <c r="F20" s="11" t="n">
        <v>2340489</v>
      </c>
      <c r="G20" s="12">
        <f>IF(B20&gt;0,C20/B20,0)</f>
        <v/>
      </c>
    </row>
    <row r="21">
      <c r="A21" s="19" t="n">
        <v>45684</v>
      </c>
      <c r="B21" s="11" t="n">
        <v>577998</v>
      </c>
      <c r="C21" s="11" t="n">
        <v>564222</v>
      </c>
      <c r="D21" s="11" t="n">
        <v>13776</v>
      </c>
      <c r="E21" s="11" t="n">
        <v>280764685</v>
      </c>
      <c r="F21" s="11" t="n">
        <v>2969590</v>
      </c>
      <c r="G21" s="12">
        <f>IF(B21&gt;0,C21/B21,0)</f>
        <v/>
      </c>
    </row>
    <row r="22">
      <c r="A22" s="19" t="n">
        <v>45691</v>
      </c>
      <c r="B22" s="11" t="n">
        <v>580182</v>
      </c>
      <c r="C22" s="11" t="n">
        <v>564070</v>
      </c>
      <c r="D22" s="11" t="n">
        <v>16112</v>
      </c>
      <c r="E22" s="11" t="n">
        <v>267785584</v>
      </c>
      <c r="F22" s="11" t="n">
        <v>2864732</v>
      </c>
      <c r="G22" s="12">
        <f>IF(B22&gt;0,C22/B22,0)</f>
        <v/>
      </c>
    </row>
    <row r="23">
      <c r="A23" s="19" t="n">
        <v>45698</v>
      </c>
      <c r="B23" s="11" t="n">
        <v>576052</v>
      </c>
      <c r="C23" s="11" t="n">
        <v>561523</v>
      </c>
      <c r="D23" s="11" t="n">
        <v>14529</v>
      </c>
      <c r="E23" s="11" t="n">
        <v>267555821</v>
      </c>
      <c r="F23" s="11" t="n">
        <v>1932482</v>
      </c>
      <c r="G23" s="12">
        <f>IF(B23&gt;0,C23/B23,0)</f>
        <v/>
      </c>
    </row>
    <row r="24">
      <c r="A24" s="19" t="n">
        <v>45705</v>
      </c>
      <c r="B24" s="11" t="n">
        <v>595681</v>
      </c>
      <c r="C24" s="11" t="n">
        <v>581875</v>
      </c>
      <c r="D24" s="11" t="n">
        <v>13806</v>
      </c>
      <c r="E24" s="11" t="n">
        <v>258158268</v>
      </c>
      <c r="F24" s="11" t="n">
        <v>1989996</v>
      </c>
      <c r="G24" s="12">
        <f>IF(B24&gt;0,C24/B24,0)</f>
        <v/>
      </c>
    </row>
    <row r="25">
      <c r="A25" s="19" t="n">
        <v>45712</v>
      </c>
      <c r="B25" s="11" t="n">
        <v>595249</v>
      </c>
      <c r="C25" s="11" t="n">
        <v>581109</v>
      </c>
      <c r="D25" s="11" t="n">
        <v>14140</v>
      </c>
      <c r="E25" s="11" t="n">
        <v>241208655</v>
      </c>
      <c r="F25" s="11" t="n">
        <v>1934953</v>
      </c>
      <c r="G25" s="12">
        <f>IF(B25&gt;0,C25/B25,0)</f>
        <v/>
      </c>
    </row>
    <row r="26">
      <c r="A26" s="19" t="n">
        <v>45719</v>
      </c>
      <c r="B26" s="11" t="n">
        <v>631180</v>
      </c>
      <c r="C26" s="11" t="n">
        <v>617791</v>
      </c>
      <c r="D26" s="11" t="n">
        <v>13389</v>
      </c>
      <c r="E26" s="11" t="n">
        <v>234483649</v>
      </c>
      <c r="F26" s="11" t="n">
        <v>2167539</v>
      </c>
      <c r="G26" s="12">
        <f>IF(B26&gt;0,C26/B26,0)</f>
        <v/>
      </c>
    </row>
    <row r="27">
      <c r="A27" s="19" t="n">
        <v>45726</v>
      </c>
      <c r="B27" s="11" t="n">
        <v>638162</v>
      </c>
      <c r="C27" s="11" t="n">
        <v>617942</v>
      </c>
      <c r="D27" s="11" t="n">
        <v>20220</v>
      </c>
      <c r="E27" s="11" t="n">
        <v>240473326</v>
      </c>
      <c r="F27" s="11" t="n">
        <v>3331265</v>
      </c>
      <c r="G27" s="12">
        <f>IF(B27&gt;0,C27/B27,0)</f>
        <v/>
      </c>
    </row>
    <row r="28">
      <c r="A28" s="19" t="n">
        <v>45733</v>
      </c>
      <c r="B28" s="11" t="n">
        <v>637621</v>
      </c>
      <c r="C28" s="11" t="n">
        <v>618874</v>
      </c>
      <c r="D28" s="11" t="n">
        <v>18747</v>
      </c>
      <c r="E28" s="11" t="n">
        <v>238364506</v>
      </c>
      <c r="F28" s="11" t="n">
        <v>3333144</v>
      </c>
      <c r="G28" s="12">
        <f>IF(B28&gt;0,C28/B28,0)</f>
        <v/>
      </c>
    </row>
    <row r="29">
      <c r="A29" s="19" t="n">
        <v>45740</v>
      </c>
      <c r="B29" s="11" t="n">
        <v>643476</v>
      </c>
      <c r="C29" s="11" t="n">
        <v>623922</v>
      </c>
      <c r="D29" s="11" t="n">
        <v>19554</v>
      </c>
      <c r="E29" s="11" t="n">
        <v>248856762</v>
      </c>
      <c r="F29" s="11" t="n">
        <v>2181357</v>
      </c>
      <c r="G29" s="12">
        <f>IF(B29&gt;0,C29/B29,0)</f>
        <v/>
      </c>
    </row>
    <row r="30">
      <c r="A30" s="19" t="n">
        <v>45747</v>
      </c>
      <c r="B30" s="11" t="n">
        <v>679895</v>
      </c>
      <c r="C30" s="11" t="n">
        <v>664085</v>
      </c>
      <c r="D30" s="11" t="n">
        <v>15810</v>
      </c>
      <c r="E30" s="11" t="n">
        <v>244063708</v>
      </c>
      <c r="F30" s="11" t="n">
        <v>2997420</v>
      </c>
      <c r="G30" s="12">
        <f>IF(B30&gt;0,C30/B30,0)</f>
        <v/>
      </c>
    </row>
    <row r="31">
      <c r="A31" s="19" t="n">
        <v>45754</v>
      </c>
      <c r="B31" s="11" t="n">
        <v>684615</v>
      </c>
      <c r="C31" s="11" t="n">
        <v>664397</v>
      </c>
      <c r="D31" s="11" t="n">
        <v>20218</v>
      </c>
      <c r="E31" s="11" t="n">
        <v>242830028</v>
      </c>
      <c r="F31" s="11" t="n">
        <v>3422107</v>
      </c>
      <c r="G31" s="12">
        <f>IF(B31&gt;0,C31/B31,0)</f>
        <v/>
      </c>
    </row>
    <row r="32">
      <c r="A32" s="19" t="n">
        <v>45761</v>
      </c>
      <c r="B32" s="11" t="n">
        <v>684959</v>
      </c>
      <c r="C32" s="11" t="n">
        <v>655126</v>
      </c>
      <c r="D32" s="11" t="n">
        <v>29833</v>
      </c>
      <c r="E32" s="11" t="n">
        <v>236374636</v>
      </c>
      <c r="F32" s="11" t="n">
        <v>3370051</v>
      </c>
      <c r="G32" s="12">
        <f>IF(B32&gt;0,C32/B32,0)</f>
        <v/>
      </c>
    </row>
    <row r="33">
      <c r="A33" s="19" t="n">
        <v>45768</v>
      </c>
      <c r="B33" s="11" t="n">
        <v>690650</v>
      </c>
      <c r="C33" s="11" t="n">
        <v>669296</v>
      </c>
      <c r="D33" s="11" t="n">
        <v>21354</v>
      </c>
      <c r="E33" s="11" t="n">
        <v>247161386</v>
      </c>
      <c r="F33" s="11" t="n">
        <v>3582789</v>
      </c>
      <c r="G33" s="12">
        <f>IF(B33&gt;0,C33/B33,0)</f>
        <v/>
      </c>
    </row>
    <row r="34">
      <c r="A34" s="19" t="n">
        <v>45775</v>
      </c>
      <c r="B34" s="11" t="n">
        <v>722082</v>
      </c>
      <c r="C34" s="11" t="n">
        <v>705259</v>
      </c>
      <c r="D34" s="11" t="n">
        <v>16823</v>
      </c>
      <c r="E34" s="11" t="n">
        <v>256134388</v>
      </c>
      <c r="F34" s="11" t="n">
        <v>3617257</v>
      </c>
      <c r="G34" s="12">
        <f>IF(B34&gt;0,C34/B34,0)</f>
        <v/>
      </c>
    </row>
    <row r="35">
      <c r="A35" s="19" t="n">
        <v>45782</v>
      </c>
      <c r="B35" s="11" t="n">
        <v>710733</v>
      </c>
      <c r="C35" s="11" t="n">
        <v>685051</v>
      </c>
      <c r="D35" s="11" t="n">
        <v>25682</v>
      </c>
      <c r="E35" s="11" t="n">
        <v>251256132</v>
      </c>
      <c r="F35" s="11" t="n">
        <v>3225110</v>
      </c>
      <c r="G35" s="12">
        <f>IF(B35&gt;0,C35/B35,0)</f>
        <v/>
      </c>
    </row>
    <row r="36">
      <c r="A36" s="19" t="n">
        <v>45789</v>
      </c>
      <c r="B36" s="11" t="n">
        <v>709297</v>
      </c>
      <c r="C36" s="11" t="n">
        <v>682763</v>
      </c>
      <c r="D36" s="11" t="n">
        <v>26534</v>
      </c>
      <c r="E36" s="11" t="n">
        <v>257830449</v>
      </c>
      <c r="F36" s="11" t="n">
        <v>3284994</v>
      </c>
      <c r="G36" s="12">
        <f>IF(B36&gt;0,C36/B36,0)</f>
        <v/>
      </c>
    </row>
    <row r="37">
      <c r="A37" s="19" t="n">
        <v>45796</v>
      </c>
      <c r="B37" s="11" t="n">
        <v>722767</v>
      </c>
      <c r="C37" s="11" t="n">
        <v>704597</v>
      </c>
      <c r="D37" s="11" t="n">
        <v>18170</v>
      </c>
      <c r="E37" s="11" t="n">
        <v>260072737</v>
      </c>
      <c r="F37" s="11" t="n">
        <v>2792883</v>
      </c>
      <c r="G37" s="12">
        <f>IF(B37&gt;0,C37/B37,0)</f>
        <v/>
      </c>
    </row>
    <row r="38">
      <c r="A38" s="19" t="n">
        <v>45803</v>
      </c>
      <c r="B38" s="11" t="n">
        <v>723704</v>
      </c>
      <c r="C38" s="11" t="n">
        <v>709151</v>
      </c>
      <c r="D38" s="11" t="n">
        <v>14553</v>
      </c>
      <c r="E38" s="11" t="n">
        <v>260122987</v>
      </c>
      <c r="F38" s="11" t="n">
        <v>2540258</v>
      </c>
      <c r="G38" s="12">
        <f>IF(B38&gt;0,C38/B38,0)</f>
        <v/>
      </c>
    </row>
    <row r="39">
      <c r="A39" s="19" t="n">
        <v>45810</v>
      </c>
      <c r="B39" s="11" t="n">
        <v>677577</v>
      </c>
      <c r="C39" s="11" t="n">
        <v>661688</v>
      </c>
      <c r="D39" s="11" t="n">
        <v>15889</v>
      </c>
      <c r="E39" s="11" t="n">
        <v>262009020</v>
      </c>
      <c r="F39" s="11" t="n">
        <v>2542124</v>
      </c>
      <c r="G39" s="12">
        <f>IF(B39&gt;0,C39/B39,0)</f>
        <v/>
      </c>
    </row>
    <row r="40">
      <c r="A40" s="19" t="n">
        <v>45817</v>
      </c>
      <c r="B40" s="11" t="n">
        <v>672520</v>
      </c>
      <c r="C40" s="11" t="n">
        <v>656782</v>
      </c>
      <c r="D40" s="11" t="n">
        <v>15738</v>
      </c>
      <c r="E40" s="11" t="n">
        <v>267898633</v>
      </c>
      <c r="F40" s="11" t="n">
        <v>3599398</v>
      </c>
      <c r="G40" s="12">
        <f>IF(B40&gt;0,C40/B40,0)</f>
        <v/>
      </c>
    </row>
    <row r="41">
      <c r="A41" s="19" t="n">
        <v>45824</v>
      </c>
      <c r="B41" s="11" t="n">
        <v>666219</v>
      </c>
      <c r="C41" s="11" t="n">
        <v>654419</v>
      </c>
      <c r="D41" s="11" t="n">
        <v>11800</v>
      </c>
      <c r="E41" s="11" t="n">
        <v>262386361</v>
      </c>
      <c r="F41" s="11" t="n">
        <v>2778494</v>
      </c>
      <c r="G41" s="12">
        <f>IF(B41&gt;0,C41/B41,0)</f>
        <v/>
      </c>
    </row>
    <row r="42">
      <c r="A42" s="19" t="n">
        <v>45831</v>
      </c>
      <c r="B42" s="11" t="n">
        <v>657528</v>
      </c>
      <c r="C42" s="11" t="n">
        <v>646563</v>
      </c>
      <c r="D42" s="11" t="n">
        <v>10965</v>
      </c>
      <c r="E42" s="11" t="n">
        <v>259307917</v>
      </c>
      <c r="F42" s="11" t="n">
        <v>2483457</v>
      </c>
      <c r="G42" s="12">
        <f>IF(B42&gt;0,C42/B42,0)</f>
        <v/>
      </c>
    </row>
    <row r="43">
      <c r="A43" s="19" t="n">
        <v>45838</v>
      </c>
      <c r="B43" s="11" t="n">
        <v>632554</v>
      </c>
      <c r="C43" s="11" t="n">
        <v>620366</v>
      </c>
      <c r="D43" s="11" t="n">
        <v>12188</v>
      </c>
      <c r="E43" s="11" t="n">
        <v>262148745</v>
      </c>
      <c r="F43" s="11" t="n">
        <v>2537538</v>
      </c>
      <c r="G43" s="12">
        <f>IF(B43&gt;0,C43/B43,0)</f>
        <v/>
      </c>
    </row>
    <row r="44">
      <c r="A44" s="19" t="n">
        <v>45845</v>
      </c>
      <c r="B44" s="11" t="n">
        <v>635608</v>
      </c>
      <c r="C44" s="11" t="n">
        <v>620005</v>
      </c>
      <c r="D44" s="11" t="n">
        <v>15603</v>
      </c>
      <c r="E44" s="11" t="n">
        <v>249603713</v>
      </c>
      <c r="F44" s="11" t="n">
        <v>3094366</v>
      </c>
      <c r="G44" s="12">
        <f>IF(B44&gt;0,C44/B44,0)</f>
        <v/>
      </c>
    </row>
    <row r="45">
      <c r="A45" s="19" t="n">
        <v>45852</v>
      </c>
      <c r="B45" s="11" t="n">
        <v>637478</v>
      </c>
      <c r="C45" s="11" t="n">
        <v>614674</v>
      </c>
      <c r="D45" s="11" t="n">
        <v>22804</v>
      </c>
      <c r="E45" s="11" t="n">
        <v>246092632</v>
      </c>
      <c r="F45" s="11" t="n">
        <v>3727060</v>
      </c>
      <c r="G45" s="12">
        <f>IF(B45&gt;0,C45/B45,0)</f>
        <v/>
      </c>
    </row>
    <row r="46">
      <c r="A46" s="19" t="n">
        <v>45859</v>
      </c>
      <c r="B46" s="11" t="n">
        <v>641028</v>
      </c>
      <c r="C46" s="11" t="n">
        <v>620490</v>
      </c>
      <c r="D46" s="11" t="n">
        <v>20538</v>
      </c>
      <c r="E46" s="11" t="n">
        <v>244874355</v>
      </c>
      <c r="F46" s="11" t="n">
        <v>6481762</v>
      </c>
      <c r="G46" s="12">
        <f>IF(B46&gt;0,C46/B46,0)</f>
        <v/>
      </c>
    </row>
    <row r="47">
      <c r="A47" s="19" t="n">
        <v>45866</v>
      </c>
      <c r="B47" s="11" t="n">
        <v>640660</v>
      </c>
      <c r="C47" s="11" t="n">
        <v>617763</v>
      </c>
      <c r="D47" s="11" t="n">
        <v>22897</v>
      </c>
      <c r="E47" s="11" t="n">
        <v>246522939</v>
      </c>
      <c r="F47" s="11" t="n">
        <v>5304964</v>
      </c>
      <c r="G47" s="12">
        <f>IF(B47&gt;0,C47/B47,0)</f>
        <v/>
      </c>
    </row>
    <row r="48">
      <c r="A48" s="19" t="n">
        <v>45873</v>
      </c>
      <c r="B48" s="11" t="n">
        <v>642430</v>
      </c>
      <c r="C48" s="11" t="n">
        <v>628408</v>
      </c>
      <c r="D48" s="11" t="n">
        <v>14022</v>
      </c>
      <c r="E48" s="11" t="n">
        <v>254013751</v>
      </c>
      <c r="F48" s="11" t="n">
        <v>3230850</v>
      </c>
      <c r="G48" s="12">
        <f>IF(B48&gt;0,C48/B48,0)</f>
        <v/>
      </c>
    </row>
    <row r="49">
      <c r="A49" s="19" t="n">
        <v>45880</v>
      </c>
      <c r="B49" s="11" t="n">
        <v>625461</v>
      </c>
      <c r="C49" s="11" t="n">
        <v>609036</v>
      </c>
      <c r="D49" s="11" t="n">
        <v>16425</v>
      </c>
      <c r="E49" s="11" t="n">
        <v>252924423</v>
      </c>
      <c r="F49" s="11" t="n">
        <v>5907930</v>
      </c>
      <c r="G49" s="12">
        <f>IF(B49&gt;0,C49/B49,0)</f>
        <v/>
      </c>
    </row>
    <row r="50">
      <c r="A50" s="19" t="n">
        <v>45887</v>
      </c>
      <c r="B50" s="11" t="n">
        <v>637335</v>
      </c>
      <c r="C50" s="11" t="n">
        <v>619595</v>
      </c>
      <c r="D50" s="11" t="n">
        <v>17740</v>
      </c>
      <c r="E50" s="11" t="n">
        <v>249855070</v>
      </c>
      <c r="F50" s="11" t="n">
        <v>3881372</v>
      </c>
      <c r="G50" s="12">
        <f>IF(B50&gt;0,C50/B50,0)</f>
        <v/>
      </c>
    </row>
    <row r="51">
      <c r="A51" s="19" t="n">
        <v>45894</v>
      </c>
      <c r="B51" s="11" t="n">
        <v>628732</v>
      </c>
      <c r="C51" s="11" t="n">
        <v>610827</v>
      </c>
      <c r="D51" s="11" t="n">
        <v>17905</v>
      </c>
      <c r="E51" s="11" t="n">
        <v>254253715</v>
      </c>
      <c r="F51" s="11" t="n">
        <v>4414981</v>
      </c>
      <c r="G51" s="12">
        <f>IF(B51&gt;0,C51/B51,0)</f>
        <v/>
      </c>
    </row>
    <row r="52">
      <c r="A52" s="19" t="n">
        <v>45901</v>
      </c>
      <c r="B52" s="11" t="n">
        <v>657493</v>
      </c>
      <c r="C52" s="11" t="n">
        <v>633165</v>
      </c>
      <c r="D52" s="11" t="n">
        <v>24328</v>
      </c>
      <c r="E52" s="11" t="n">
        <v>247549345</v>
      </c>
      <c r="F52" s="11" t="n">
        <v>4715475</v>
      </c>
      <c r="G52" s="12">
        <f>IF(B52&gt;0,C52/B52,0)</f>
        <v/>
      </c>
    </row>
    <row r="53">
      <c r="A53" s="19" t="n">
        <v>45908</v>
      </c>
      <c r="B53" s="11" t="n">
        <v>659845</v>
      </c>
      <c r="C53" s="11" t="n">
        <v>642137</v>
      </c>
      <c r="D53" s="11" t="n">
        <v>17708</v>
      </c>
      <c r="E53" s="11" t="n">
        <v>259834608</v>
      </c>
      <c r="F53" s="11" t="n">
        <v>3354586</v>
      </c>
      <c r="G53" s="12">
        <f>IF(B53&gt;0,C53/B53,0)</f>
        <v/>
      </c>
    </row>
    <row r="54">
      <c r="A54" s="19" t="n">
        <v>45915</v>
      </c>
      <c r="B54" s="11" t="n">
        <v>677541</v>
      </c>
      <c r="C54" s="11" t="n">
        <v>657461</v>
      </c>
      <c r="D54" s="11" t="n">
        <v>20080</v>
      </c>
      <c r="E54" s="11" t="n">
        <v>258299687</v>
      </c>
      <c r="F54" s="11" t="n">
        <v>4273846</v>
      </c>
      <c r="G54" s="12">
        <f>IF(B54&gt;0,C54/B54,0)</f>
        <v/>
      </c>
    </row>
    <row r="55">
      <c r="A55" s="19" t="n">
        <v>45922</v>
      </c>
      <c r="B55" s="11" t="n">
        <v>693537</v>
      </c>
      <c r="C55" s="11" t="n">
        <v>667604</v>
      </c>
      <c r="D55" s="11" t="n">
        <v>25933</v>
      </c>
      <c r="E55" s="11" t="n">
        <v>248753259</v>
      </c>
      <c r="F55" s="11" t="n">
        <v>4156389</v>
      </c>
      <c r="G55" s="12">
        <f>IF(B55&gt;0,C55/B55,0)</f>
        <v/>
      </c>
    </row>
    <row r="56">
      <c r="A56" s="19" t="n">
        <v>45929</v>
      </c>
      <c r="B56" s="11" t="n">
        <v>786215</v>
      </c>
      <c r="C56" s="11" t="n">
        <v>761011</v>
      </c>
      <c r="D56" s="11" t="n">
        <v>25204</v>
      </c>
      <c r="E56" s="11" t="n">
        <v>231822918</v>
      </c>
      <c r="F56" s="11" t="n">
        <v>7756787</v>
      </c>
      <c r="G56" s="12">
        <f>IF(B56&gt;0,C56/B56,0)</f>
        <v/>
      </c>
    </row>
    <row r="57">
      <c r="A57" s="19" t="n">
        <v>45936</v>
      </c>
      <c r="B57" s="11" t="n">
        <v>841253</v>
      </c>
      <c r="C57" s="11" t="n">
        <v>790187</v>
      </c>
      <c r="D57" s="11" t="n">
        <v>51066</v>
      </c>
      <c r="E57" s="11" t="n">
        <v>204190010</v>
      </c>
      <c r="F57" s="11" t="n">
        <v>17219319</v>
      </c>
      <c r="G57" s="12">
        <f>IF(B57&gt;0,C57/B57,0)</f>
        <v/>
      </c>
    </row>
    <row r="58">
      <c r="A58" s="19" t="n">
        <v>45943</v>
      </c>
      <c r="B58" s="11" t="n">
        <v>821388</v>
      </c>
      <c r="C58" s="11" t="n">
        <v>759862</v>
      </c>
      <c r="D58" s="11" t="n">
        <v>61526</v>
      </c>
      <c r="E58" s="11" t="n">
        <v>213615577</v>
      </c>
      <c r="F58" s="11" t="n">
        <v>21795574</v>
      </c>
      <c r="G58" s="12">
        <f>IF(B58&gt;0,C58/B58,0)</f>
        <v/>
      </c>
    </row>
    <row r="59">
      <c r="A59" s="19" t="n">
        <v>45950</v>
      </c>
      <c r="B59" s="11" t="n">
        <v>735197</v>
      </c>
      <c r="C59" s="11" t="n">
        <v>695688</v>
      </c>
      <c r="D59" s="11" t="n">
        <v>39509</v>
      </c>
      <c r="E59" s="11" t="n">
        <v>242354586</v>
      </c>
      <c r="F59" s="11" t="n">
        <v>14901871</v>
      </c>
      <c r="G59" s="12">
        <f>IF(B59&gt;0,C59/B59,0)</f>
        <v/>
      </c>
    </row>
    <row r="60">
      <c r="A60" s="19" t="n">
        <v>45957</v>
      </c>
      <c r="B60" s="11" t="n">
        <v>697342</v>
      </c>
      <c r="C60" s="11" t="n">
        <v>668817</v>
      </c>
      <c r="D60" s="11" t="n">
        <v>28525</v>
      </c>
      <c r="E60" s="11" t="n">
        <v>279340958</v>
      </c>
      <c r="F60" s="11" t="n">
        <v>8098318</v>
      </c>
      <c r="G60" s="12">
        <f>IF(B60&gt;0,C60/B60,0)</f>
        <v/>
      </c>
    </row>
    <row r="61">
      <c r="A61" s="19" t="n">
        <v>45964</v>
      </c>
      <c r="B61" s="11" t="n">
        <v>664370</v>
      </c>
      <c r="C61" s="11" t="n">
        <v>648567</v>
      </c>
      <c r="D61" s="11" t="n">
        <v>15803</v>
      </c>
      <c r="E61" s="11" t="n">
        <v>339255439</v>
      </c>
      <c r="F61" s="11" t="n">
        <v>3368692</v>
      </c>
      <c r="G61" s="12">
        <f>IF(B61&gt;0,C61/B61,0)</f>
        <v/>
      </c>
    </row>
    <row r="62">
      <c r="A62" s="19" t="n">
        <v>45971</v>
      </c>
      <c r="B62" s="11" t="n">
        <v>656563</v>
      </c>
      <c r="C62" s="11" t="n">
        <v>642439</v>
      </c>
      <c r="D62" s="11" t="n">
        <v>14124</v>
      </c>
      <c r="E62" s="11" t="n">
        <v>369444309</v>
      </c>
      <c r="F62" s="11" t="n">
        <v>3427431</v>
      </c>
      <c r="G62" s="12">
        <f>IF(B62&gt;0,C62/B62,0)</f>
        <v/>
      </c>
    </row>
    <row r="63">
      <c r="A63" s="19" t="n">
        <v>45978</v>
      </c>
      <c r="B63" s="11" t="n">
        <v>660563</v>
      </c>
      <c r="C63" s="11" t="n">
        <v>650694</v>
      </c>
      <c r="D63" s="11" t="n">
        <v>9869</v>
      </c>
      <c r="E63" s="11" t="n">
        <v>407060692</v>
      </c>
      <c r="F63" s="11" t="n">
        <v>1894712</v>
      </c>
      <c r="G63" s="12">
        <f>IF(B63&gt;0,C63/B63,0)</f>
        <v/>
      </c>
    </row>
    <row r="64">
      <c r="A64" s="19" t="n">
        <v>45985</v>
      </c>
      <c r="B64" s="11" t="n">
        <v>655530</v>
      </c>
      <c r="C64" s="11" t="n">
        <v>644704</v>
      </c>
      <c r="D64" s="11" t="n">
        <v>10826</v>
      </c>
      <c r="E64" s="11" t="n">
        <v>391578809</v>
      </c>
      <c r="F64" s="11" t="n">
        <v>1271413</v>
      </c>
      <c r="G64" s="12">
        <f>IF(B64&gt;0,C64/B64,0)</f>
        <v/>
      </c>
    </row>
    <row r="65">
      <c r="A65" s="19" t="n">
        <v>45992</v>
      </c>
      <c r="B65" s="11" t="n">
        <v>638144</v>
      </c>
      <c r="C65" s="11" t="n">
        <v>625673</v>
      </c>
      <c r="D65" s="11" t="n">
        <v>12471</v>
      </c>
      <c r="E65" s="11" t="n">
        <v>372974150</v>
      </c>
      <c r="F65" s="11" t="n">
        <v>1603796</v>
      </c>
      <c r="G65" s="12">
        <f>IF(B65&gt;0,C65/B65,0)</f>
        <v/>
      </c>
    </row>
    <row r="66">
      <c r="A66" s="19" t="n">
        <v>45999</v>
      </c>
      <c r="B66" s="11" t="n">
        <v>643651</v>
      </c>
      <c r="C66" s="11" t="n">
        <v>634704</v>
      </c>
      <c r="D66" s="11" t="n">
        <v>8947</v>
      </c>
      <c r="E66" s="11" t="n">
        <v>353527757</v>
      </c>
      <c r="F66" s="11" t="n">
        <v>1425103</v>
      </c>
      <c r="G66" s="12">
        <f>IF(B66&gt;0,C66/B66,0)</f>
        <v/>
      </c>
    </row>
    <row r="67">
      <c r="A67" s="19" t="n">
        <v>46006</v>
      </c>
      <c r="B67" s="11" t="n">
        <v>641449</v>
      </c>
      <c r="C67" s="11" t="n">
        <v>628224</v>
      </c>
      <c r="D67" s="11" t="n">
        <v>13225</v>
      </c>
      <c r="E67" s="11" t="n">
        <v>329429669</v>
      </c>
      <c r="F67" s="11" t="n">
        <v>2331294</v>
      </c>
      <c r="G67" s="12">
        <f>IF(B67&gt;0,C67/B67,0)</f>
        <v/>
      </c>
    </row>
    <row r="68">
      <c r="A68" s="19" t="n">
        <v>46013</v>
      </c>
      <c r="B68" s="11" t="n">
        <v>648067</v>
      </c>
      <c r="C68" s="11" t="n">
        <v>630761</v>
      </c>
      <c r="D68" s="11" t="n">
        <v>17306</v>
      </c>
      <c r="E68" s="11" t="n">
        <v>312696698</v>
      </c>
      <c r="F68" s="11" t="n">
        <v>3063313</v>
      </c>
      <c r="G68" s="12">
        <f>IF(B68&gt;0,C68/B68,0)</f>
        <v/>
      </c>
    </row>
    <row r="69">
      <c r="A69" s="19" t="n">
        <v>46020</v>
      </c>
      <c r="B69" s="11" t="n">
        <v>633639</v>
      </c>
      <c r="C69" s="11" t="n">
        <v>617671</v>
      </c>
      <c r="D69" s="11" t="n">
        <v>15968</v>
      </c>
      <c r="E69" s="11" t="n">
        <v>296348803</v>
      </c>
      <c r="F69" s="11" t="n">
        <v>1973298</v>
      </c>
      <c r="G69" s="12">
        <f>IF(B69&gt;0,C69/B69,0)</f>
        <v/>
      </c>
    </row>
    <row r="70">
      <c r="A70" s="19" t="n">
        <v>46027</v>
      </c>
      <c r="B70" s="11" t="n">
        <v>624902</v>
      </c>
      <c r="C70" s="11" t="n">
        <v>605487</v>
      </c>
      <c r="D70" s="11" t="n">
        <v>19415</v>
      </c>
      <c r="E70" s="11" t="n">
        <v>295390286</v>
      </c>
      <c r="F70" s="11" t="n">
        <v>2734633</v>
      </c>
      <c r="G70" s="12">
        <f>IF(B70&gt;0,C70/B70,0)</f>
        <v/>
      </c>
    </row>
    <row r="71">
      <c r="A71" s="19" t="n">
        <v>46034</v>
      </c>
      <c r="B71" s="11" t="n">
        <v>634082</v>
      </c>
      <c r="C71" s="11" t="n">
        <v>621726</v>
      </c>
      <c r="D71" s="11" t="n">
        <v>12356</v>
      </c>
      <c r="E71" s="11" t="n">
        <v>292704623</v>
      </c>
      <c r="F71" s="11" t="n">
        <v>2587523</v>
      </c>
      <c r="G71" s="12">
        <f>IF(B71&gt;0,C71/B71,0)</f>
        <v/>
      </c>
    </row>
    <row r="72">
      <c r="A72" s="19" t="n">
        <v>46041</v>
      </c>
      <c r="B72" s="11" t="n">
        <v>628174</v>
      </c>
      <c r="C72" s="11" t="n">
        <v>614487</v>
      </c>
      <c r="D72" s="11" t="n">
        <v>13687</v>
      </c>
      <c r="E72" s="11" t="n">
        <v>292666146</v>
      </c>
      <c r="F72" s="11" t="n">
        <v>2265591</v>
      </c>
      <c r="G72" s="12">
        <f>IF(B72&gt;0,C72/B72,0)</f>
        <v/>
      </c>
    </row>
    <row r="73">
      <c r="A73" s="19" t="n">
        <v>46048</v>
      </c>
      <c r="B73" s="11" t="n">
        <v>637004</v>
      </c>
      <c r="C73" s="11" t="n">
        <v>617197</v>
      </c>
      <c r="D73" s="11" t="n">
        <v>19807</v>
      </c>
      <c r="E73" s="11" t="n">
        <v>285884615</v>
      </c>
      <c r="F73" s="11" t="n">
        <v>3331183</v>
      </c>
      <c r="G73" s="12">
        <f>IF(B73&gt;0,C73/B73,0)</f>
        <v/>
      </c>
    </row>
    <row r="74">
      <c r="A74" s="19" t="n">
        <v>46055</v>
      </c>
      <c r="B74" s="11" t="n">
        <v>652177</v>
      </c>
      <c r="C74" s="11" t="n">
        <v>635745</v>
      </c>
      <c r="D74" s="11" t="n">
        <v>16432</v>
      </c>
      <c r="E74" s="11" t="n">
        <v>279370621</v>
      </c>
      <c r="F74" s="11" t="n">
        <v>2808110</v>
      </c>
      <c r="G74" s="12">
        <f>IF(B74&gt;0,C74/B74,0)</f>
        <v/>
      </c>
    </row>
    <row r="75">
      <c r="A75" s="19" t="n">
        <v>46062</v>
      </c>
      <c r="B75" s="11" t="n">
        <v>637289</v>
      </c>
      <c r="C75" s="11" t="n">
        <v>621600</v>
      </c>
      <c r="D75" s="11" t="n">
        <v>15689</v>
      </c>
      <c r="E75" s="11" t="n">
        <v>273440856</v>
      </c>
      <c r="F75" s="11" t="n">
        <v>2352237</v>
      </c>
      <c r="G75" s="12">
        <f>IF(B75&gt;0,C75/B75,0)</f>
        <v/>
      </c>
    </row>
    <row r="76">
      <c r="A76" s="19" t="n">
        <v>46069</v>
      </c>
      <c r="B76" s="11" t="n">
        <v>648795</v>
      </c>
      <c r="C76" s="11" t="n">
        <v>626294</v>
      </c>
      <c r="D76" s="11" t="n">
        <v>22501</v>
      </c>
      <c r="E76" s="11" t="n">
        <v>269471220</v>
      </c>
      <c r="F76" s="11" t="n">
        <v>3862211</v>
      </c>
      <c r="G76" s="12">
        <f>IF(B76&gt;0,C76/B76,0)</f>
        <v/>
      </c>
    </row>
    <row r="77">
      <c r="A77" s="19" t="n">
        <v>46076</v>
      </c>
      <c r="B77" s="11" t="n">
        <v>653450</v>
      </c>
      <c r="C77" s="11" t="n">
        <v>640767</v>
      </c>
      <c r="D77" s="11" t="n">
        <v>12683</v>
      </c>
      <c r="E77" s="11" t="n">
        <v>264047366</v>
      </c>
      <c r="F77" s="11" t="n">
        <v>2603274</v>
      </c>
      <c r="G77" s="12">
        <f>IF(B77&gt;0,C77/B77,0)</f>
        <v/>
      </c>
    </row>
    <row r="78">
      <c r="A78" s="19" t="n">
        <v>46083</v>
      </c>
      <c r="B78" s="11" t="n">
        <v>683384</v>
      </c>
      <c r="C78" s="11" t="n">
        <v>660997</v>
      </c>
      <c r="D78" s="11" t="n">
        <v>22387</v>
      </c>
      <c r="E78" s="11" t="n">
        <v>252538243</v>
      </c>
      <c r="F78" s="11" t="n">
        <v>3237769</v>
      </c>
      <c r="G78" s="12">
        <f>IF(B78&gt;0,C78/B78,0)</f>
        <v/>
      </c>
    </row>
    <row r="79">
      <c r="A79" s="19" t="n">
        <v>46090</v>
      </c>
      <c r="B79" s="11" t="n">
        <v>709544</v>
      </c>
      <c r="C79" s="11" t="n">
        <v>679184</v>
      </c>
      <c r="D79" s="11" t="n">
        <v>30360</v>
      </c>
      <c r="E79" s="11" t="n">
        <v>262314222</v>
      </c>
      <c r="F79" s="11" t="n">
        <v>3285463</v>
      </c>
      <c r="G79" s="12">
        <f>IF(B79&gt;0,C79/B79,0)</f>
        <v/>
      </c>
    </row>
    <row r="80">
      <c r="A80" s="19" t="n">
        <v>46097</v>
      </c>
      <c r="B80" s="11" t="n">
        <v>691596</v>
      </c>
      <c r="C80" s="11" t="n">
        <v>663115</v>
      </c>
      <c r="D80" s="11" t="n">
        <v>28481</v>
      </c>
      <c r="E80" s="11" t="n">
        <v>269746760</v>
      </c>
      <c r="F80" s="11" t="n">
        <v>2872709</v>
      </c>
      <c r="G80" s="12">
        <f>IF(B80&gt;0,C80/B80,0)</f>
        <v/>
      </c>
    </row>
    <row r="81">
      <c r="A81" s="19" t="n">
        <v>46104</v>
      </c>
      <c r="B81" s="11" t="n">
        <v>698451</v>
      </c>
      <c r="C81" s="11" t="n">
        <v>681468</v>
      </c>
      <c r="D81" s="11" t="n">
        <v>16983</v>
      </c>
      <c r="E81" s="11" t="n">
        <v>275924673</v>
      </c>
      <c r="F81" s="11" t="n">
        <v>2874391</v>
      </c>
      <c r="G81" s="12">
        <f>IF(B81&gt;0,C81/B81,0)</f>
        <v/>
      </c>
    </row>
    <row r="82">
      <c r="A82" s="19" t="n">
        <v>46111</v>
      </c>
      <c r="B82" s="11" t="n">
        <v>755267</v>
      </c>
      <c r="C82" s="11" t="n">
        <v>729317</v>
      </c>
      <c r="D82" s="11" t="n">
        <v>25950</v>
      </c>
      <c r="E82" s="11" t="n">
        <v>261951091</v>
      </c>
      <c r="F82" s="11" t="n">
        <v>4257497</v>
      </c>
      <c r="G82" s="12">
        <f>IF(B82&gt;0,C82/B82,0)</f>
        <v/>
      </c>
    </row>
    <row r="83">
      <c r="A83" s="19" t="n">
        <v>46118</v>
      </c>
      <c r="B83" s="11" t="n">
        <v>736483</v>
      </c>
      <c r="C83" s="11" t="n">
        <v>716589</v>
      </c>
      <c r="D83" s="11" t="n">
        <v>19894</v>
      </c>
      <c r="E83" s="11" t="n">
        <v>262241284</v>
      </c>
      <c r="F83" s="11" t="n">
        <v>3801312</v>
      </c>
      <c r="G83" s="12">
        <f>IF(B83&gt;0,C83/B83,0)</f>
        <v/>
      </c>
    </row>
    <row r="84">
      <c r="A84" s="19" t="n">
        <v>46125</v>
      </c>
      <c r="B84" s="11" t="n">
        <v>746167</v>
      </c>
      <c r="C84" s="11" t="n">
        <v>721172</v>
      </c>
      <c r="D84" s="11" t="n">
        <v>24995</v>
      </c>
      <c r="E84" s="11" t="n">
        <v>273093966</v>
      </c>
      <c r="F84" s="11" t="n">
        <v>4016425</v>
      </c>
      <c r="G84" s="12">
        <f>IF(B84&gt;0,C84/B84,0)</f>
        <v/>
      </c>
    </row>
    <row r="85">
      <c r="A85" s="19" t="n">
        <v>46132</v>
      </c>
      <c r="B85" s="11" t="n">
        <v>750330</v>
      </c>
      <c r="C85" s="11" t="n">
        <v>718072</v>
      </c>
      <c r="D85" s="11" t="n">
        <v>32258</v>
      </c>
      <c r="E85" s="11" t="n">
        <v>265957112</v>
      </c>
      <c r="F85" s="11" t="n">
        <v>5752214</v>
      </c>
      <c r="G85" s="12">
        <f>IF(B85&gt;0,C85/B85,0)</f>
        <v/>
      </c>
    </row>
    <row r="86">
      <c r="A86" s="19" t="n">
        <v>46139</v>
      </c>
      <c r="B86" s="11" t="n">
        <v>750110</v>
      </c>
      <c r="C86" s="11" t="n">
        <v>734194</v>
      </c>
      <c r="D86" s="11" t="n">
        <v>15916</v>
      </c>
      <c r="E86" s="11" t="n">
        <v>263373717</v>
      </c>
      <c r="F86" s="11" t="n">
        <v>2302811</v>
      </c>
      <c r="G86" s="12">
        <f>IF(B86&gt;0,C86/B86,0)</f>
        <v/>
      </c>
    </row>
    <row r="87">
      <c r="A87" s="19" t="n">
        <v>46146</v>
      </c>
      <c r="B87" s="11" t="n">
        <v>774337</v>
      </c>
      <c r="C87" s="11" t="n">
        <v>752792</v>
      </c>
      <c r="D87" s="11" t="n">
        <v>21545</v>
      </c>
      <c r="E87" s="11" t="n">
        <v>258522930</v>
      </c>
      <c r="F87" s="11" t="n">
        <v>3459336</v>
      </c>
      <c r="G87" s="12">
        <f>IF(B87&gt;0,C87/B87,0)</f>
        <v/>
      </c>
    </row>
    <row r="88">
      <c r="A88" s="19" t="n">
        <v>46153</v>
      </c>
      <c r="B88" s="11" t="n">
        <v>785424</v>
      </c>
      <c r="C88" s="11" t="n">
        <v>764883</v>
      </c>
      <c r="D88" s="11" t="n">
        <v>20541</v>
      </c>
      <c r="E88" s="11" t="n">
        <v>267922578</v>
      </c>
      <c r="F88" s="11" t="n">
        <v>3245967</v>
      </c>
      <c r="G88" s="12">
        <f>IF(B88&gt;0,C88/B88,0)</f>
        <v/>
      </c>
    </row>
    <row r="89">
      <c r="A89" s="19" t="n">
        <v>46160</v>
      </c>
      <c r="B89" s="11" t="n">
        <v>781608</v>
      </c>
      <c r="C89" s="11" t="n">
        <v>752268</v>
      </c>
      <c r="D89" s="11" t="n">
        <v>29340</v>
      </c>
      <c r="E89" s="11" t="n">
        <v>266050628</v>
      </c>
      <c r="F89" s="11" t="n">
        <v>5388307</v>
      </c>
      <c r="G89" s="12">
        <f>IF(B89&gt;0,C89/B89,0)</f>
        <v/>
      </c>
    </row>
    <row r="90">
      <c r="A90" s="19" t="n">
        <v>46167</v>
      </c>
      <c r="B90" s="11" t="n">
        <v>776083</v>
      </c>
      <c r="C90" s="11" t="n">
        <v>752031</v>
      </c>
      <c r="D90" s="11" t="n">
        <v>24052</v>
      </c>
      <c r="E90" s="11" t="n">
        <v>265209000</v>
      </c>
      <c r="F90" s="11" t="n">
        <v>4726112</v>
      </c>
      <c r="G90" s="12">
        <f>IF(B90&gt;0,C90/B90,0)</f>
        <v/>
      </c>
    </row>
    <row r="91">
      <c r="A91" s="19" t="n">
        <v>46174</v>
      </c>
      <c r="B91" s="11" t="n">
        <v>737859</v>
      </c>
      <c r="C91" s="11" t="n">
        <v>721247</v>
      </c>
      <c r="D91" s="11" t="n">
        <v>16612</v>
      </c>
      <c r="E91" s="11" t="n">
        <v>278079899</v>
      </c>
      <c r="F91" s="11" t="n">
        <v>3489760</v>
      </c>
      <c r="G91" s="12">
        <f>IF(B91&gt;0,C91/B91,0)</f>
        <v/>
      </c>
    </row>
    <row r="92">
      <c r="A92" s="19" t="n">
        <v>46181</v>
      </c>
      <c r="B92" s="11" t="n">
        <v>737241</v>
      </c>
      <c r="C92" s="11" t="n">
        <v>722847</v>
      </c>
      <c r="D92" s="11" t="n">
        <v>14394</v>
      </c>
      <c r="E92" s="11" t="n">
        <v>289880228</v>
      </c>
      <c r="F92" s="11" t="n">
        <v>4118493</v>
      </c>
      <c r="G92" s="12">
        <f>IF(B92&gt;0,C92/B92,0)</f>
        <v/>
      </c>
    </row>
    <row r="93">
      <c r="A93" s="19" t="n">
        <v>46188</v>
      </c>
      <c r="B93" s="11" t="n">
        <v>741346</v>
      </c>
      <c r="C93" s="11" t="n">
        <v>725603</v>
      </c>
      <c r="D93" s="11" t="n">
        <v>15743</v>
      </c>
      <c r="E93" s="11" t="n">
        <v>287740003</v>
      </c>
      <c r="F93" s="11" t="n">
        <v>3262620</v>
      </c>
      <c r="G93" s="12">
        <f>IF(B93&gt;0,C93/B93,0)</f>
        <v/>
      </c>
    </row>
    <row r="94">
      <c r="A94" s="19" t="n">
        <v>46195</v>
      </c>
      <c r="B94" s="11" t="n">
        <v>741634</v>
      </c>
      <c r="C94" s="11" t="n">
        <v>726514</v>
      </c>
      <c r="D94" s="11" t="n">
        <v>15120</v>
      </c>
      <c r="E94" s="11" t="n">
        <v>282215598</v>
      </c>
      <c r="F94" s="11" t="n">
        <v>3092399</v>
      </c>
      <c r="G94" s="12">
        <f>IF(B94&gt;0,C94/B94,0)</f>
        <v/>
      </c>
    </row>
    <row r="95">
      <c r="A95" s="19" t="n">
        <v>46202</v>
      </c>
      <c r="B95" s="11" t="n">
        <v>688418</v>
      </c>
      <c r="C95" s="11" t="n">
        <v>667010</v>
      </c>
      <c r="D95" s="11" t="n">
        <v>21408</v>
      </c>
      <c r="E95" s="11" t="n">
        <v>287058818</v>
      </c>
      <c r="F95" s="11" t="n">
        <v>3152974</v>
      </c>
      <c r="G95" s="12">
        <f>IF(B95&gt;0,C95/B95,0)</f>
        <v/>
      </c>
    </row>
    <row r="96">
      <c r="A96" s="19" t="n">
        <v>46209</v>
      </c>
      <c r="B96" s="11" t="n">
        <v>694231</v>
      </c>
      <c r="C96" s="11" t="n">
        <v>677896</v>
      </c>
      <c r="D96" s="11" t="n">
        <v>16335</v>
      </c>
      <c r="E96" s="11" t="n">
        <v>284735368</v>
      </c>
      <c r="F96" s="11" t="n">
        <v>3687348</v>
      </c>
      <c r="G96" s="12">
        <f>IF(B96&gt;0,C96/B96,0)</f>
        <v/>
      </c>
    </row>
    <row r="97">
      <c r="A97" s="19" t="n">
        <v>46216</v>
      </c>
      <c r="B97" s="11" t="n">
        <v>693278</v>
      </c>
      <c r="C97" s="11" t="n">
        <v>673920</v>
      </c>
      <c r="D97" s="11" t="n">
        <v>19358</v>
      </c>
      <c r="E97" s="11" t="n">
        <v>272853148</v>
      </c>
      <c r="F97" s="11" t="n">
        <v>4046841</v>
      </c>
      <c r="G97" s="12">
        <f>IF(B97&gt;0,C97/B97,0)</f>
        <v/>
      </c>
    </row>
    <row r="98">
      <c r="A98" s="19" t="n">
        <v>46223</v>
      </c>
      <c r="B98" s="11" t="n">
        <v>693765</v>
      </c>
      <c r="C98" s="11" t="n">
        <v>668984</v>
      </c>
      <c r="D98" s="11" t="n">
        <v>24781</v>
      </c>
      <c r="E98" s="11" t="n">
        <v>264957663</v>
      </c>
      <c r="F98" s="11" t="n">
        <v>5411522</v>
      </c>
      <c r="G98" s="12">
        <f>IF(B98&gt;0,C98/B98,0)</f>
        <v/>
      </c>
    </row>
    <row r="99">
      <c r="A99" s="19" t="n">
        <v>46230</v>
      </c>
      <c r="B99" s="11" t="n">
        <v>687110</v>
      </c>
      <c r="C99" s="11" t="n">
        <v>664808</v>
      </c>
      <c r="D99" s="11" t="n">
        <v>22302</v>
      </c>
      <c r="E99" s="11" t="n">
        <v>265806278</v>
      </c>
      <c r="F99" s="11" t="n">
        <v>4945037</v>
      </c>
      <c r="G99" s="12">
        <f>IF(B99&gt;0,C99/B99,0)</f>
        <v/>
      </c>
    </row>
    <row r="100">
      <c r="A100" s="19" t="n">
        <v>46237</v>
      </c>
      <c r="B100" s="11" t="n">
        <v>691378</v>
      </c>
      <c r="C100" s="11" t="n">
        <v>674082</v>
      </c>
      <c r="D100" s="11" t="n">
        <v>17296</v>
      </c>
      <c r="E100" s="11" t="n">
        <v>267848557</v>
      </c>
      <c r="F100" s="11" t="n">
        <v>3709367</v>
      </c>
      <c r="G100" s="12">
        <f>IF(B100&gt;0,C100/B100,0)</f>
        <v/>
      </c>
    </row>
    <row r="101">
      <c r="A101" s="19" t="n">
        <v>46244</v>
      </c>
      <c r="B101" s="11" t="n">
        <v>692866</v>
      </c>
      <c r="C101" s="11" t="n">
        <v>670663</v>
      </c>
      <c r="D101" s="11" t="n">
        <v>22203</v>
      </c>
      <c r="E101" s="11" t="n">
        <v>267181690</v>
      </c>
      <c r="F101" s="11" t="n">
        <v>5226068</v>
      </c>
      <c r="G101" s="12">
        <f>IF(B101&gt;0,C101/B101,0)</f>
        <v/>
      </c>
    </row>
    <row r="102">
      <c r="A102" s="19" t="n">
        <v>46251</v>
      </c>
      <c r="B102" s="11" t="n">
        <v>698601</v>
      </c>
      <c r="C102" s="11" t="n">
        <v>679571</v>
      </c>
      <c r="D102" s="11" t="n">
        <v>19030</v>
      </c>
      <c r="E102" s="11" t="n">
        <v>265193499</v>
      </c>
      <c r="F102" s="11" t="n">
        <v>4391406</v>
      </c>
      <c r="G102" s="12">
        <f>IF(B102&gt;0,C102/B102,0)</f>
        <v/>
      </c>
    </row>
    <row r="103">
      <c r="A103" s="19" t="n">
        <v>46258</v>
      </c>
      <c r="B103" s="11" t="n">
        <v>698994</v>
      </c>
      <c r="C103" s="11" t="n">
        <v>678293</v>
      </c>
      <c r="D103" s="11" t="n">
        <v>20701</v>
      </c>
      <c r="E103" s="11" t="n">
        <v>262069858</v>
      </c>
      <c r="F103" s="11" t="n">
        <v>4094313</v>
      </c>
      <c r="G103" s="12">
        <f>IF(B103&gt;0,C103/B103,0)</f>
        <v/>
      </c>
    </row>
    <row r="104">
      <c r="A104" s="19" t="n">
        <v>46265</v>
      </c>
      <c r="B104" s="11" t="n">
        <v>725844</v>
      </c>
      <c r="C104" s="11" t="n">
        <v>712679</v>
      </c>
      <c r="D104" s="11" t="n">
        <v>13165</v>
      </c>
      <c r="E104" s="11" t="n">
        <v>266537734</v>
      </c>
      <c r="F104" s="11" t="n">
        <v>3216292</v>
      </c>
      <c r="G104" s="12">
        <f>IF(B104&gt;0,C104/B104,0)</f>
        <v/>
      </c>
    </row>
    <row r="105">
      <c r="A105" s="19" t="n">
        <v>46272</v>
      </c>
      <c r="B105" s="11" t="n">
        <v>727742</v>
      </c>
      <c r="C105" s="11" t="n">
        <v>707294</v>
      </c>
      <c r="D105" s="11" t="n">
        <v>20448</v>
      </c>
      <c r="E105" s="11" t="n">
        <v>255248482</v>
      </c>
      <c r="F105" s="11" t="n">
        <v>5917374</v>
      </c>
      <c r="G105" s="12">
        <f>IF(B105&gt;0,C105/B105,0)</f>
        <v/>
      </c>
    </row>
    <row r="106">
      <c r="A106" s="19" t="n">
        <v>46279</v>
      </c>
      <c r="B106" s="11" t="n">
        <v>711727</v>
      </c>
      <c r="C106" s="11" t="n">
        <v>680051</v>
      </c>
      <c r="D106" s="11" t="n">
        <v>31676</v>
      </c>
      <c r="E106" s="11" t="n">
        <v>282436278</v>
      </c>
      <c r="F106" s="11" t="n">
        <v>7042147</v>
      </c>
      <c r="G106" s="12">
        <f>IF(B106&gt;0,C106/B106,0)</f>
        <v/>
      </c>
    </row>
    <row r="107">
      <c r="A107" s="19" t="n">
        <v>46286</v>
      </c>
      <c r="B107" s="11" t="n">
        <v>720609</v>
      </c>
      <c r="C107" s="11" t="n">
        <v>698798</v>
      </c>
      <c r="D107" s="11" t="n">
        <v>21811</v>
      </c>
      <c r="E107" s="11" t="n">
        <v>276000872</v>
      </c>
      <c r="F107" s="11" t="n">
        <v>5318391</v>
      </c>
      <c r="G107" s="12">
        <f>IF(B107&gt;0,C107/B107,0)</f>
        <v/>
      </c>
    </row>
    <row r="108">
      <c r="A108" s="19" t="n">
        <v>46293</v>
      </c>
      <c r="B108" s="11" t="n">
        <v>737507</v>
      </c>
      <c r="C108" s="11" t="n">
        <v>709903</v>
      </c>
      <c r="D108" s="11" t="n">
        <v>27604</v>
      </c>
      <c r="E108" s="11" t="n">
        <v>275416031</v>
      </c>
      <c r="F108" s="11" t="n">
        <v>7254024</v>
      </c>
      <c r="G108" s="12">
        <f>IF(B108&gt;0,C108/B108,0)</f>
        <v/>
      </c>
    </row>
  </sheetData>
  <autoFilter ref="A4:G108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7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4.6" customWidth="1" min="2" max="2"/>
    <col width="11" customWidth="1" min="3" max="3"/>
    <col width="12.8" customWidth="1" min="4" max="4"/>
    <col width="11" customWidth="1" min="5" max="5"/>
    <col width="11" customWidth="1" min="6" max="6"/>
    <col width="13.7" customWidth="1" min="7" max="7"/>
    <col width="17.3" customWidth="1" min="8" max="8"/>
    <col width="22.7" customWidth="1" min="9" max="9"/>
    <col width="25.4" customWidth="1" min="10" max="10"/>
    <col width="18.2" customWidth="1" min="11" max="11"/>
    <col width="16.4" customWidth="1" min="12" max="12"/>
    <col width="15.5" customWidth="1" min="13" max="13"/>
    <col width="19.1" customWidth="1" min="14" max="14"/>
    <col width="26.3" customWidth="1" min="15" max="15"/>
    <col width="20" customWidth="1" min="16" max="16"/>
    <col width="14" customWidth="1" min="17" max="17"/>
  </cols>
  <sheetData>
    <row r="1">
      <c r="A1" s="1" t="inlineStr">
        <is>
          <t>Warehouse scorecard - 104 weeks</t>
        </is>
      </c>
    </row>
    <row r="2">
      <c r="A2" s="2" t="inlineStr">
        <is>
          <t>Source: sp_regional_kpis. Totals row and lost-revenue share are formulas.</t>
        </is>
      </c>
    </row>
    <row r="4" ht="30" customHeight="1">
      <c r="A4" s="18" t="inlineStr">
        <is>
          <t>warehouse_id</t>
        </is>
      </c>
      <c r="B4" s="18" t="inlineStr">
        <is>
          <t>warehouse_name</t>
        </is>
      </c>
      <c r="C4" s="18" t="inlineStr">
        <is>
          <t>region</t>
        </is>
      </c>
      <c r="D4" s="18" t="inlineStr">
        <is>
          <t>demand_units</t>
        </is>
      </c>
      <c r="E4" s="18" t="inlineStr">
        <is>
          <t>units_sold</t>
        </is>
      </c>
      <c r="F4" s="18" t="inlineStr">
        <is>
          <t>lost_units</t>
        </is>
      </c>
      <c r="G4" s="18" t="inlineStr">
        <is>
          <t>fill_rate_pct</t>
        </is>
      </c>
      <c r="H4" s="18" t="inlineStr">
        <is>
          <t>stockout_rate_pct</t>
        </is>
      </c>
      <c r="I4" s="18" t="inlineStr">
        <is>
          <t>avg_inventory_value_inr</t>
        </is>
      </c>
      <c r="J4" s="18" t="inlineStr">
        <is>
          <t>inventory_turns_annualised</t>
        </is>
      </c>
      <c r="K4" s="18" t="inlineStr">
        <is>
          <t>avg_weeks_of_cover</t>
        </is>
      </c>
      <c r="L4" s="18" t="inlineStr">
        <is>
          <t>lost_revenue_inr</t>
        </is>
      </c>
      <c r="M4" s="18" t="inlineStr">
        <is>
          <t>lost_margin_inr</t>
        </is>
      </c>
      <c r="N4" s="18" t="inlineStr">
        <is>
          <t>inbound_on_time_pct</t>
        </is>
      </c>
      <c r="O4" s="18" t="inlineStr">
        <is>
          <t>inbound_avg_days_vs_promise</t>
        </is>
      </c>
      <c r="P4" s="18" t="inlineStr">
        <is>
          <t>inbound_qty_fill_pct</t>
        </is>
      </c>
      <c r="Q4" s="3" t="inlineStr">
        <is>
          <t>lost_revenue_share_pct</t>
        </is>
      </c>
    </row>
    <row r="5">
      <c r="A5" s="4" t="inlineStr">
        <is>
          <t>WH01</t>
        </is>
      </c>
      <c r="B5" s="4" t="inlineStr">
        <is>
          <t>Gurugram DC</t>
        </is>
      </c>
      <c r="C5" s="4" t="inlineStr">
        <is>
          <t>North</t>
        </is>
      </c>
      <c r="D5" s="11" t="n">
        <v>6983595</v>
      </c>
      <c r="E5" s="11" t="n">
        <v>6979590</v>
      </c>
      <c r="F5" s="11" t="n">
        <v>4005</v>
      </c>
      <c r="G5" s="20" t="n">
        <v>99.94</v>
      </c>
      <c r="H5" s="20" t="n">
        <v>0.16</v>
      </c>
      <c r="I5" s="11" t="n">
        <v>51520500</v>
      </c>
      <c r="J5" s="4" t="n">
        <v>7.93</v>
      </c>
      <c r="K5" s="13" t="n">
        <v>6.7</v>
      </c>
      <c r="L5" s="11" t="n">
        <v>1751269</v>
      </c>
      <c r="M5" s="11" t="n">
        <v>392343</v>
      </c>
      <c r="N5" s="20" t="n">
        <v>71.59999999999999</v>
      </c>
      <c r="O5" s="4" t="n">
        <v>1.81</v>
      </c>
      <c r="P5" s="20" t="n">
        <v>98.7</v>
      </c>
      <c r="Q5" s="20">
        <f>100*L5/L$17</f>
        <v/>
      </c>
    </row>
    <row r="6">
      <c r="A6" s="4" t="inlineStr">
        <is>
          <t>WH02</t>
        </is>
      </c>
      <c r="B6" s="4" t="inlineStr">
        <is>
          <t>Jaipur DC</t>
        </is>
      </c>
      <c r="C6" s="4" t="inlineStr">
        <is>
          <t>North</t>
        </is>
      </c>
      <c r="D6" s="11" t="n">
        <v>3369668</v>
      </c>
      <c r="E6" s="11" t="n">
        <v>3314057</v>
      </c>
      <c r="F6" s="11" t="n">
        <v>55611</v>
      </c>
      <c r="G6" s="20" t="n">
        <v>98.34999999999999</v>
      </c>
      <c r="H6" s="20" t="n">
        <v>3.85</v>
      </c>
      <c r="I6" s="11" t="n">
        <v>12041668</v>
      </c>
      <c r="J6" s="4" t="n">
        <v>15.19</v>
      </c>
      <c r="K6" s="13" t="n">
        <v>4.36</v>
      </c>
      <c r="L6" s="11" t="n">
        <v>13084798</v>
      </c>
      <c r="M6" s="11" t="n">
        <v>2644377</v>
      </c>
      <c r="N6" s="20" t="n">
        <v>72.8</v>
      </c>
      <c r="O6" s="4" t="n">
        <v>1.81</v>
      </c>
      <c r="P6" s="20" t="n">
        <v>98.7</v>
      </c>
      <c r="Q6" s="20">
        <f>100*L6/L$17</f>
        <v/>
      </c>
    </row>
    <row r="7">
      <c r="A7" s="4" t="inlineStr">
        <is>
          <t>WH03</t>
        </is>
      </c>
      <c r="B7" s="4" t="inlineStr">
        <is>
          <t>Lucknow DC</t>
        </is>
      </c>
      <c r="C7" s="4" t="inlineStr">
        <is>
          <t>North</t>
        </is>
      </c>
      <c r="D7" s="11" t="n">
        <v>4010930</v>
      </c>
      <c r="E7" s="11" t="n">
        <v>3935606</v>
      </c>
      <c r="F7" s="11" t="n">
        <v>75324</v>
      </c>
      <c r="G7" s="20" t="n">
        <v>98.12</v>
      </c>
      <c r="H7" s="20" t="n">
        <v>4.01</v>
      </c>
      <c r="I7" s="11" t="n">
        <v>13104455</v>
      </c>
      <c r="J7" s="4" t="n">
        <v>16.64</v>
      </c>
      <c r="K7" s="13" t="n">
        <v>3.96</v>
      </c>
      <c r="L7" s="11" t="n">
        <v>13970652</v>
      </c>
      <c r="M7" s="11" t="n">
        <v>2827624</v>
      </c>
      <c r="N7" s="20" t="n">
        <v>73.2</v>
      </c>
      <c r="O7" s="4" t="n">
        <v>1.62</v>
      </c>
      <c r="P7" s="20" t="n">
        <v>99</v>
      </c>
      <c r="Q7" s="20">
        <f>100*L7/L$17</f>
        <v/>
      </c>
    </row>
    <row r="8">
      <c r="A8" s="4" t="inlineStr">
        <is>
          <t>WH04</t>
        </is>
      </c>
      <c r="B8" s="4" t="inlineStr">
        <is>
          <t>Bhiwandi DC</t>
        </is>
      </c>
      <c r="C8" s="4" t="inlineStr">
        <is>
          <t>West</t>
        </is>
      </c>
      <c r="D8" s="11" t="n">
        <v>10306920</v>
      </c>
      <c r="E8" s="11" t="n">
        <v>10304251</v>
      </c>
      <c r="F8" s="11" t="n">
        <v>2669</v>
      </c>
      <c r="G8" s="20" t="n">
        <v>99.97</v>
      </c>
      <c r="H8" s="20" t="n">
        <v>0.11</v>
      </c>
      <c r="I8" s="11" t="n">
        <v>77653585</v>
      </c>
      <c r="J8" s="4" t="n">
        <v>7.59</v>
      </c>
      <c r="K8" s="13" t="n">
        <v>6.99</v>
      </c>
      <c r="L8" s="11" t="n">
        <v>2524800</v>
      </c>
      <c r="M8" s="11" t="n">
        <v>525714</v>
      </c>
      <c r="N8" s="20" t="n">
        <v>71</v>
      </c>
      <c r="O8" s="4" t="n">
        <v>1.83</v>
      </c>
      <c r="P8" s="20" t="n">
        <v>98.3</v>
      </c>
      <c r="Q8" s="20">
        <f>100*L8/L$17</f>
        <v/>
      </c>
    </row>
    <row r="9">
      <c r="A9" s="4" t="inlineStr">
        <is>
          <t>WH05</t>
        </is>
      </c>
      <c r="B9" s="4" t="inlineStr">
        <is>
          <t>Pune DC</t>
        </is>
      </c>
      <c r="C9" s="4" t="inlineStr">
        <is>
          <t>West</t>
        </is>
      </c>
      <c r="D9" s="11" t="n">
        <v>5224918</v>
      </c>
      <c r="E9" s="11" t="n">
        <v>5168843</v>
      </c>
      <c r="F9" s="11" t="n">
        <v>56075</v>
      </c>
      <c r="G9" s="20" t="n">
        <v>98.93000000000001</v>
      </c>
      <c r="H9" s="20" t="n">
        <v>2.72</v>
      </c>
      <c r="I9" s="11" t="n">
        <v>18559718</v>
      </c>
      <c r="J9" s="4" t="n">
        <v>16.01</v>
      </c>
      <c r="K9" s="13" t="n">
        <v>3.69</v>
      </c>
      <c r="L9" s="11" t="n">
        <v>11815857</v>
      </c>
      <c r="M9" s="11" t="n">
        <v>2311615</v>
      </c>
      <c r="N9" s="20" t="n">
        <v>72.3</v>
      </c>
      <c r="O9" s="4" t="n">
        <v>1.71</v>
      </c>
      <c r="P9" s="20" t="n">
        <v>98.8</v>
      </c>
      <c r="Q9" s="20">
        <f>100*L9/L$17</f>
        <v/>
      </c>
    </row>
    <row r="10">
      <c r="A10" s="4" t="inlineStr">
        <is>
          <t>WH06</t>
        </is>
      </c>
      <c r="B10" s="4" t="inlineStr">
        <is>
          <t>Ahmedabad DC</t>
        </is>
      </c>
      <c r="C10" s="4" t="inlineStr">
        <is>
          <t>West</t>
        </is>
      </c>
      <c r="D10" s="11" t="n">
        <v>5798562</v>
      </c>
      <c r="E10" s="11" t="n">
        <v>5677080</v>
      </c>
      <c r="F10" s="11" t="n">
        <v>121482</v>
      </c>
      <c r="G10" s="20" t="n">
        <v>97.90000000000001</v>
      </c>
      <c r="H10" s="20" t="n">
        <v>4.6</v>
      </c>
      <c r="I10" s="11" t="n">
        <v>17238670</v>
      </c>
      <c r="J10" s="4" t="n">
        <v>18.93</v>
      </c>
      <c r="K10" s="13" t="n">
        <v>3.08</v>
      </c>
      <c r="L10" s="11" t="n">
        <v>33955993</v>
      </c>
      <c r="M10" s="11" t="n">
        <v>7298254</v>
      </c>
      <c r="N10" s="20" t="n">
        <v>70.8</v>
      </c>
      <c r="O10" s="4" t="n">
        <v>1.74</v>
      </c>
      <c r="P10" s="20" t="n">
        <v>98.5</v>
      </c>
      <c r="Q10" s="20">
        <f>100*L10/L$17</f>
        <v/>
      </c>
    </row>
    <row r="11">
      <c r="A11" s="4" t="inlineStr">
        <is>
          <t>WH07</t>
        </is>
      </c>
      <c r="B11" s="4" t="inlineStr">
        <is>
          <t>Bengaluru DC</t>
        </is>
      </c>
      <c r="C11" s="4" t="inlineStr">
        <is>
          <t>South</t>
        </is>
      </c>
      <c r="D11" s="11" t="n">
        <v>8272515</v>
      </c>
      <c r="E11" s="11" t="n">
        <v>8126793</v>
      </c>
      <c r="F11" s="11" t="n">
        <v>145722</v>
      </c>
      <c r="G11" s="20" t="n">
        <v>98.23999999999999</v>
      </c>
      <c r="H11" s="20" t="n">
        <v>4.41</v>
      </c>
      <c r="I11" s="11" t="n">
        <v>23647871</v>
      </c>
      <c r="J11" s="4" t="n">
        <v>18.59</v>
      </c>
      <c r="K11" s="13" t="n">
        <v>2.91</v>
      </c>
      <c r="L11" s="11" t="n">
        <v>30057884</v>
      </c>
      <c r="M11" s="11" t="n">
        <v>5857465</v>
      </c>
      <c r="N11" s="20" t="n">
        <v>73.5</v>
      </c>
      <c r="O11" s="4" t="n">
        <v>1.66</v>
      </c>
      <c r="P11" s="20" t="n">
        <v>98.7</v>
      </c>
      <c r="Q11" s="20">
        <f>100*L11/L$17</f>
        <v/>
      </c>
    </row>
    <row r="12">
      <c r="A12" s="4" t="inlineStr">
        <is>
          <t>WH08</t>
        </is>
      </c>
      <c r="B12" s="4" t="inlineStr">
        <is>
          <t>Chennai DC</t>
        </is>
      </c>
      <c r="C12" s="4" t="inlineStr">
        <is>
          <t>South</t>
        </is>
      </c>
      <c r="D12" s="11" t="n">
        <v>6876535</v>
      </c>
      <c r="E12" s="11" t="n">
        <v>6129663</v>
      </c>
      <c r="F12" s="11" t="n">
        <v>746872</v>
      </c>
      <c r="G12" s="20" t="n">
        <v>89.14</v>
      </c>
      <c r="H12" s="20" t="n">
        <v>21.19</v>
      </c>
      <c r="I12" s="11" t="n">
        <v>9005020</v>
      </c>
      <c r="J12" s="4" t="n">
        <v>36.17</v>
      </c>
      <c r="K12" s="13" t="n">
        <v>1.57</v>
      </c>
      <c r="L12" s="11" t="n">
        <v>143947020</v>
      </c>
      <c r="M12" s="11" t="n">
        <v>28469474</v>
      </c>
      <c r="N12" s="20" t="n">
        <v>71.09999999999999</v>
      </c>
      <c r="O12" s="4" t="n">
        <v>1.69</v>
      </c>
      <c r="P12" s="20" t="n">
        <v>98.59999999999999</v>
      </c>
      <c r="Q12" s="20">
        <f>100*L12/L$17</f>
        <v/>
      </c>
    </row>
    <row r="13">
      <c r="A13" s="4" t="inlineStr">
        <is>
          <t>WH09</t>
        </is>
      </c>
      <c r="B13" s="4" t="inlineStr">
        <is>
          <t>Hyderabad DC</t>
        </is>
      </c>
      <c r="C13" s="4" t="inlineStr">
        <is>
          <t>South</t>
        </is>
      </c>
      <c r="D13" s="11" t="n">
        <v>6973111</v>
      </c>
      <c r="E13" s="11" t="n">
        <v>6836275</v>
      </c>
      <c r="F13" s="11" t="n">
        <v>136836</v>
      </c>
      <c r="G13" s="20" t="n">
        <v>98.04000000000001</v>
      </c>
      <c r="H13" s="20" t="n">
        <v>4.45</v>
      </c>
      <c r="I13" s="11" t="n">
        <v>20624781</v>
      </c>
      <c r="J13" s="4" t="n">
        <v>18.07</v>
      </c>
      <c r="K13" s="13" t="n">
        <v>3.06</v>
      </c>
      <c r="L13" s="11" t="n">
        <v>30561561</v>
      </c>
      <c r="M13" s="11" t="n">
        <v>6381833</v>
      </c>
      <c r="N13" s="20" t="n">
        <v>72.59999999999999</v>
      </c>
      <c r="O13" s="4" t="n">
        <v>1.73</v>
      </c>
      <c r="P13" s="20" t="n">
        <v>98.5</v>
      </c>
      <c r="Q13" s="20">
        <f>100*L13/L$17</f>
        <v/>
      </c>
    </row>
    <row r="14">
      <c r="A14" s="4" t="inlineStr">
        <is>
          <t>WH10</t>
        </is>
      </c>
      <c r="B14" s="4" t="inlineStr">
        <is>
          <t>Kolkata DC</t>
        </is>
      </c>
      <c r="C14" s="4" t="inlineStr">
        <is>
          <t>East</t>
        </is>
      </c>
      <c r="D14" s="11" t="n">
        <v>6535161</v>
      </c>
      <c r="E14" s="11" t="n">
        <v>6323411</v>
      </c>
      <c r="F14" s="11" t="n">
        <v>211750</v>
      </c>
      <c r="G14" s="20" t="n">
        <v>96.76000000000001</v>
      </c>
      <c r="H14" s="20" t="n">
        <v>7.4</v>
      </c>
      <c r="I14" s="11" t="n">
        <v>16346237</v>
      </c>
      <c r="J14" s="4" t="n">
        <v>21.18</v>
      </c>
      <c r="K14" s="13" t="n">
        <v>2.54</v>
      </c>
      <c r="L14" s="11" t="n">
        <v>41054717</v>
      </c>
      <c r="M14" s="11" t="n">
        <v>8190307</v>
      </c>
      <c r="N14" s="20" t="n">
        <v>70.40000000000001</v>
      </c>
      <c r="O14" s="4" t="n">
        <v>1.81</v>
      </c>
      <c r="P14" s="20" t="n">
        <v>98.5</v>
      </c>
      <c r="Q14" s="20">
        <f>100*L14/L$17</f>
        <v/>
      </c>
    </row>
    <row r="15">
      <c r="A15" s="4" t="inlineStr">
        <is>
          <t>WH11</t>
        </is>
      </c>
      <c r="B15" s="4" t="inlineStr">
        <is>
          <t>Guwahati DC</t>
        </is>
      </c>
      <c r="C15" s="4" t="inlineStr">
        <is>
          <t>East</t>
        </is>
      </c>
      <c r="D15" s="11" t="n">
        <v>2676879</v>
      </c>
      <c r="E15" s="11" t="n">
        <v>2351965</v>
      </c>
      <c r="F15" s="11" t="n">
        <v>324914</v>
      </c>
      <c r="G15" s="20" t="n">
        <v>87.86</v>
      </c>
      <c r="H15" s="20" t="n">
        <v>17.08</v>
      </c>
      <c r="I15" s="11" t="n">
        <v>7128069</v>
      </c>
      <c r="J15" s="4" t="n">
        <v>18.56</v>
      </c>
      <c r="K15" s="13" t="n">
        <v>4.03</v>
      </c>
      <c r="L15" s="11" t="n">
        <v>59130340</v>
      </c>
      <c r="M15" s="11" t="n">
        <v>11553298</v>
      </c>
      <c r="N15" s="20" t="n">
        <v>62.3</v>
      </c>
      <c r="O15" s="4" t="n">
        <v>2.32</v>
      </c>
      <c r="P15" s="20" t="n">
        <v>98.90000000000001</v>
      </c>
      <c r="Q15" s="20">
        <f>100*L15/L$17</f>
        <v/>
      </c>
    </row>
    <row r="16">
      <c r="A16" s="4" t="inlineStr">
        <is>
          <t>WH12</t>
        </is>
      </c>
      <c r="B16" s="4" t="inlineStr">
        <is>
          <t>Nagpur DC</t>
        </is>
      </c>
      <c r="C16" s="4" t="inlineStr">
        <is>
          <t>Central</t>
        </is>
      </c>
      <c r="D16" s="11" t="n">
        <v>3198410</v>
      </c>
      <c r="E16" s="11" t="n">
        <v>3149001</v>
      </c>
      <c r="F16" s="11" t="n">
        <v>49409</v>
      </c>
      <c r="G16" s="20" t="n">
        <v>98.45999999999999</v>
      </c>
      <c r="H16" s="20" t="n">
        <v>3.57</v>
      </c>
      <c r="I16" s="11" t="n">
        <v>11411256</v>
      </c>
      <c r="J16" s="4" t="n">
        <v>15.89</v>
      </c>
      <c r="K16" s="13" t="n">
        <v>4.3</v>
      </c>
      <c r="L16" s="11" t="n">
        <v>14213493</v>
      </c>
      <c r="M16" s="11" t="n">
        <v>2770377</v>
      </c>
      <c r="N16" s="20" t="n">
        <v>72.90000000000001</v>
      </c>
      <c r="O16" s="4" t="n">
        <v>1.65</v>
      </c>
      <c r="P16" s="20" t="n">
        <v>98.5</v>
      </c>
      <c r="Q16" s="20">
        <f>100*L16/L$17</f>
        <v/>
      </c>
    </row>
    <row r="17">
      <c r="A17" s="14" t="inlineStr">
        <is>
          <t>NETWORK</t>
        </is>
      </c>
      <c r="B17" s="15" t="n"/>
      <c r="C17" s="15" t="n"/>
      <c r="D17" s="16">
        <f>SUM(D5:D16)</f>
        <v/>
      </c>
      <c r="E17" s="16">
        <f>SUM(E5:E16)</f>
        <v/>
      </c>
      <c r="F17" s="16">
        <f>SUM(F5:F16)</f>
        <v/>
      </c>
      <c r="G17" s="21">
        <f>100*E17/D17</f>
        <v/>
      </c>
      <c r="H17" s="15" t="n"/>
      <c r="I17" s="16">
        <f>SUM(I5:I16)</f>
        <v/>
      </c>
      <c r="J17" s="15" t="n"/>
      <c r="K17" s="15" t="n"/>
      <c r="L17" s="16">
        <f>SUM(L5:L16)</f>
        <v/>
      </c>
      <c r="M17" s="16">
        <f>SUM(M5:M16)</f>
        <v/>
      </c>
      <c r="N17" s="15" t="n"/>
      <c r="O17" s="15" t="n"/>
      <c r="P17" s="15" t="n"/>
    </row>
  </sheetData>
  <autoFilter ref="A4:P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.9" customWidth="1" min="1" max="1"/>
    <col width="27" customWidth="1" min="2" max="2"/>
    <col width="25" customWidth="1" min="3" max="3"/>
    <col width="13.7" customWidth="1" min="4" max="4"/>
    <col width="11" customWidth="1" min="5" max="5"/>
    <col width="12.8" customWidth="1" min="6" max="6"/>
    <col width="11.9" customWidth="1" min="7" max="7"/>
    <col width="19.1" customWidth="1" min="8" max="8"/>
    <col width="22.7" customWidth="1" min="9" max="9"/>
    <col width="12.8" customWidth="1" min="10" max="10"/>
    <col width="11" customWidth="1" min="11" max="11"/>
    <col width="16.4" customWidth="1" min="12" max="12"/>
    <col width="21.8" customWidth="1" min="13" max="13"/>
    <col width="18.2" customWidth="1" min="14" max="14"/>
  </cols>
  <sheetData>
    <row r="1">
      <c r="A1" s="1" t="inlineStr">
        <is>
          <t>Supplier scorecard</t>
        </is>
      </c>
    </row>
    <row r="2">
      <c r="A2" s="2" t="inlineStr">
        <is>
          <t>Source: vw_supplier_scorecard (sorted worst on-time first). Red = on-time below 60%.</t>
        </is>
      </c>
    </row>
    <row r="4" ht="30" customHeight="1">
      <c r="A4" s="18" t="inlineStr">
        <is>
          <t>supplier_id</t>
        </is>
      </c>
      <c r="B4" s="18" t="inlineStr">
        <is>
          <t>supplier_name</t>
        </is>
      </c>
      <c r="C4" s="18" t="inlineStr">
        <is>
          <t>category</t>
        </is>
      </c>
      <c r="D4" s="18" t="inlineStr">
        <is>
          <t>supplier_tier</t>
        </is>
      </c>
      <c r="E4" s="18" t="inlineStr">
        <is>
          <t>po_count</t>
        </is>
      </c>
      <c r="F4" s="18" t="inlineStr">
        <is>
          <t>received_pos</t>
        </is>
      </c>
      <c r="G4" s="18" t="inlineStr">
        <is>
          <t>on_time_pct</t>
        </is>
      </c>
      <c r="H4" s="18" t="inlineStr">
        <is>
          <t>avg_days_vs_promise</t>
        </is>
      </c>
      <c r="I4" s="18" t="inlineStr">
        <is>
          <t>avg_days_late_when_late</t>
        </is>
      </c>
      <c r="J4" s="18" t="inlineStr">
        <is>
          <t>qty_fill_pct</t>
        </is>
      </c>
      <c r="K4" s="18" t="inlineStr">
        <is>
          <t>open_pos</t>
        </is>
      </c>
      <c r="L4" s="18" t="inlineStr">
        <is>
          <t>overdue_open_pos</t>
        </is>
      </c>
      <c r="M4" s="18" t="inlineStr">
        <is>
          <t>overdue_open_value_inr</t>
        </is>
      </c>
      <c r="N4" s="18" t="inlineStr">
        <is>
          <t>total_po_value_inr</t>
        </is>
      </c>
    </row>
    <row r="5">
      <c r="A5" s="4" t="inlineStr">
        <is>
          <t>SUP17</t>
        </is>
      </c>
      <c r="B5" s="4" t="inlineStr">
        <is>
          <t>ConnectPro Gadgets</t>
        </is>
      </c>
      <c r="C5" s="4" t="inlineStr">
        <is>
          <t>Electronics Accessories</t>
        </is>
      </c>
      <c r="D5" s="4" t="inlineStr">
        <is>
          <t>Tier 3</t>
        </is>
      </c>
      <c r="E5" s="4" t="n">
        <v>1145</v>
      </c>
      <c r="F5" s="4" t="n">
        <v>1099</v>
      </c>
      <c r="G5" s="20" t="n">
        <v>38.4</v>
      </c>
      <c r="H5" s="13" t="n">
        <v>5.98</v>
      </c>
      <c r="I5" s="13" t="n">
        <v>9.710000000000001</v>
      </c>
      <c r="J5" s="20" t="n">
        <v>96.59999999999999</v>
      </c>
      <c r="K5" s="4" t="n">
        <v>46</v>
      </c>
      <c r="L5" s="4" t="n">
        <v>19</v>
      </c>
      <c r="M5" s="11" t="n">
        <v>9027725</v>
      </c>
      <c r="N5" s="11" t="n">
        <v>651142557</v>
      </c>
    </row>
    <row r="6">
      <c r="A6" s="4" t="inlineStr">
        <is>
          <t>SUP03</t>
        </is>
      </c>
      <c r="B6" s="4" t="inlineStr">
        <is>
          <t>Kisan Mill Traders</t>
        </is>
      </c>
      <c r="C6" s="4" t="inlineStr">
        <is>
          <t>Packaged Staples</t>
        </is>
      </c>
      <c r="D6" s="4" t="inlineStr">
        <is>
          <t>Tier 3</t>
        </is>
      </c>
      <c r="E6" s="4" t="n">
        <v>1138</v>
      </c>
      <c r="F6" s="4" t="n">
        <v>1114</v>
      </c>
      <c r="G6" s="20" t="n">
        <v>44.5</v>
      </c>
      <c r="H6" s="13" t="n">
        <v>4.38</v>
      </c>
      <c r="I6" s="13" t="n">
        <v>7.89</v>
      </c>
      <c r="J6" s="20" t="n">
        <v>97.40000000000001</v>
      </c>
      <c r="K6" s="4" t="n">
        <v>24</v>
      </c>
      <c r="L6" s="4" t="n">
        <v>12</v>
      </c>
      <c r="M6" s="11" t="n">
        <v>6188270</v>
      </c>
      <c r="N6" s="11" t="n">
        <v>404712883</v>
      </c>
    </row>
    <row r="7">
      <c r="A7" s="4" t="inlineStr">
        <is>
          <t>SUP12</t>
        </is>
      </c>
      <c r="B7" s="4" t="inlineStr">
        <is>
          <t>PureSkin Personal Care</t>
        </is>
      </c>
      <c r="C7" s="4" t="inlineStr">
        <is>
          <t>Personal Care</t>
        </is>
      </c>
      <c r="D7" s="4" t="inlineStr">
        <is>
          <t>Tier 3</t>
        </is>
      </c>
      <c r="E7" s="4" t="n">
        <v>2123</v>
      </c>
      <c r="F7" s="4" t="n">
        <v>2073</v>
      </c>
      <c r="G7" s="20" t="n">
        <v>47.8</v>
      </c>
      <c r="H7" s="13" t="n">
        <v>4.71</v>
      </c>
      <c r="I7" s="13" t="n">
        <v>9.02</v>
      </c>
      <c r="J7" s="20" t="n">
        <v>97.3</v>
      </c>
      <c r="K7" s="4" t="n">
        <v>50</v>
      </c>
      <c r="L7" s="4" t="n">
        <v>22</v>
      </c>
      <c r="M7" s="11" t="n">
        <v>3569159</v>
      </c>
      <c r="N7" s="11" t="n">
        <v>322801595</v>
      </c>
    </row>
    <row r="8">
      <c r="A8" s="4" t="inlineStr">
        <is>
          <t>SUP22</t>
        </is>
      </c>
      <c r="B8" s="4" t="inlineStr">
        <is>
          <t>SafeShip Packaging</t>
        </is>
      </c>
      <c r="C8" s="4" t="inlineStr">
        <is>
          <t>Packaging &amp; Supplies</t>
        </is>
      </c>
      <c r="D8" s="4" t="inlineStr">
        <is>
          <t>Tier 3</t>
        </is>
      </c>
      <c r="E8" s="4" t="n">
        <v>2178</v>
      </c>
      <c r="F8" s="4" t="n">
        <v>2105</v>
      </c>
      <c r="G8" s="20" t="n">
        <v>50</v>
      </c>
      <c r="H8" s="13" t="n">
        <v>3.8</v>
      </c>
      <c r="I8" s="13" t="n">
        <v>7.6</v>
      </c>
      <c r="J8" s="20" t="n">
        <v>97.3</v>
      </c>
      <c r="K8" s="4" t="n">
        <v>73</v>
      </c>
      <c r="L8" s="4" t="n">
        <v>21</v>
      </c>
      <c r="M8" s="11" t="n">
        <v>3647099</v>
      </c>
      <c r="N8" s="11" t="n">
        <v>325429969</v>
      </c>
    </row>
    <row r="9">
      <c r="A9" s="4" t="inlineStr">
        <is>
          <t>SUP20</t>
        </is>
      </c>
      <c r="B9" s="4" t="inlineStr">
        <is>
          <t>WellSpring OTC Pvt Ltd</t>
        </is>
      </c>
      <c r="C9" s="4" t="inlineStr">
        <is>
          <t>OTC Pharma &amp; Wellness</t>
        </is>
      </c>
      <c r="D9" s="4" t="inlineStr">
        <is>
          <t>Tier 2</t>
        </is>
      </c>
      <c r="E9" s="4" t="n">
        <v>1281</v>
      </c>
      <c r="F9" s="4" t="n">
        <v>1257</v>
      </c>
      <c r="G9" s="20" t="n">
        <v>64.3</v>
      </c>
      <c r="H9" s="13" t="n">
        <v>2.04</v>
      </c>
      <c r="I9" s="13" t="n">
        <v>5.71</v>
      </c>
      <c r="J9" s="20" t="n">
        <v>98.2</v>
      </c>
      <c r="K9" s="4" t="n">
        <v>24</v>
      </c>
      <c r="L9" s="4" t="n">
        <v>0</v>
      </c>
      <c r="M9" s="11" t="n">
        <v>0</v>
      </c>
      <c r="N9" s="11" t="n">
        <v>109068053</v>
      </c>
    </row>
    <row r="10">
      <c r="A10" s="4" t="inlineStr">
        <is>
          <t>SUP15</t>
        </is>
      </c>
      <c r="B10" s="4" t="inlineStr">
        <is>
          <t>TechNest Accessories</t>
        </is>
      </c>
      <c r="C10" s="4" t="inlineStr">
        <is>
          <t>Electronics Accessories</t>
        </is>
      </c>
      <c r="D10" s="4" t="inlineStr">
        <is>
          <t>Tier 2</t>
        </is>
      </c>
      <c r="E10" s="4" t="n">
        <v>466</v>
      </c>
      <c r="F10" s="4" t="n">
        <v>451</v>
      </c>
      <c r="G10" s="20" t="n">
        <v>67.8</v>
      </c>
      <c r="H10" s="13" t="n">
        <v>1.88</v>
      </c>
      <c r="I10" s="13" t="n">
        <v>5.84</v>
      </c>
      <c r="J10" s="20" t="n">
        <v>97.90000000000001</v>
      </c>
      <c r="K10" s="4" t="n">
        <v>15</v>
      </c>
      <c r="L10" s="4" t="n">
        <v>0</v>
      </c>
      <c r="M10" s="11" t="n">
        <v>0</v>
      </c>
      <c r="N10" s="11" t="n">
        <v>410859259</v>
      </c>
    </row>
    <row r="11">
      <c r="A11" s="4" t="inlineStr">
        <is>
          <t>SUP06</t>
        </is>
      </c>
      <c r="B11" s="4" t="inlineStr">
        <is>
          <t>Sunrise Fruit Drinks</t>
        </is>
      </c>
      <c r="C11" s="4" t="inlineStr">
        <is>
          <t>Beverages</t>
        </is>
      </c>
      <c r="D11" s="4" t="inlineStr">
        <is>
          <t>Tier 2</t>
        </is>
      </c>
      <c r="E11" s="4" t="n">
        <v>1686</v>
      </c>
      <c r="F11" s="4" t="n">
        <v>1667</v>
      </c>
      <c r="G11" s="20" t="n">
        <v>68</v>
      </c>
      <c r="H11" s="13" t="n">
        <v>1.6</v>
      </c>
      <c r="I11" s="13" t="n">
        <v>5.01</v>
      </c>
      <c r="J11" s="20" t="n">
        <v>98.40000000000001</v>
      </c>
      <c r="K11" s="4" t="n">
        <v>19</v>
      </c>
      <c r="L11" s="4" t="n">
        <v>3</v>
      </c>
      <c r="M11" s="11" t="n">
        <v>1147739</v>
      </c>
      <c r="N11" s="11" t="n">
        <v>540267204</v>
      </c>
    </row>
    <row r="12">
      <c r="A12" s="4" t="inlineStr">
        <is>
          <t>SUP11</t>
        </is>
      </c>
      <c r="B12" s="4" t="inlineStr">
        <is>
          <t>Ayur Beauty Labs</t>
        </is>
      </c>
      <c r="C12" s="4" t="inlineStr">
        <is>
          <t>Personal Care</t>
        </is>
      </c>
      <c r="D12" s="4" t="inlineStr">
        <is>
          <t>Tier 2</t>
        </is>
      </c>
      <c r="E12" s="4" t="n">
        <v>1013</v>
      </c>
      <c r="F12" s="4" t="n">
        <v>994</v>
      </c>
      <c r="G12" s="20" t="n">
        <v>71.40000000000001</v>
      </c>
      <c r="H12" s="13" t="n">
        <v>1.54</v>
      </c>
      <c r="I12" s="13" t="n">
        <v>5.4</v>
      </c>
      <c r="J12" s="20" t="n">
        <v>98.2</v>
      </c>
      <c r="K12" s="4" t="n">
        <v>19</v>
      </c>
      <c r="L12" s="4" t="n">
        <v>1</v>
      </c>
      <c r="M12" s="11" t="n">
        <v>36336</v>
      </c>
      <c r="N12" s="11" t="n">
        <v>275332372</v>
      </c>
    </row>
    <row r="13">
      <c r="A13" s="4" t="inlineStr">
        <is>
          <t>SUP19</t>
        </is>
      </c>
      <c r="B13" s="4" t="inlineStr">
        <is>
          <t>MediTrust Healthcare</t>
        </is>
      </c>
      <c r="C13" s="4" t="inlineStr">
        <is>
          <t>OTC Pharma &amp; Wellness</t>
        </is>
      </c>
      <c r="D13" s="4" t="inlineStr">
        <is>
          <t>Tier 2</t>
        </is>
      </c>
      <c r="E13" s="4" t="n">
        <v>1293</v>
      </c>
      <c r="F13" s="4" t="n">
        <v>1255</v>
      </c>
      <c r="G13" s="20" t="n">
        <v>72.7</v>
      </c>
      <c r="H13" s="13" t="n">
        <v>1.37</v>
      </c>
      <c r="I13" s="13" t="n">
        <v>5.04</v>
      </c>
      <c r="J13" s="20" t="n">
        <v>98.90000000000001</v>
      </c>
      <c r="K13" s="4" t="n">
        <v>38</v>
      </c>
      <c r="L13" s="4" t="n">
        <v>2</v>
      </c>
      <c r="M13" s="11" t="n">
        <v>160008</v>
      </c>
      <c r="N13" s="11" t="n">
        <v>163033781</v>
      </c>
    </row>
    <row r="14">
      <c r="A14" s="4" t="inlineStr">
        <is>
          <t>SUP08</t>
        </is>
      </c>
      <c r="B14" s="4" t="inlineStr">
        <is>
          <t>Mithaiwala Confectionery</t>
        </is>
      </c>
      <c r="C14" s="4" t="inlineStr">
        <is>
          <t>Snacks &amp; Confectionery</t>
        </is>
      </c>
      <c r="D14" s="4" t="inlineStr">
        <is>
          <t>Tier 2</t>
        </is>
      </c>
      <c r="E14" s="4" t="n">
        <v>1605</v>
      </c>
      <c r="F14" s="4" t="n">
        <v>1587</v>
      </c>
      <c r="G14" s="20" t="n">
        <v>73</v>
      </c>
      <c r="H14" s="13" t="n">
        <v>1.32</v>
      </c>
      <c r="I14" s="13" t="n">
        <v>4.9</v>
      </c>
      <c r="J14" s="20" t="n">
        <v>98.59999999999999</v>
      </c>
      <c r="K14" s="4" t="n">
        <v>18</v>
      </c>
      <c r="L14" s="4" t="n">
        <v>4</v>
      </c>
      <c r="M14" s="11" t="n">
        <v>617854</v>
      </c>
      <c r="N14" s="11" t="n">
        <v>264169335</v>
      </c>
    </row>
    <row r="15">
      <c r="A15" s="4" t="inlineStr">
        <is>
          <t>SUP05</t>
        </is>
      </c>
      <c r="B15" s="4" t="inlineStr">
        <is>
          <t>Himalayan Spring Bottlers</t>
        </is>
      </c>
      <c r="C15" s="4" t="inlineStr">
        <is>
          <t>Beverages</t>
        </is>
      </c>
      <c r="D15" s="4" t="inlineStr">
        <is>
          <t>Tier 2</t>
        </is>
      </c>
      <c r="E15" s="4" t="n">
        <v>1008</v>
      </c>
      <c r="F15" s="4" t="n">
        <v>992</v>
      </c>
      <c r="G15" s="20" t="n">
        <v>75.5</v>
      </c>
      <c r="H15" s="13" t="n">
        <v>1.11</v>
      </c>
      <c r="I15" s="13" t="n">
        <v>4.53</v>
      </c>
      <c r="J15" s="20" t="n">
        <v>99</v>
      </c>
      <c r="K15" s="4" t="n">
        <v>16</v>
      </c>
      <c r="L15" s="4" t="n">
        <v>1</v>
      </c>
      <c r="M15" s="11" t="n">
        <v>52129</v>
      </c>
      <c r="N15" s="11" t="n">
        <v>140296566</v>
      </c>
    </row>
    <row r="16">
      <c r="A16" s="4" t="inlineStr">
        <is>
          <t>SUP02</t>
        </is>
      </c>
      <c r="B16" s="4" t="inlineStr">
        <is>
          <t>Annapurna Staples Pvt Ltd</t>
        </is>
      </c>
      <c r="C16" s="4" t="inlineStr">
        <is>
          <t>Packaged Staples</t>
        </is>
      </c>
      <c r="D16" s="4" t="inlineStr">
        <is>
          <t>Tier 2</t>
        </is>
      </c>
      <c r="E16" s="4" t="n">
        <v>1930</v>
      </c>
      <c r="F16" s="4" t="n">
        <v>1897</v>
      </c>
      <c r="G16" s="20" t="n">
        <v>76.2</v>
      </c>
      <c r="H16" s="13" t="n">
        <v>1.17</v>
      </c>
      <c r="I16" s="13" t="n">
        <v>4.89</v>
      </c>
      <c r="J16" s="20" t="n">
        <v>98.59999999999999</v>
      </c>
      <c r="K16" s="4" t="n">
        <v>33</v>
      </c>
      <c r="L16" s="4" t="n">
        <v>7</v>
      </c>
      <c r="M16" s="11" t="n">
        <v>4175890</v>
      </c>
      <c r="N16" s="11" t="n">
        <v>646676807</v>
      </c>
    </row>
    <row r="17">
      <c r="A17" s="4" t="inlineStr">
        <is>
          <t>SUP16</t>
        </is>
      </c>
      <c r="B17" s="4" t="inlineStr">
        <is>
          <t>VoltEdge Electronics</t>
        </is>
      </c>
      <c r="C17" s="4" t="inlineStr">
        <is>
          <t>Electronics Accessories</t>
        </is>
      </c>
      <c r="D17" s="4" t="inlineStr">
        <is>
          <t>Tier 1</t>
        </is>
      </c>
      <c r="E17" s="4" t="n">
        <v>1826</v>
      </c>
      <c r="F17" s="4" t="n">
        <v>1758</v>
      </c>
      <c r="G17" s="20" t="n">
        <v>77.3</v>
      </c>
      <c r="H17" s="13" t="n">
        <v>1.13</v>
      </c>
      <c r="I17" s="13" t="n">
        <v>4.99</v>
      </c>
      <c r="J17" s="20" t="n">
        <v>98.8</v>
      </c>
      <c r="K17" s="4" t="n">
        <v>68</v>
      </c>
      <c r="L17" s="4" t="n">
        <v>4</v>
      </c>
      <c r="M17" s="11" t="n">
        <v>3197622</v>
      </c>
      <c r="N17" s="11" t="n">
        <v>838403055</v>
      </c>
    </row>
    <row r="18">
      <c r="A18" s="4" t="inlineStr">
        <is>
          <t>SUP14</t>
        </is>
      </c>
      <c r="B18" s="4" t="inlineStr">
        <is>
          <t>Sparkle Household Ltd</t>
        </is>
      </c>
      <c r="C18" s="4" t="inlineStr">
        <is>
          <t>Home Care</t>
        </is>
      </c>
      <c r="D18" s="4" t="inlineStr">
        <is>
          <t>Tier 2</t>
        </is>
      </c>
      <c r="E18" s="4" t="n">
        <v>1958</v>
      </c>
      <c r="F18" s="4" t="n">
        <v>1923</v>
      </c>
      <c r="G18" s="20" t="n">
        <v>77.59999999999999</v>
      </c>
      <c r="H18" s="13" t="n">
        <v>1.05</v>
      </c>
      <c r="I18" s="13" t="n">
        <v>4.67</v>
      </c>
      <c r="J18" s="20" t="n">
        <v>98.8</v>
      </c>
      <c r="K18" s="4" t="n">
        <v>35</v>
      </c>
      <c r="L18" s="4" t="n">
        <v>2</v>
      </c>
      <c r="M18" s="11" t="n">
        <v>198863</v>
      </c>
      <c r="N18" s="11" t="n">
        <v>358341548</v>
      </c>
    </row>
    <row r="19">
      <c r="A19" s="4" t="inlineStr">
        <is>
          <t>SUP21</t>
        </is>
      </c>
      <c r="B19" s="4" t="inlineStr">
        <is>
          <t>PackWell Industries</t>
        </is>
      </c>
      <c r="C19" s="4" t="inlineStr">
        <is>
          <t>Packaging &amp; Supplies</t>
        </is>
      </c>
      <c r="D19" s="4" t="inlineStr">
        <is>
          <t>Tier 2</t>
        </is>
      </c>
      <c r="E19" s="4" t="n">
        <v>1944</v>
      </c>
      <c r="F19" s="4" t="n">
        <v>1894</v>
      </c>
      <c r="G19" s="20" t="n">
        <v>79.09999999999999</v>
      </c>
      <c r="H19" s="13" t="n">
        <v>0.91</v>
      </c>
      <c r="I19" s="13" t="n">
        <v>4.37</v>
      </c>
      <c r="J19" s="20" t="n">
        <v>98.90000000000001</v>
      </c>
      <c r="K19" s="4" t="n">
        <v>50</v>
      </c>
      <c r="L19" s="4" t="n">
        <v>2</v>
      </c>
      <c r="M19" s="11" t="n">
        <v>664291</v>
      </c>
      <c r="N19" s="11" t="n">
        <v>321058562</v>
      </c>
    </row>
    <row r="20">
      <c r="A20" s="4" t="inlineStr">
        <is>
          <t>SUP09</t>
        </is>
      </c>
      <c r="B20" s="4" t="inlineStr">
        <is>
          <t>Namkeen Nation Pvt Ltd</t>
        </is>
      </c>
      <c r="C20" s="4" t="inlineStr">
        <is>
          <t>Snacks &amp; Confectionery</t>
        </is>
      </c>
      <c r="D20" s="4" t="inlineStr">
        <is>
          <t>Tier 1</t>
        </is>
      </c>
      <c r="E20" s="4" t="n">
        <v>584</v>
      </c>
      <c r="F20" s="4" t="n">
        <v>579</v>
      </c>
      <c r="G20" s="20" t="n">
        <v>81.90000000000001</v>
      </c>
      <c r="H20" s="13" t="n">
        <v>0.71</v>
      </c>
      <c r="I20" s="13" t="n">
        <v>3.92</v>
      </c>
      <c r="J20" s="20" t="n">
        <v>98.5</v>
      </c>
      <c r="K20" s="4" t="n">
        <v>5</v>
      </c>
      <c r="L20" s="4" t="n">
        <v>2</v>
      </c>
      <c r="M20" s="11" t="n">
        <v>390859</v>
      </c>
      <c r="N20" s="11" t="n">
        <v>128934830</v>
      </c>
    </row>
    <row r="21">
      <c r="A21" s="4" t="inlineStr">
        <is>
          <t>SUP13</t>
        </is>
      </c>
      <c r="B21" s="4" t="inlineStr">
        <is>
          <t>CleanSwift Home Products</t>
        </is>
      </c>
      <c r="C21" s="4" t="inlineStr">
        <is>
          <t>Home Care</t>
        </is>
      </c>
      <c r="D21" s="4" t="inlineStr">
        <is>
          <t>Tier 1</t>
        </is>
      </c>
      <c r="E21" s="4" t="n">
        <v>2216</v>
      </c>
      <c r="F21" s="4" t="n">
        <v>2189</v>
      </c>
      <c r="G21" s="20" t="n">
        <v>83.7</v>
      </c>
      <c r="H21" s="13" t="n">
        <v>0.63</v>
      </c>
      <c r="I21" s="13" t="n">
        <v>3.87</v>
      </c>
      <c r="J21" s="20" t="n">
        <v>99</v>
      </c>
      <c r="K21" s="4" t="n">
        <v>27</v>
      </c>
      <c r="L21" s="4" t="n">
        <v>2</v>
      </c>
      <c r="M21" s="11" t="n">
        <v>221515</v>
      </c>
      <c r="N21" s="11" t="n">
        <v>362294958</v>
      </c>
    </row>
    <row r="22">
      <c r="A22" s="4" t="inlineStr">
        <is>
          <t>SUP07</t>
        </is>
      </c>
      <c r="B22" s="4" t="inlineStr">
        <is>
          <t>Crunchy Bite Foods</t>
        </is>
      </c>
      <c r="C22" s="4" t="inlineStr">
        <is>
          <t>Snacks &amp; Confectionery</t>
        </is>
      </c>
      <c r="D22" s="4" t="inlineStr">
        <is>
          <t>Tier 1</t>
        </is>
      </c>
      <c r="E22" s="4" t="n">
        <v>1895</v>
      </c>
      <c r="F22" s="4" t="n">
        <v>1871</v>
      </c>
      <c r="G22" s="20" t="n">
        <v>83.8</v>
      </c>
      <c r="H22" s="13" t="n">
        <v>0.67</v>
      </c>
      <c r="I22" s="13" t="n">
        <v>4.12</v>
      </c>
      <c r="J22" s="20" t="n">
        <v>98.90000000000001</v>
      </c>
      <c r="K22" s="4" t="n">
        <v>24</v>
      </c>
      <c r="L22" s="4" t="n">
        <v>2</v>
      </c>
      <c r="M22" s="11" t="n">
        <v>236251</v>
      </c>
      <c r="N22" s="11" t="n">
        <v>459091622</v>
      </c>
    </row>
    <row r="23">
      <c r="A23" s="4" t="inlineStr">
        <is>
          <t>SUP10</t>
        </is>
      </c>
      <c r="B23" s="4" t="inlineStr">
        <is>
          <t>Glow Naturals Care</t>
        </is>
      </c>
      <c r="C23" s="4" t="inlineStr">
        <is>
          <t>Personal Care</t>
        </is>
      </c>
      <c r="D23" s="4" t="inlineStr">
        <is>
          <t>Tier 1</t>
        </is>
      </c>
      <c r="E23" s="4" t="n">
        <v>838</v>
      </c>
      <c r="F23" s="4" t="n">
        <v>827</v>
      </c>
      <c r="G23" s="20" t="n">
        <v>84.2</v>
      </c>
      <c r="H23" s="13" t="n">
        <v>0.62</v>
      </c>
      <c r="I23" s="13" t="n">
        <v>3.92</v>
      </c>
      <c r="J23" s="20" t="n">
        <v>99.2</v>
      </c>
      <c r="K23" s="4" t="n">
        <v>11</v>
      </c>
      <c r="L23" s="4" t="n">
        <v>0</v>
      </c>
      <c r="M23" s="11" t="n">
        <v>0</v>
      </c>
      <c r="N23" s="11" t="n">
        <v>184682228</v>
      </c>
    </row>
    <row r="24">
      <c r="A24" s="4" t="inlineStr">
        <is>
          <t>SUP18</t>
        </is>
      </c>
      <c r="B24" s="4" t="inlineStr">
        <is>
          <t>VitaCare Pharma Distributors</t>
        </is>
      </c>
      <c r="C24" s="4" t="inlineStr">
        <is>
          <t>OTC Pharma &amp; Wellness</t>
        </is>
      </c>
      <c r="D24" s="4" t="inlineStr">
        <is>
          <t>Tier 1</t>
        </is>
      </c>
      <c r="E24" s="4" t="n">
        <v>1328</v>
      </c>
      <c r="F24" s="4" t="n">
        <v>1298</v>
      </c>
      <c r="G24" s="20" t="n">
        <v>84.40000000000001</v>
      </c>
      <c r="H24" s="13" t="n">
        <v>0.62</v>
      </c>
      <c r="I24" s="13" t="n">
        <v>3.96</v>
      </c>
      <c r="J24" s="20" t="n">
        <v>99.40000000000001</v>
      </c>
      <c r="K24" s="4" t="n">
        <v>30</v>
      </c>
      <c r="L24" s="4" t="n">
        <v>1</v>
      </c>
      <c r="M24" s="11" t="n">
        <v>178562</v>
      </c>
      <c r="N24" s="11" t="n">
        <v>120790819</v>
      </c>
    </row>
    <row r="25">
      <c r="A25" s="4" t="inlineStr">
        <is>
          <t>SUP04</t>
        </is>
      </c>
      <c r="B25" s="4" t="inlineStr">
        <is>
          <t>Coastal Beverages Co</t>
        </is>
      </c>
      <c r="C25" s="4" t="inlineStr">
        <is>
          <t>Beverages</t>
        </is>
      </c>
      <c r="D25" s="4" t="inlineStr">
        <is>
          <t>Tier 1</t>
        </is>
      </c>
      <c r="E25" s="4" t="n">
        <v>1384</v>
      </c>
      <c r="F25" s="4" t="n">
        <v>1369</v>
      </c>
      <c r="G25" s="20" t="n">
        <v>87.2</v>
      </c>
      <c r="H25" s="13" t="n">
        <v>0.43</v>
      </c>
      <c r="I25" s="13" t="n">
        <v>3.39</v>
      </c>
      <c r="J25" s="20" t="n">
        <v>99.3</v>
      </c>
      <c r="K25" s="4" t="n">
        <v>15</v>
      </c>
      <c r="L25" s="4" t="n">
        <v>0</v>
      </c>
      <c r="M25" s="11" t="n">
        <v>0</v>
      </c>
      <c r="N25" s="11" t="n">
        <v>314276175</v>
      </c>
    </row>
    <row r="26">
      <c r="A26" s="4" t="inlineStr">
        <is>
          <t>SUP01</t>
        </is>
      </c>
      <c r="B26" s="4" t="inlineStr">
        <is>
          <t>Shree Ganesh Agro Foods</t>
        </is>
      </c>
      <c r="C26" s="4" t="inlineStr">
        <is>
          <t>Packaged Staples</t>
        </is>
      </c>
      <c r="D26" s="4" t="inlineStr">
        <is>
          <t>Tier 1</t>
        </is>
      </c>
      <c r="E26" s="4" t="n">
        <v>1152</v>
      </c>
      <c r="F26" s="4" t="n">
        <v>1140</v>
      </c>
      <c r="G26" s="20" t="n">
        <v>87.40000000000001</v>
      </c>
      <c r="H26" s="13" t="n">
        <v>0.49</v>
      </c>
      <c r="I26" s="13" t="n">
        <v>3.9</v>
      </c>
      <c r="J26" s="20" t="n">
        <v>99</v>
      </c>
      <c r="K26" s="4" t="n">
        <v>12</v>
      </c>
      <c r="L26" s="4" t="n">
        <v>2</v>
      </c>
      <c r="M26" s="11" t="n">
        <v>286543</v>
      </c>
      <c r="N26" s="11" t="n">
        <v>374234891</v>
      </c>
    </row>
  </sheetData>
  <autoFilter ref="A4:N26"/>
  <conditionalFormatting sqref="G5:G26">
    <cfRule type="cellIs" priority="1" operator="lessThan" dxfId="0">
      <formula>60</formula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40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.8" customWidth="1" min="1" max="1"/>
    <col width="14.6" customWidth="1" min="2" max="2"/>
    <col width="11" customWidth="1" min="3" max="3"/>
    <col width="11" customWidth="1" min="4" max="4"/>
    <col width="23" customWidth="1" min="5" max="5"/>
    <col width="25" customWidth="1" min="6" max="6"/>
    <col width="11" customWidth="1" min="7" max="7"/>
    <col width="12.8" customWidth="1" min="8" max="8"/>
    <col width="14.6" customWidth="1" min="9" max="9"/>
    <col width="13.7" customWidth="1" min="10" max="10"/>
    <col width="17.3" customWidth="1" min="11" max="11"/>
    <col width="16.4" customWidth="1" min="12" max="12"/>
    <col width="11" customWidth="1" min="13" max="13"/>
    <col width="18.2" customWidth="1" min="14" max="14"/>
    <col width="20" customWidth="1" min="15" max="15"/>
    <col width="24.5" customWidth="1" min="16" max="16"/>
  </cols>
  <sheetData>
    <row r="1">
      <c r="A1" s="1" t="inlineStr">
        <is>
          <t>Stock-deficit alerts</t>
        </is>
      </c>
    </row>
    <row r="2">
      <c r="A2" s="2" t="inlineStr">
        <is>
          <t>Source: sp_stock_deficit_alerts. Sorted STOCKOUT &gt; CRITICAL &gt; LOW, then margin at risk.</t>
        </is>
      </c>
    </row>
    <row r="4" ht="30" customHeight="1">
      <c r="A4" s="18" t="inlineStr">
        <is>
          <t>warehouse_id</t>
        </is>
      </c>
      <c r="B4" s="18" t="inlineStr">
        <is>
          <t>warehouse_name</t>
        </is>
      </c>
      <c r="C4" s="18" t="inlineStr">
        <is>
          <t>region</t>
        </is>
      </c>
      <c r="D4" s="18" t="inlineStr">
        <is>
          <t>sku_id</t>
        </is>
      </c>
      <c r="E4" s="18" t="inlineStr">
        <is>
          <t>sku_name</t>
        </is>
      </c>
      <c r="F4" s="18" t="inlineStr">
        <is>
          <t>category</t>
        </is>
      </c>
      <c r="G4" s="18" t="inlineStr">
        <is>
          <t>abc_class</t>
        </is>
      </c>
      <c r="H4" s="18" t="inlineStr">
        <is>
          <t>stock_status</t>
        </is>
      </c>
      <c r="I4" s="18" t="inlineStr">
        <is>
          <t>weeks_of_cover</t>
        </is>
      </c>
      <c r="J4" s="18" t="inlineStr">
        <is>
          <t>closing_stock</t>
        </is>
      </c>
      <c r="K4" s="18" t="inlineStr">
        <is>
          <t>avg_weekly_demand</t>
        </is>
      </c>
      <c r="L4" s="18" t="inlineStr">
        <is>
          <t>inbound_open_qty</t>
        </is>
      </c>
      <c r="M4" s="18" t="inlineStr">
        <is>
          <t>next_po_id</t>
        </is>
      </c>
      <c r="N4" s="18" t="inlineStr">
        <is>
          <t>next_promised_date</t>
        </is>
      </c>
      <c r="O4" s="18" t="inlineStr">
        <is>
          <t>inbound_risk</t>
        </is>
      </c>
      <c r="P4" s="18" t="inlineStr">
        <is>
          <t>weekly_margin_at_risk_inr</t>
        </is>
      </c>
    </row>
    <row r="5">
      <c r="A5" s="4" t="inlineStr">
        <is>
          <t>WH06</t>
        </is>
      </c>
      <c r="B5" s="4" t="inlineStr">
        <is>
          <t>Ahmedabad DC</t>
        </is>
      </c>
      <c r="C5" s="4" t="inlineStr">
        <is>
          <t>West</t>
        </is>
      </c>
      <c r="D5" s="4" t="inlineStr">
        <is>
          <t>SKU080</t>
        </is>
      </c>
      <c r="E5" s="4" t="inlineStr">
        <is>
          <t>TWS Earbuds</t>
        </is>
      </c>
      <c r="F5" s="4" t="inlineStr">
        <is>
          <t>Electronics Accessories</t>
        </is>
      </c>
      <c r="G5" s="4" t="inlineStr">
        <is>
          <t>A</t>
        </is>
      </c>
      <c r="H5" s="4" t="inlineStr">
        <is>
          <t>STOCKOUT</t>
        </is>
      </c>
      <c r="I5" s="13" t="n">
        <v>0</v>
      </c>
      <c r="J5" s="11" t="n">
        <v>0</v>
      </c>
      <c r="K5" s="13" t="n">
        <v>382.8</v>
      </c>
      <c r="L5" s="11" t="n">
        <v>2620</v>
      </c>
      <c r="M5" s="4" t="inlineStr">
        <is>
          <t>PO0030386</t>
        </is>
      </c>
      <c r="N5" s="4" t="inlineStr">
        <is>
          <t>2026-09-21</t>
        </is>
      </c>
      <c r="O5" s="4" t="inlineStr">
        <is>
          <t>INBOUND OVERDUE</t>
        </is>
      </c>
      <c r="P5" s="11" t="n">
        <v>271370</v>
      </c>
    </row>
    <row r="6">
      <c r="A6" s="4" t="inlineStr">
        <is>
          <t>WH07</t>
        </is>
      </c>
      <c r="B6" s="4" t="inlineStr">
        <is>
          <t>Bengaluru DC</t>
        </is>
      </c>
      <c r="C6" s="4" t="inlineStr">
        <is>
          <t>South</t>
        </is>
      </c>
      <c r="D6" s="4" t="inlineStr">
        <is>
          <t>SKU089</t>
        </is>
      </c>
      <c r="E6" s="4" t="inlineStr">
        <is>
          <t>USB Keyboard</t>
        </is>
      </c>
      <c r="F6" s="4" t="inlineStr">
        <is>
          <t>Electronics Accessories</t>
        </is>
      </c>
      <c r="G6" s="4" t="inlineStr">
        <is>
          <t>A</t>
        </is>
      </c>
      <c r="H6" s="4" t="inlineStr">
        <is>
          <t>STOCKOUT</t>
        </is>
      </c>
      <c r="I6" s="13" t="n">
        <v>0</v>
      </c>
      <c r="J6" s="11" t="n">
        <v>0</v>
      </c>
      <c r="K6" s="13" t="n">
        <v>292.3</v>
      </c>
      <c r="L6" s="11" t="n">
        <v>1090</v>
      </c>
      <c r="M6" s="4" t="inlineStr">
        <is>
          <t>PO0030901</t>
        </is>
      </c>
      <c r="N6" s="4" t="inlineStr">
        <is>
          <t>2026-09-25</t>
        </is>
      </c>
      <c r="O6" s="4" t="inlineStr">
        <is>
          <t>INBOUND OVERDUE</t>
        </is>
      </c>
      <c r="P6" s="11" t="n">
        <v>164537</v>
      </c>
    </row>
    <row r="7">
      <c r="A7" s="4" t="inlineStr">
        <is>
          <t>WH08</t>
        </is>
      </c>
      <c r="B7" s="4" t="inlineStr">
        <is>
          <t>Chennai DC</t>
        </is>
      </c>
      <c r="C7" s="4" t="inlineStr">
        <is>
          <t>South</t>
        </is>
      </c>
      <c r="D7" s="4" t="inlineStr">
        <is>
          <t>SKU080</t>
        </is>
      </c>
      <c r="E7" s="4" t="inlineStr">
        <is>
          <t>TWS Earbuds</t>
        </is>
      </c>
      <c r="F7" s="4" t="inlineStr">
        <is>
          <t>Electronics Accessories</t>
        </is>
      </c>
      <c r="G7" s="4" t="inlineStr">
        <is>
          <t>A</t>
        </is>
      </c>
      <c r="H7" s="4" t="inlineStr">
        <is>
          <t>STOCKOUT</t>
        </is>
      </c>
      <c r="I7" s="13" t="n">
        <v>0</v>
      </c>
      <c r="J7" s="11" t="n">
        <v>0</v>
      </c>
      <c r="K7" s="13" t="n">
        <v>208.8</v>
      </c>
      <c r="L7" s="11" t="n">
        <v>990</v>
      </c>
      <c r="M7" s="4" t="inlineStr">
        <is>
          <t>PO0030118</t>
        </is>
      </c>
      <c r="N7" s="4" t="inlineStr">
        <is>
          <t>2026-09-17</t>
        </is>
      </c>
      <c r="O7" s="4" t="inlineStr">
        <is>
          <t>INBOUND OVERDUE</t>
        </is>
      </c>
      <c r="P7" s="11" t="n">
        <v>148004</v>
      </c>
    </row>
    <row r="8">
      <c r="A8" s="4" t="inlineStr">
        <is>
          <t>WH08</t>
        </is>
      </c>
      <c r="B8" s="4" t="inlineStr">
        <is>
          <t>Chennai DC</t>
        </is>
      </c>
      <c r="C8" s="4" t="inlineStr">
        <is>
          <t>South</t>
        </is>
      </c>
      <c r="D8" s="4" t="inlineStr">
        <is>
          <t>SKU079</t>
        </is>
      </c>
      <c r="E8" s="4" t="inlineStr">
        <is>
          <t>Wired Earphones</t>
        </is>
      </c>
      <c r="F8" s="4" t="inlineStr">
        <is>
          <t>Electronics Accessories</t>
        </is>
      </c>
      <c r="G8" s="4" t="inlineStr">
        <is>
          <t>A</t>
        </is>
      </c>
      <c r="H8" s="4" t="inlineStr">
        <is>
          <t>STOCKOUT</t>
        </is>
      </c>
      <c r="I8" s="13" t="n">
        <v>0</v>
      </c>
      <c r="J8" s="11" t="n">
        <v>0</v>
      </c>
      <c r="K8" s="13" t="n">
        <v>217.5</v>
      </c>
      <c r="L8" s="11" t="n">
        <v>970</v>
      </c>
      <c r="M8" s="4" t="inlineStr">
        <is>
          <t>PO0030580</t>
        </is>
      </c>
      <c r="N8" s="4" t="inlineStr">
        <is>
          <t>2026-10-01</t>
        </is>
      </c>
      <c r="O8" s="4" t="inlineStr">
        <is>
          <t>INBOUND OVERDUE</t>
        </is>
      </c>
      <c r="P8" s="11" t="n">
        <v>65685</v>
      </c>
    </row>
    <row r="9">
      <c r="A9" s="4" t="inlineStr">
        <is>
          <t>WH08</t>
        </is>
      </c>
      <c r="B9" s="4" t="inlineStr">
        <is>
          <t>Chennai DC</t>
        </is>
      </c>
      <c r="C9" s="4" t="inlineStr">
        <is>
          <t>South</t>
        </is>
      </c>
      <c r="D9" s="4" t="inlineStr">
        <is>
          <t>SKU056</t>
        </is>
      </c>
      <c r="E9" s="4" t="inlineStr">
        <is>
          <t>Sunscreen 50g</t>
        </is>
      </c>
      <c r="F9" s="4" t="inlineStr">
        <is>
          <t>Personal Care</t>
        </is>
      </c>
      <c r="G9" s="4" t="inlineStr">
        <is>
          <t>A</t>
        </is>
      </c>
      <c r="H9" s="4" t="inlineStr">
        <is>
          <t>STOCKOUT</t>
        </is>
      </c>
      <c r="I9" s="13" t="n">
        <v>0</v>
      </c>
      <c r="J9" s="11" t="n">
        <v>0</v>
      </c>
      <c r="K9" s="13" t="n">
        <v>391.8</v>
      </c>
      <c r="L9" s="11" t="n">
        <v>972</v>
      </c>
      <c r="M9" s="4" t="inlineStr">
        <is>
          <t>PO0031926</t>
        </is>
      </c>
      <c r="N9" s="4" t="inlineStr">
        <is>
          <t>2026-10-11</t>
        </is>
      </c>
      <c r="O9" s="4" t="inlineStr">
        <is>
          <t>GAP BEFORE ARRIVAL</t>
        </is>
      </c>
      <c r="P9" s="11" t="n">
        <v>45835</v>
      </c>
    </row>
    <row r="10">
      <c r="A10" s="4" t="inlineStr">
        <is>
          <t>WH11</t>
        </is>
      </c>
      <c r="B10" s="4" t="inlineStr">
        <is>
          <t>Guwahati DC</t>
        </is>
      </c>
      <c r="C10" s="4" t="inlineStr">
        <is>
          <t>East</t>
        </is>
      </c>
      <c r="D10" s="4" t="inlineStr">
        <is>
          <t>SKU087</t>
        </is>
      </c>
      <c r="E10" s="4" t="inlineStr">
        <is>
          <t>SD Card 64GB</t>
        </is>
      </c>
      <c r="F10" s="4" t="inlineStr">
        <is>
          <t>Electronics Accessories</t>
        </is>
      </c>
      <c r="G10" s="4" t="inlineStr">
        <is>
          <t>A</t>
        </is>
      </c>
      <c r="H10" s="4" t="inlineStr">
        <is>
          <t>STOCKOUT</t>
        </is>
      </c>
      <c r="I10" s="13" t="n">
        <v>0</v>
      </c>
      <c r="J10" s="11" t="n">
        <v>0</v>
      </c>
      <c r="K10" s="13" t="n">
        <v>91</v>
      </c>
      <c r="L10" s="11" t="n">
        <v>480</v>
      </c>
      <c r="M10" s="4" t="inlineStr">
        <is>
          <t>PO0031312</t>
        </is>
      </c>
      <c r="N10" s="4" t="inlineStr">
        <is>
          <t>2026-10-12</t>
        </is>
      </c>
      <c r="O10" s="4" t="inlineStr">
        <is>
          <t>GAP BEFORE ARRIVAL</t>
        </is>
      </c>
      <c r="P10" s="11" t="n">
        <v>39130</v>
      </c>
    </row>
    <row r="11">
      <c r="A11" s="4" t="inlineStr">
        <is>
          <t>WH11</t>
        </is>
      </c>
      <c r="B11" s="4" t="inlineStr">
        <is>
          <t>Guwahati DC</t>
        </is>
      </c>
      <c r="C11" s="4" t="inlineStr">
        <is>
          <t>East</t>
        </is>
      </c>
      <c r="D11" s="4" t="inlineStr">
        <is>
          <t>SKU079</t>
        </is>
      </c>
      <c r="E11" s="4" t="inlineStr">
        <is>
          <t>Wired Earphones</t>
        </is>
      </c>
      <c r="F11" s="4" t="inlineStr">
        <is>
          <t>Electronics Accessories</t>
        </is>
      </c>
      <c r="G11" s="4" t="inlineStr">
        <is>
          <t>A</t>
        </is>
      </c>
      <c r="H11" s="4" t="inlineStr">
        <is>
          <t>STOCKOUT</t>
        </is>
      </c>
      <c r="I11" s="13" t="n">
        <v>0</v>
      </c>
      <c r="J11" s="11" t="n">
        <v>0</v>
      </c>
      <c r="K11" s="13" t="n">
        <v>124.8</v>
      </c>
      <c r="L11" s="11" t="n">
        <v>420</v>
      </c>
      <c r="M11" s="4" t="inlineStr">
        <is>
          <t>PO0031641</t>
        </is>
      </c>
      <c r="N11" s="4" t="inlineStr">
        <is>
          <t>2026-10-28</t>
        </is>
      </c>
      <c r="O11" s="4" t="inlineStr">
        <is>
          <t>GAP BEFORE ARRIVAL</t>
        </is>
      </c>
      <c r="P11" s="11" t="n">
        <v>37675</v>
      </c>
    </row>
    <row r="12">
      <c r="A12" s="4" t="inlineStr">
        <is>
          <t>WH08</t>
        </is>
      </c>
      <c r="B12" s="4" t="inlineStr">
        <is>
          <t>Chennai DC</t>
        </is>
      </c>
      <c r="C12" s="4" t="inlineStr">
        <is>
          <t>South</t>
        </is>
      </c>
      <c r="D12" s="4" t="inlineStr">
        <is>
          <t>SKU059</t>
        </is>
      </c>
      <c r="E12" s="4" t="inlineStr">
        <is>
          <t>Lip Balm</t>
        </is>
      </c>
      <c r="F12" s="4" t="inlineStr">
        <is>
          <t>Personal Care</t>
        </is>
      </c>
      <c r="G12" s="4" t="inlineStr">
        <is>
          <t>B</t>
        </is>
      </c>
      <c r="H12" s="4" t="inlineStr">
        <is>
          <t>STOCKOUT</t>
        </is>
      </c>
      <c r="I12" s="13" t="n">
        <v>0</v>
      </c>
      <c r="J12" s="11" t="n">
        <v>0</v>
      </c>
      <c r="K12" s="13" t="n">
        <v>773.3</v>
      </c>
      <c r="L12" s="11" t="n">
        <v>1668</v>
      </c>
      <c r="M12" s="4" t="inlineStr">
        <is>
          <t>PO0031927</t>
        </is>
      </c>
      <c r="N12" s="4" t="inlineStr">
        <is>
          <t>2026-10-09</t>
        </is>
      </c>
      <c r="O12" s="4" t="inlineStr">
        <is>
          <t>GAP BEFORE ARRIVAL</t>
        </is>
      </c>
      <c r="P12" s="11" t="n">
        <v>37116</v>
      </c>
    </row>
    <row r="13">
      <c r="A13" s="4" t="inlineStr">
        <is>
          <t>WH10</t>
        </is>
      </c>
      <c r="B13" s="4" t="inlineStr">
        <is>
          <t>Kolkata DC</t>
        </is>
      </c>
      <c r="C13" s="4" t="inlineStr">
        <is>
          <t>East</t>
        </is>
      </c>
      <c r="D13" s="4" t="inlineStr">
        <is>
          <t>SKU061</t>
        </is>
      </c>
      <c r="E13" s="4" t="inlineStr">
        <is>
          <t>Detergent Powder 2kg</t>
        </is>
      </c>
      <c r="F13" s="4" t="inlineStr">
        <is>
          <t>Home Care</t>
        </is>
      </c>
      <c r="G13" s="4" t="inlineStr">
        <is>
          <t>B</t>
        </is>
      </c>
      <c r="H13" s="4" t="inlineStr">
        <is>
          <t>STOCKOUT</t>
        </is>
      </c>
      <c r="I13" s="13" t="n">
        <v>0</v>
      </c>
      <c r="J13" s="11" t="n">
        <v>0</v>
      </c>
      <c r="K13" s="13" t="n">
        <v>1206.8</v>
      </c>
      <c r="L13" s="11" t="n">
        <v>3492</v>
      </c>
      <c r="M13" s="4" t="inlineStr">
        <is>
          <t>PO0031456</t>
        </is>
      </c>
      <c r="N13" s="4" t="inlineStr">
        <is>
          <t>2026-10-05</t>
        </is>
      </c>
      <c r="O13" s="4" t="inlineStr">
        <is>
          <t>GAP BEFORE ARRIVAL</t>
        </is>
      </c>
      <c r="P13" s="11" t="n">
        <v>33789</v>
      </c>
    </row>
    <row r="14">
      <c r="A14" s="4" t="inlineStr">
        <is>
          <t>WH08</t>
        </is>
      </c>
      <c r="B14" s="4" t="inlineStr">
        <is>
          <t>Chennai DC</t>
        </is>
      </c>
      <c r="C14" s="4" t="inlineStr">
        <is>
          <t>South</t>
        </is>
      </c>
      <c r="D14" s="4" t="inlineStr">
        <is>
          <t>SKU111</t>
        </is>
      </c>
      <c r="E14" s="4" t="inlineStr">
        <is>
          <t>Shipping Labels 1000</t>
        </is>
      </c>
      <c r="F14" s="4" t="inlineStr">
        <is>
          <t>Packaging &amp; Supplies</t>
        </is>
      </c>
      <c r="G14" s="4" t="inlineStr">
        <is>
          <t>A</t>
        </is>
      </c>
      <c r="H14" s="4" t="inlineStr">
        <is>
          <t>STOCKOUT</t>
        </is>
      </c>
      <c r="I14" s="13" t="n">
        <v>0</v>
      </c>
      <c r="J14" s="11" t="n">
        <v>0</v>
      </c>
      <c r="K14" s="13" t="n">
        <v>241.8</v>
      </c>
      <c r="L14" s="11" t="n">
        <v>1180</v>
      </c>
      <c r="M14" s="4" t="inlineStr">
        <is>
          <t>PO0030926</t>
        </is>
      </c>
      <c r="N14" s="4" t="inlineStr">
        <is>
          <t>2026-10-01</t>
        </is>
      </c>
      <c r="O14" s="4" t="inlineStr">
        <is>
          <t>INBOUND OVERDUE</t>
        </is>
      </c>
      <c r="P14" s="11" t="n">
        <v>29977</v>
      </c>
    </row>
    <row r="15">
      <c r="A15" s="4" t="inlineStr">
        <is>
          <t>WH06</t>
        </is>
      </c>
      <c r="B15" s="4" t="inlineStr">
        <is>
          <t>Ahmedabad DC</t>
        </is>
      </c>
      <c r="C15" s="4" t="inlineStr">
        <is>
          <t>West</t>
        </is>
      </c>
      <c r="D15" s="4" t="inlineStr">
        <is>
          <t>SKU034</t>
        </is>
      </c>
      <c r="E15" s="4" t="inlineStr">
        <is>
          <t>Cream Biscuits 120g</t>
        </is>
      </c>
      <c r="F15" s="4" t="inlineStr">
        <is>
          <t>Snacks &amp; Confectionery</t>
        </is>
      </c>
      <c r="G15" s="4" t="inlineStr">
        <is>
          <t>B</t>
        </is>
      </c>
      <c r="H15" s="4" t="inlineStr">
        <is>
          <t>STOCKOUT</t>
        </is>
      </c>
      <c r="I15" s="13" t="n">
        <v>0</v>
      </c>
      <c r="J15" s="11" t="n">
        <v>0</v>
      </c>
      <c r="K15" s="13" t="n">
        <v>2205.3</v>
      </c>
      <c r="L15" s="11" t="n">
        <v>7272</v>
      </c>
      <c r="M15" s="4" t="inlineStr">
        <is>
          <t>PO0031553</t>
        </is>
      </c>
      <c r="N15" s="4" t="inlineStr">
        <is>
          <t>2026-10-01</t>
        </is>
      </c>
      <c r="O15" s="4" t="inlineStr">
        <is>
          <t>INBOUND OVERDUE</t>
        </is>
      </c>
      <c r="P15" s="11" t="n">
        <v>26463</v>
      </c>
    </row>
    <row r="16">
      <c r="A16" s="4" t="inlineStr">
        <is>
          <t>WH06</t>
        </is>
      </c>
      <c r="B16" s="4" t="inlineStr">
        <is>
          <t>Ahmedabad DC</t>
        </is>
      </c>
      <c r="C16" s="4" t="inlineStr">
        <is>
          <t>West</t>
        </is>
      </c>
      <c r="D16" s="4" t="inlineStr">
        <is>
          <t>SKU033</t>
        </is>
      </c>
      <c r="E16" s="4" t="inlineStr">
        <is>
          <t>Glucose Biscuits 300g</t>
        </is>
      </c>
      <c r="F16" s="4" t="inlineStr">
        <is>
          <t>Snacks &amp; Confectionery</t>
        </is>
      </c>
      <c r="G16" s="4" t="inlineStr">
        <is>
          <t>A</t>
        </is>
      </c>
      <c r="H16" s="4" t="inlineStr">
        <is>
          <t>STOCKOUT</t>
        </is>
      </c>
      <c r="I16" s="13" t="n">
        <v>0</v>
      </c>
      <c r="J16" s="11" t="n">
        <v>0</v>
      </c>
      <c r="K16" s="13" t="n">
        <v>1055.3</v>
      </c>
      <c r="L16" s="11" t="n">
        <v>2964</v>
      </c>
      <c r="M16" s="4" t="inlineStr">
        <is>
          <t>PO0031892</t>
        </is>
      </c>
      <c r="N16" s="4" t="inlineStr">
        <is>
          <t>2026-10-05</t>
        </is>
      </c>
      <c r="O16" s="4" t="inlineStr">
        <is>
          <t>GAP BEFORE ARRIVAL</t>
        </is>
      </c>
      <c r="P16" s="11" t="n">
        <v>26381</v>
      </c>
    </row>
    <row r="17">
      <c r="A17" s="4" t="inlineStr">
        <is>
          <t>WH08</t>
        </is>
      </c>
      <c r="B17" s="4" t="inlineStr">
        <is>
          <t>Chennai DC</t>
        </is>
      </c>
      <c r="C17" s="4" t="inlineStr">
        <is>
          <t>South</t>
        </is>
      </c>
      <c r="D17" s="4" t="inlineStr">
        <is>
          <t>SKU076</t>
        </is>
      </c>
      <c r="E17" s="4" t="inlineStr">
        <is>
          <t>USB-C Cable 1m</t>
        </is>
      </c>
      <c r="F17" s="4" t="inlineStr">
        <is>
          <t>Electronics Accessories</t>
        </is>
      </c>
      <c r="G17" s="4" t="inlineStr">
        <is>
          <t>A</t>
        </is>
      </c>
      <c r="H17" s="4" t="inlineStr">
        <is>
          <t>STOCKOUT</t>
        </is>
      </c>
      <c r="I17" s="13" t="n">
        <v>0</v>
      </c>
      <c r="J17" s="11" t="n">
        <v>0</v>
      </c>
      <c r="K17" s="13" t="n">
        <v>199.8</v>
      </c>
      <c r="L17" s="11" t="n">
        <v>920</v>
      </c>
      <c r="M17" s="4" t="inlineStr">
        <is>
          <t>PO0031594</t>
        </is>
      </c>
      <c r="N17" s="4" t="inlineStr">
        <is>
          <t>2026-10-10</t>
        </is>
      </c>
      <c r="O17" s="4" t="inlineStr">
        <is>
          <t>GAP BEFORE ARRIVAL</t>
        </is>
      </c>
      <c r="P17" s="11" t="n">
        <v>26167</v>
      </c>
    </row>
    <row r="18">
      <c r="A18" s="4" t="inlineStr">
        <is>
          <t>WH05</t>
        </is>
      </c>
      <c r="B18" s="4" t="inlineStr">
        <is>
          <t>Pune DC</t>
        </is>
      </c>
      <c r="C18" s="4" t="inlineStr">
        <is>
          <t>West</t>
        </is>
      </c>
      <c r="D18" s="4" t="inlineStr">
        <is>
          <t>SKU119</t>
        </is>
      </c>
      <c r="E18" s="4" t="inlineStr">
        <is>
          <t>Safety Gloves 12pk</t>
        </is>
      </c>
      <c r="F18" s="4" t="inlineStr">
        <is>
          <t>Packaging &amp; Supplies</t>
        </is>
      </c>
      <c r="G18" s="4" t="inlineStr">
        <is>
          <t>A</t>
        </is>
      </c>
      <c r="H18" s="4" t="inlineStr">
        <is>
          <t>STOCKOUT</t>
        </is>
      </c>
      <c r="I18" s="13" t="n">
        <v>0</v>
      </c>
      <c r="J18" s="11" t="n">
        <v>0</v>
      </c>
      <c r="K18" s="13" t="n">
        <v>277.8</v>
      </c>
      <c r="L18" s="11" t="n">
        <v>1140</v>
      </c>
      <c r="M18" s="4" t="inlineStr">
        <is>
          <t>PO0031387</t>
        </is>
      </c>
      <c r="N18" s="4" t="inlineStr">
        <is>
          <t>2026-10-06</t>
        </is>
      </c>
      <c r="O18" s="4" t="inlineStr">
        <is>
          <t>GAP BEFORE ARRIVAL</t>
        </is>
      </c>
      <c r="P18" s="11" t="n">
        <v>25275</v>
      </c>
    </row>
    <row r="19">
      <c r="A19" s="4" t="inlineStr">
        <is>
          <t>WH08</t>
        </is>
      </c>
      <c r="B19" s="4" t="inlineStr">
        <is>
          <t>Chennai DC</t>
        </is>
      </c>
      <c r="C19" s="4" t="inlineStr">
        <is>
          <t>South</t>
        </is>
      </c>
      <c r="D19" s="4" t="inlineStr">
        <is>
          <t>SKU108</t>
        </is>
      </c>
      <c r="E19" s="4" t="inlineStr">
        <is>
          <t>BOPP Tape 48mm</t>
        </is>
      </c>
      <c r="F19" s="4" t="inlineStr">
        <is>
          <t>Packaging &amp; Supplies</t>
        </is>
      </c>
      <c r="G19" s="4" t="inlineStr">
        <is>
          <t>A</t>
        </is>
      </c>
      <c r="H19" s="4" t="inlineStr">
        <is>
          <t>STOCKOUT</t>
        </is>
      </c>
      <c r="I19" s="13" t="n">
        <v>0</v>
      </c>
      <c r="J19" s="11" t="n">
        <v>0</v>
      </c>
      <c r="K19" s="13" t="n">
        <v>202.3</v>
      </c>
      <c r="L19" s="11" t="n">
        <v>440</v>
      </c>
      <c r="M19" s="4" t="inlineStr">
        <is>
          <t>PO0031272</t>
        </is>
      </c>
      <c r="N19" s="4" t="inlineStr">
        <is>
          <t>2026-09-28</t>
        </is>
      </c>
      <c r="O19" s="4" t="inlineStr">
        <is>
          <t>INBOUND OVERDUE</t>
        </is>
      </c>
      <c r="P19" s="11" t="n">
        <v>24877</v>
      </c>
    </row>
    <row r="20">
      <c r="A20" s="4" t="inlineStr">
        <is>
          <t>WH10</t>
        </is>
      </c>
      <c r="B20" s="4" t="inlineStr">
        <is>
          <t>Kolkata DC</t>
        </is>
      </c>
      <c r="C20" s="4" t="inlineStr">
        <is>
          <t>East</t>
        </is>
      </c>
      <c r="D20" s="4" t="inlineStr">
        <is>
          <t>SKU051</t>
        </is>
      </c>
      <c r="E20" s="4" t="inlineStr">
        <is>
          <t>Hair Oil 200ml</t>
        </is>
      </c>
      <c r="F20" s="4" t="inlineStr">
        <is>
          <t>Personal Care</t>
        </is>
      </c>
      <c r="G20" s="4" t="inlineStr">
        <is>
          <t>B</t>
        </is>
      </c>
      <c r="H20" s="4" t="inlineStr">
        <is>
          <t>STOCKOUT</t>
        </is>
      </c>
      <c r="I20" s="13" t="n">
        <v>0</v>
      </c>
      <c r="J20" s="11" t="n">
        <v>0</v>
      </c>
      <c r="K20" s="13" t="n">
        <v>524</v>
      </c>
      <c r="L20" s="11" t="n">
        <v>2268</v>
      </c>
      <c r="M20" s="4" t="inlineStr">
        <is>
          <t>PO0031621</t>
        </is>
      </c>
      <c r="N20" s="4" t="inlineStr">
        <is>
          <t>2026-10-05</t>
        </is>
      </c>
      <c r="O20" s="4" t="inlineStr">
        <is>
          <t>GAP BEFORE ARRIVAL</t>
        </is>
      </c>
      <c r="P20" s="11" t="n">
        <v>24628</v>
      </c>
    </row>
    <row r="21">
      <c r="A21" s="4" t="inlineStr">
        <is>
          <t>WH07</t>
        </is>
      </c>
      <c r="B21" s="4" t="inlineStr">
        <is>
          <t>Bengaluru DC</t>
        </is>
      </c>
      <c r="C21" s="4" t="inlineStr">
        <is>
          <t>South</t>
        </is>
      </c>
      <c r="D21" s="4" t="inlineStr">
        <is>
          <t>SKU076</t>
        </is>
      </c>
      <c r="E21" s="4" t="inlineStr">
        <is>
          <t>USB-C Cable 1m</t>
        </is>
      </c>
      <c r="F21" s="4" t="inlineStr">
        <is>
          <t>Electronics Accessories</t>
        </is>
      </c>
      <c r="G21" s="4" t="inlineStr">
        <is>
          <t>A</t>
        </is>
      </c>
      <c r="H21" s="4" t="inlineStr">
        <is>
          <t>STOCKOUT</t>
        </is>
      </c>
      <c r="I21" s="13" t="n">
        <v>0</v>
      </c>
      <c r="J21" s="11" t="n">
        <v>0</v>
      </c>
      <c r="K21" s="13" t="n">
        <v>182.8</v>
      </c>
      <c r="L21" s="11" t="n">
        <v>480</v>
      </c>
      <c r="M21" s="4" t="inlineStr">
        <is>
          <t>PO0031089</t>
        </is>
      </c>
      <c r="N21" s="4" t="inlineStr">
        <is>
          <t>2026-10-02</t>
        </is>
      </c>
      <c r="O21" s="4" t="inlineStr">
        <is>
          <t>INBOUND OVERDUE</t>
        </is>
      </c>
      <c r="P21" s="11" t="n">
        <v>23940</v>
      </c>
    </row>
    <row r="22">
      <c r="A22" s="4" t="inlineStr">
        <is>
          <t>WH10</t>
        </is>
      </c>
      <c r="B22" s="4" t="inlineStr">
        <is>
          <t>Kolkata DC</t>
        </is>
      </c>
      <c r="C22" s="4" t="inlineStr">
        <is>
          <t>East</t>
        </is>
      </c>
      <c r="D22" s="4" t="inlineStr">
        <is>
          <t>SKU059</t>
        </is>
      </c>
      <c r="E22" s="4" t="inlineStr">
        <is>
          <t>Lip Balm</t>
        </is>
      </c>
      <c r="F22" s="4" t="inlineStr">
        <is>
          <t>Personal Care</t>
        </is>
      </c>
      <c r="G22" s="4" t="inlineStr">
        <is>
          <t>B</t>
        </is>
      </c>
      <c r="H22" s="4" t="inlineStr">
        <is>
          <t>STOCKOUT</t>
        </is>
      </c>
      <c r="I22" s="13" t="n">
        <v>0</v>
      </c>
      <c r="J22" s="11" t="n">
        <v>0</v>
      </c>
      <c r="K22" s="13" t="n">
        <v>479</v>
      </c>
      <c r="L22" s="11" t="n">
        <v>1488</v>
      </c>
      <c r="M22" s="4" t="inlineStr">
        <is>
          <t>PO0031623</t>
        </is>
      </c>
      <c r="N22" s="4" t="inlineStr">
        <is>
          <t>2026-10-02</t>
        </is>
      </c>
      <c r="O22" s="4" t="inlineStr">
        <is>
          <t>INBOUND OVERDUE</t>
        </is>
      </c>
      <c r="P22" s="11" t="n">
        <v>22992</v>
      </c>
    </row>
    <row r="23">
      <c r="A23" s="4" t="inlineStr">
        <is>
          <t>WH06</t>
        </is>
      </c>
      <c r="B23" s="4" t="inlineStr">
        <is>
          <t>Ahmedabad DC</t>
        </is>
      </c>
      <c r="C23" s="4" t="inlineStr">
        <is>
          <t>West</t>
        </is>
      </c>
      <c r="D23" s="4" t="inlineStr">
        <is>
          <t>SKU107</t>
        </is>
      </c>
      <c r="E23" s="4" t="inlineStr">
        <is>
          <t>Stretch Film 500mm</t>
        </is>
      </c>
      <c r="F23" s="4" t="inlineStr">
        <is>
          <t>Packaging &amp; Supplies</t>
        </is>
      </c>
      <c r="G23" s="4" t="inlineStr">
        <is>
          <t>A</t>
        </is>
      </c>
      <c r="H23" s="4" t="inlineStr">
        <is>
          <t>STOCKOUT</t>
        </is>
      </c>
      <c r="I23" s="13" t="n">
        <v>0</v>
      </c>
      <c r="J23" s="11" t="n">
        <v>0</v>
      </c>
      <c r="K23" s="13" t="n">
        <v>389.5</v>
      </c>
      <c r="L23" s="11" t="n">
        <v>1300</v>
      </c>
      <c r="M23" s="4" t="inlineStr">
        <is>
          <t>PO0031237</t>
        </is>
      </c>
      <c r="N23" s="4" t="inlineStr">
        <is>
          <t>2026-09-28</t>
        </is>
      </c>
      <c r="O23" s="4" t="inlineStr">
        <is>
          <t>INBOUND OVERDUE</t>
        </is>
      </c>
      <c r="P23" s="11" t="n">
        <v>22981</v>
      </c>
    </row>
    <row r="24">
      <c r="A24" s="4" t="inlineStr">
        <is>
          <t>WH06</t>
        </is>
      </c>
      <c r="B24" s="4" t="inlineStr">
        <is>
          <t>Ahmedabad DC</t>
        </is>
      </c>
      <c r="C24" s="4" t="inlineStr">
        <is>
          <t>West</t>
        </is>
      </c>
      <c r="D24" s="4" t="inlineStr">
        <is>
          <t>SKU108</t>
        </is>
      </c>
      <c r="E24" s="4" t="inlineStr">
        <is>
          <t>BOPP Tape 48mm</t>
        </is>
      </c>
      <c r="F24" s="4" t="inlineStr">
        <is>
          <t>Packaging &amp; Supplies</t>
        </is>
      </c>
      <c r="G24" s="4" t="inlineStr">
        <is>
          <t>A</t>
        </is>
      </c>
      <c r="H24" s="4" t="inlineStr">
        <is>
          <t>STOCKOUT</t>
        </is>
      </c>
      <c r="I24" s="13" t="n">
        <v>0</v>
      </c>
      <c r="J24" s="11" t="n">
        <v>0</v>
      </c>
      <c r="K24" s="13" t="n">
        <v>181.5</v>
      </c>
      <c r="L24" s="11" t="n">
        <v>840</v>
      </c>
      <c r="M24" s="4" t="inlineStr">
        <is>
          <t>PO0031238</t>
        </is>
      </c>
      <c r="N24" s="4" t="inlineStr">
        <is>
          <t>2026-10-01</t>
        </is>
      </c>
      <c r="O24" s="4" t="inlineStr">
        <is>
          <t>INBOUND OVERDUE</t>
        </is>
      </c>
      <c r="P24" s="11" t="n">
        <v>22325</v>
      </c>
    </row>
    <row r="25">
      <c r="A25" s="4" t="inlineStr">
        <is>
          <t>WH08</t>
        </is>
      </c>
      <c r="B25" s="4" t="inlineStr">
        <is>
          <t>Chennai DC</t>
        </is>
      </c>
      <c r="C25" s="4" t="inlineStr">
        <is>
          <t>South</t>
        </is>
      </c>
      <c r="D25" s="4" t="inlineStr">
        <is>
          <t>SKU011</t>
        </is>
      </c>
      <c r="E25" s="4" t="inlineStr">
        <is>
          <t>Besan 1kg</t>
        </is>
      </c>
      <c r="F25" s="4" t="inlineStr">
        <is>
          <t>Packaged Staples</t>
        </is>
      </c>
      <c r="G25" s="4" t="inlineStr">
        <is>
          <t>A</t>
        </is>
      </c>
      <c r="H25" s="4" t="inlineStr">
        <is>
          <t>STOCKOUT</t>
        </is>
      </c>
      <c r="I25" s="13" t="n">
        <v>0</v>
      </c>
      <c r="J25" s="11" t="n">
        <v>0</v>
      </c>
      <c r="K25" s="13" t="n">
        <v>1793</v>
      </c>
      <c r="L25" s="11" t="n">
        <v>3708</v>
      </c>
      <c r="M25" s="4" t="inlineStr">
        <is>
          <t>PO0031916</t>
        </is>
      </c>
      <c r="N25" s="4" t="inlineStr">
        <is>
          <t>2026-10-09</t>
        </is>
      </c>
      <c r="O25" s="4" t="inlineStr">
        <is>
          <t>GAP BEFORE ARRIVAL</t>
        </is>
      </c>
      <c r="P25" s="11" t="n">
        <v>21516</v>
      </c>
    </row>
    <row r="26">
      <c r="A26" s="4" t="inlineStr">
        <is>
          <t>WH08</t>
        </is>
      </c>
      <c r="B26" s="4" t="inlineStr">
        <is>
          <t>Chennai DC</t>
        </is>
      </c>
      <c r="C26" s="4" t="inlineStr">
        <is>
          <t>South</t>
        </is>
      </c>
      <c r="D26" s="4" t="inlineStr">
        <is>
          <t>SKU107</t>
        </is>
      </c>
      <c r="E26" s="4" t="inlineStr">
        <is>
          <t>Stretch Film 500mm</t>
        </is>
      </c>
      <c r="F26" s="4" t="inlineStr">
        <is>
          <t>Packaging &amp; Supplies</t>
        </is>
      </c>
      <c r="G26" s="4" t="inlineStr">
        <is>
          <t>A</t>
        </is>
      </c>
      <c r="H26" s="4" t="inlineStr">
        <is>
          <t>STOCKOUT</t>
        </is>
      </c>
      <c r="I26" s="13" t="n">
        <v>0</v>
      </c>
      <c r="J26" s="11" t="n">
        <v>0</v>
      </c>
      <c r="K26" s="13" t="n">
        <v>345.5</v>
      </c>
      <c r="L26" s="11" t="n">
        <v>820</v>
      </c>
      <c r="M26" s="4" t="inlineStr">
        <is>
          <t>PO0031602</t>
        </is>
      </c>
      <c r="N26" s="4" t="inlineStr">
        <is>
          <t>2026-10-02</t>
        </is>
      </c>
      <c r="O26" s="4" t="inlineStr">
        <is>
          <t>INBOUND OVERDUE</t>
        </is>
      </c>
      <c r="P26" s="11" t="n">
        <v>20385</v>
      </c>
    </row>
    <row r="27">
      <c r="A27" s="4" t="inlineStr">
        <is>
          <t>WH05</t>
        </is>
      </c>
      <c r="B27" s="4" t="inlineStr">
        <is>
          <t>Pune DC</t>
        </is>
      </c>
      <c r="C27" s="4" t="inlineStr">
        <is>
          <t>West</t>
        </is>
      </c>
      <c r="D27" s="4" t="inlineStr">
        <is>
          <t>SKU077</t>
        </is>
      </c>
      <c r="E27" s="4" t="inlineStr">
        <is>
          <t>Fast Charger 25W</t>
        </is>
      </c>
      <c r="F27" s="4" t="inlineStr">
        <is>
          <t>Electronics Accessories</t>
        </is>
      </c>
      <c r="G27" s="4" t="inlineStr">
        <is>
          <t>B</t>
        </is>
      </c>
      <c r="H27" s="4" t="inlineStr">
        <is>
          <t>STOCKOUT</t>
        </is>
      </c>
      <c r="I27" s="13" t="n">
        <v>0</v>
      </c>
      <c r="J27" s="11" t="n">
        <v>0</v>
      </c>
      <c r="K27" s="13" t="n">
        <v>193.3</v>
      </c>
      <c r="L27" s="11" t="n">
        <v>1610</v>
      </c>
      <c r="M27" s="4" t="inlineStr">
        <is>
          <t>PO0030690</t>
        </is>
      </c>
      <c r="N27" s="4" t="inlineStr">
        <is>
          <t>2026-09-27</t>
        </is>
      </c>
      <c r="O27" s="4" t="inlineStr">
        <is>
          <t>INBOUND OVERDUE</t>
        </is>
      </c>
      <c r="P27" s="11" t="n">
        <v>19518</v>
      </c>
    </row>
    <row r="28">
      <c r="A28" s="4" t="inlineStr">
        <is>
          <t>WH06</t>
        </is>
      </c>
      <c r="B28" s="4" t="inlineStr">
        <is>
          <t>Ahmedabad DC</t>
        </is>
      </c>
      <c r="C28" s="4" t="inlineStr">
        <is>
          <t>West</t>
        </is>
      </c>
      <c r="D28" s="4" t="inlineStr">
        <is>
          <t>SKU042</t>
        </is>
      </c>
      <c r="E28" s="4" t="inlineStr">
        <is>
          <t>Dry Fruit Mix 250g</t>
        </is>
      </c>
      <c r="F28" s="4" t="inlineStr">
        <is>
          <t>Snacks &amp; Confectionery</t>
        </is>
      </c>
      <c r="G28" s="4" t="inlineStr">
        <is>
          <t>A</t>
        </is>
      </c>
      <c r="H28" s="4" t="inlineStr">
        <is>
          <t>STOCKOUT</t>
        </is>
      </c>
      <c r="I28" s="13" t="n">
        <v>0</v>
      </c>
      <c r="J28" s="11" t="n">
        <v>0</v>
      </c>
      <c r="K28" s="13" t="n">
        <v>1366.5</v>
      </c>
      <c r="L28" s="11" t="n">
        <v>4980</v>
      </c>
      <c r="M28" s="4" t="inlineStr">
        <is>
          <t>PO0031893</t>
        </is>
      </c>
      <c r="N28" s="4" t="inlineStr">
        <is>
          <t>2026-10-06</t>
        </is>
      </c>
      <c r="O28" s="4" t="inlineStr">
        <is>
          <t>GAP BEFORE ARRIVAL</t>
        </is>
      </c>
      <c r="P28" s="11" t="n">
        <v>19131</v>
      </c>
    </row>
    <row r="29">
      <c r="A29" s="4" t="inlineStr">
        <is>
          <t>WH10</t>
        </is>
      </c>
      <c r="B29" s="4" t="inlineStr">
        <is>
          <t>Kolkata DC</t>
        </is>
      </c>
      <c r="C29" s="4" t="inlineStr">
        <is>
          <t>East</t>
        </is>
      </c>
      <c r="D29" s="4" t="inlineStr">
        <is>
          <t>SKU067</t>
        </is>
      </c>
      <c r="E29" s="4" t="inlineStr">
        <is>
          <t>Mosquito Coil 10pk</t>
        </is>
      </c>
      <c r="F29" s="4" t="inlineStr">
        <is>
          <t>Home Care</t>
        </is>
      </c>
      <c r="G29" s="4" t="inlineStr">
        <is>
          <t>A</t>
        </is>
      </c>
      <c r="H29" s="4" t="inlineStr">
        <is>
          <t>STOCKOUT</t>
        </is>
      </c>
      <c r="I29" s="13" t="n">
        <v>0</v>
      </c>
      <c r="J29" s="11" t="n">
        <v>0</v>
      </c>
      <c r="K29" s="13" t="n">
        <v>324.3</v>
      </c>
      <c r="L29" s="11" t="n">
        <v>1296</v>
      </c>
      <c r="M29" s="4" t="inlineStr">
        <is>
          <t>PO0031970</t>
        </is>
      </c>
      <c r="N29" s="4" t="inlineStr">
        <is>
          <t>2026-10-13</t>
        </is>
      </c>
      <c r="O29" s="4" t="inlineStr">
        <is>
          <t>GAP BEFORE ARRIVAL</t>
        </is>
      </c>
      <c r="P29" s="11" t="n">
        <v>18482</v>
      </c>
    </row>
    <row r="30">
      <c r="A30" s="4" t="inlineStr">
        <is>
          <t>WH07</t>
        </is>
      </c>
      <c r="B30" s="4" t="inlineStr">
        <is>
          <t>Bengaluru DC</t>
        </is>
      </c>
      <c r="C30" s="4" t="inlineStr">
        <is>
          <t>South</t>
        </is>
      </c>
      <c r="D30" s="4" t="inlineStr">
        <is>
          <t>SKU085</t>
        </is>
      </c>
      <c r="E30" s="4" t="inlineStr">
        <is>
          <t>Extension Board 4-socket</t>
        </is>
      </c>
      <c r="F30" s="4" t="inlineStr">
        <is>
          <t>Electronics Accessories</t>
        </is>
      </c>
      <c r="G30" s="4" t="inlineStr">
        <is>
          <t>B</t>
        </is>
      </c>
      <c r="H30" s="4" t="inlineStr">
        <is>
          <t>STOCKOUT</t>
        </is>
      </c>
      <c r="I30" s="13" t="n">
        <v>0</v>
      </c>
      <c r="J30" s="11" t="n">
        <v>0</v>
      </c>
      <c r="K30" s="13" t="n">
        <v>190.3</v>
      </c>
      <c r="L30" s="11" t="n">
        <v>620</v>
      </c>
      <c r="M30" s="4" t="inlineStr">
        <is>
          <t>PO0031091</t>
        </is>
      </c>
      <c r="N30" s="4" t="inlineStr">
        <is>
          <t>2026-10-05</t>
        </is>
      </c>
      <c r="O30" s="4" t="inlineStr">
        <is>
          <t>GAP BEFORE ARRIVAL</t>
        </is>
      </c>
      <c r="P30" s="11" t="n">
        <v>18074</v>
      </c>
    </row>
    <row r="31">
      <c r="A31" s="4" t="inlineStr">
        <is>
          <t>WH07</t>
        </is>
      </c>
      <c r="B31" s="4" t="inlineStr">
        <is>
          <t>Bengaluru DC</t>
        </is>
      </c>
      <c r="C31" s="4" t="inlineStr">
        <is>
          <t>South</t>
        </is>
      </c>
      <c r="D31" s="4" t="inlineStr">
        <is>
          <t>SKU078</t>
        </is>
      </c>
      <c r="E31" s="4" t="inlineStr">
        <is>
          <t>Power Bank 10000mAh</t>
        </is>
      </c>
      <c r="F31" s="4" t="inlineStr">
        <is>
          <t>Electronics Accessories</t>
        </is>
      </c>
      <c r="G31" s="4" t="inlineStr">
        <is>
          <t>B</t>
        </is>
      </c>
      <c r="H31" s="4" t="inlineStr">
        <is>
          <t>STOCKOUT</t>
        </is>
      </c>
      <c r="I31" s="13" t="n">
        <v>0</v>
      </c>
      <c r="J31" s="11" t="n">
        <v>0</v>
      </c>
      <c r="K31" s="13" t="n">
        <v>160.5</v>
      </c>
      <c r="L31" s="11" t="n">
        <v>1150</v>
      </c>
      <c r="M31" s="4" t="inlineStr">
        <is>
          <t>PO0030565</t>
        </is>
      </c>
      <c r="N31" s="4" t="inlineStr">
        <is>
          <t>2026-09-27</t>
        </is>
      </c>
      <c r="O31" s="4" t="inlineStr">
        <is>
          <t>INBOUND OVERDUE</t>
        </is>
      </c>
      <c r="P31" s="11" t="n">
        <v>17976</v>
      </c>
    </row>
    <row r="32">
      <c r="A32" s="4" t="inlineStr">
        <is>
          <t>WH07</t>
        </is>
      </c>
      <c r="B32" s="4" t="inlineStr">
        <is>
          <t>Bengaluru DC</t>
        </is>
      </c>
      <c r="C32" s="4" t="inlineStr">
        <is>
          <t>South</t>
        </is>
      </c>
      <c r="D32" s="4" t="inlineStr">
        <is>
          <t>SKU014</t>
        </is>
      </c>
      <c r="E32" s="4" t="inlineStr">
        <is>
          <t>Ghee 500ml</t>
        </is>
      </c>
      <c r="F32" s="4" t="inlineStr">
        <is>
          <t>Packaged Staples</t>
        </is>
      </c>
      <c r="G32" s="4" t="inlineStr">
        <is>
          <t>A</t>
        </is>
      </c>
      <c r="H32" s="4" t="inlineStr">
        <is>
          <t>STOCKOUT</t>
        </is>
      </c>
      <c r="I32" s="13" t="n">
        <v>0</v>
      </c>
      <c r="J32" s="11" t="n">
        <v>0</v>
      </c>
      <c r="K32" s="13" t="n">
        <v>578.3</v>
      </c>
      <c r="L32" s="11" t="n">
        <v>1836</v>
      </c>
      <c r="M32" s="4" t="inlineStr">
        <is>
          <t>PO0031564</t>
        </is>
      </c>
      <c r="N32" s="4" t="inlineStr">
        <is>
          <t>2026-09-30</t>
        </is>
      </c>
      <c r="O32" s="4" t="inlineStr">
        <is>
          <t>INBOUND OVERDUE</t>
        </is>
      </c>
      <c r="P32" s="11" t="n">
        <v>17348</v>
      </c>
    </row>
    <row r="33">
      <c r="A33" s="4" t="inlineStr">
        <is>
          <t>WH02</t>
        </is>
      </c>
      <c r="B33" s="4" t="inlineStr">
        <is>
          <t>Jaipur DC</t>
        </is>
      </c>
      <c r="C33" s="4" t="inlineStr">
        <is>
          <t>North</t>
        </is>
      </c>
      <c r="D33" s="4" t="inlineStr">
        <is>
          <t>SKU014</t>
        </is>
      </c>
      <c r="E33" s="4" t="inlineStr">
        <is>
          <t>Ghee 500ml</t>
        </is>
      </c>
      <c r="F33" s="4" t="inlineStr">
        <is>
          <t>Packaged Staples</t>
        </is>
      </c>
      <c r="G33" s="4" t="inlineStr">
        <is>
          <t>A</t>
        </is>
      </c>
      <c r="H33" s="4" t="inlineStr">
        <is>
          <t>STOCKOUT</t>
        </is>
      </c>
      <c r="I33" s="13" t="n">
        <v>0</v>
      </c>
      <c r="J33" s="11" t="n">
        <v>0</v>
      </c>
      <c r="K33" s="13" t="n">
        <v>562.8</v>
      </c>
      <c r="L33" s="11" t="n">
        <v>1512</v>
      </c>
      <c r="M33" s="4" t="inlineStr">
        <is>
          <t>PO0031492</t>
        </is>
      </c>
      <c r="N33" s="4" t="inlineStr">
        <is>
          <t>2026-09-30</t>
        </is>
      </c>
      <c r="O33" s="4" t="inlineStr">
        <is>
          <t>INBOUND OVERDUE</t>
        </is>
      </c>
      <c r="P33" s="11" t="n">
        <v>16883</v>
      </c>
    </row>
    <row r="34">
      <c r="A34" s="4" t="inlineStr">
        <is>
          <t>WH08</t>
        </is>
      </c>
      <c r="B34" s="4" t="inlineStr">
        <is>
          <t>Chennai DC</t>
        </is>
      </c>
      <c r="C34" s="4" t="inlineStr">
        <is>
          <t>South</t>
        </is>
      </c>
      <c r="D34" s="4" t="inlineStr">
        <is>
          <t>SKU101</t>
        </is>
      </c>
      <c r="E34" s="4" t="inlineStr">
        <is>
          <t>Vitamin C 30s</t>
        </is>
      </c>
      <c r="F34" s="4" t="inlineStr">
        <is>
          <t>OTC Pharma &amp; Wellness</t>
        </is>
      </c>
      <c r="G34" s="4" t="inlineStr">
        <is>
          <t>B</t>
        </is>
      </c>
      <c r="H34" s="4" t="inlineStr">
        <is>
          <t>STOCKOUT</t>
        </is>
      </c>
      <c r="I34" s="13" t="n">
        <v>0</v>
      </c>
      <c r="J34" s="11" t="n">
        <v>0</v>
      </c>
      <c r="K34" s="13" t="n">
        <v>272.5</v>
      </c>
      <c r="L34" s="11" t="n">
        <v>456</v>
      </c>
      <c r="M34" s="4" t="inlineStr">
        <is>
          <t>PO0031599</t>
        </is>
      </c>
      <c r="N34" s="4" t="inlineStr">
        <is>
          <t>2026-10-13</t>
        </is>
      </c>
      <c r="O34" s="4" t="inlineStr">
        <is>
          <t>GAP BEFORE ARRIVAL</t>
        </is>
      </c>
      <c r="P34" s="11" t="n">
        <v>16623</v>
      </c>
    </row>
    <row r="35">
      <c r="A35" s="4" t="inlineStr">
        <is>
          <t>WH08</t>
        </is>
      </c>
      <c r="B35" s="4" t="inlineStr">
        <is>
          <t>Chennai DC</t>
        </is>
      </c>
      <c r="C35" s="4" t="inlineStr">
        <is>
          <t>South</t>
        </is>
      </c>
      <c r="D35" s="4" t="inlineStr">
        <is>
          <t>SKU078</t>
        </is>
      </c>
      <c r="E35" s="4" t="inlineStr">
        <is>
          <t>Power Bank 10000mAh</t>
        </is>
      </c>
      <c r="F35" s="4" t="inlineStr">
        <is>
          <t>Electronics Accessories</t>
        </is>
      </c>
      <c r="G35" s="4" t="inlineStr">
        <is>
          <t>B</t>
        </is>
      </c>
      <c r="H35" s="4" t="inlineStr">
        <is>
          <t>STOCKOUT</t>
        </is>
      </c>
      <c r="I35" s="13" t="n">
        <v>0</v>
      </c>
      <c r="J35" s="11" t="n">
        <v>0</v>
      </c>
      <c r="K35" s="13" t="n">
        <v>143</v>
      </c>
      <c r="L35" s="11" t="n">
        <v>450</v>
      </c>
      <c r="M35" s="4" t="inlineStr">
        <is>
          <t>PO0030417</t>
        </is>
      </c>
      <c r="N35" s="4" t="inlineStr">
        <is>
          <t>2026-09-26</t>
        </is>
      </c>
      <c r="O35" s="4" t="inlineStr">
        <is>
          <t>INBOUND OVERDUE</t>
        </is>
      </c>
      <c r="P35" s="11" t="n">
        <v>16016</v>
      </c>
    </row>
    <row r="36">
      <c r="A36" s="4" t="inlineStr">
        <is>
          <t>WH03</t>
        </is>
      </c>
      <c r="B36" s="4" t="inlineStr">
        <is>
          <t>Lucknow DC</t>
        </is>
      </c>
      <c r="C36" s="4" t="inlineStr">
        <is>
          <t>North</t>
        </is>
      </c>
      <c r="D36" s="4" t="inlineStr">
        <is>
          <t>SKU007</t>
        </is>
      </c>
      <c r="E36" s="4" t="inlineStr">
        <is>
          <t>Sugar 1kg</t>
        </is>
      </c>
      <c r="F36" s="4" t="inlineStr">
        <is>
          <t>Packaged Staples</t>
        </is>
      </c>
      <c r="G36" s="4" t="inlineStr">
        <is>
          <t>A</t>
        </is>
      </c>
      <c r="H36" s="4" t="inlineStr">
        <is>
          <t>STOCKOUT</t>
        </is>
      </c>
      <c r="I36" s="13" t="n">
        <v>0</v>
      </c>
      <c r="J36" s="11" t="n">
        <v>0</v>
      </c>
      <c r="K36" s="13" t="n">
        <v>1127</v>
      </c>
      <c r="L36" s="11" t="n">
        <v>4284</v>
      </c>
      <c r="M36" s="4" t="inlineStr">
        <is>
          <t>PO0031008</t>
        </is>
      </c>
      <c r="N36" s="4" t="inlineStr">
        <is>
          <t>2026-09-24</t>
        </is>
      </c>
      <c r="O36" s="4" t="inlineStr">
        <is>
          <t>INBOUND OVERDUE</t>
        </is>
      </c>
      <c r="P36" s="11" t="n">
        <v>15778</v>
      </c>
    </row>
    <row r="37">
      <c r="A37" s="4" t="inlineStr">
        <is>
          <t>WH12</t>
        </is>
      </c>
      <c r="B37" s="4" t="inlineStr">
        <is>
          <t>Nagpur DC</t>
        </is>
      </c>
      <c r="C37" s="4" t="inlineStr">
        <is>
          <t>Central</t>
        </is>
      </c>
      <c r="D37" s="4" t="inlineStr">
        <is>
          <t>SKU074</t>
        </is>
      </c>
      <c r="E37" s="4" t="inlineStr">
        <is>
          <t>Matchbox 10pk</t>
        </is>
      </c>
      <c r="F37" s="4" t="inlineStr">
        <is>
          <t>Home Care</t>
        </is>
      </c>
      <c r="G37" s="4" t="inlineStr">
        <is>
          <t>A</t>
        </is>
      </c>
      <c r="H37" s="4" t="inlineStr">
        <is>
          <t>STOCKOUT</t>
        </is>
      </c>
      <c r="I37" s="13" t="n">
        <v>0</v>
      </c>
      <c r="J37" s="11" t="n">
        <v>0</v>
      </c>
      <c r="K37" s="13" t="n">
        <v>263.8</v>
      </c>
      <c r="L37" s="11" t="n">
        <v>948</v>
      </c>
      <c r="M37" s="4" t="inlineStr">
        <is>
          <t>PO0031475</t>
        </is>
      </c>
      <c r="N37" s="4" t="inlineStr">
        <is>
          <t>2026-10-05</t>
        </is>
      </c>
      <c r="O37" s="4" t="inlineStr">
        <is>
          <t>GAP BEFORE ARRIVAL</t>
        </is>
      </c>
      <c r="P37" s="11" t="n">
        <v>15298</v>
      </c>
    </row>
    <row r="38">
      <c r="A38" s="4" t="inlineStr">
        <is>
          <t>WH06</t>
        </is>
      </c>
      <c r="B38" s="4" t="inlineStr">
        <is>
          <t>Ahmedabad DC</t>
        </is>
      </c>
      <c r="C38" s="4" t="inlineStr">
        <is>
          <t>West</t>
        </is>
      </c>
      <c r="D38" s="4" t="inlineStr">
        <is>
          <t>SKU078</t>
        </is>
      </c>
      <c r="E38" s="4" t="inlineStr">
        <is>
          <t>Power Bank 10000mAh</t>
        </is>
      </c>
      <c r="F38" s="4" t="inlineStr">
        <is>
          <t>Electronics Accessories</t>
        </is>
      </c>
      <c r="G38" s="4" t="inlineStr">
        <is>
          <t>B</t>
        </is>
      </c>
      <c r="H38" s="4" t="inlineStr">
        <is>
          <t>STOCKOUT</t>
        </is>
      </c>
      <c r="I38" s="13" t="n">
        <v>0</v>
      </c>
      <c r="J38" s="11" t="n">
        <v>0</v>
      </c>
      <c r="K38" s="13" t="n">
        <v>131.3</v>
      </c>
      <c r="L38" s="11" t="n">
        <v>880</v>
      </c>
      <c r="M38" s="4" t="inlineStr">
        <is>
          <t>PO0030252</t>
        </is>
      </c>
      <c r="N38" s="4" t="inlineStr">
        <is>
          <t>2026-09-17</t>
        </is>
      </c>
      <c r="O38" s="4" t="inlineStr">
        <is>
          <t>INBOUND OVERDUE</t>
        </is>
      </c>
      <c r="P38" s="11" t="n">
        <v>14700</v>
      </c>
    </row>
    <row r="39">
      <c r="A39" s="4" t="inlineStr">
        <is>
          <t>WH10</t>
        </is>
      </c>
      <c r="B39" s="4" t="inlineStr">
        <is>
          <t>Kolkata DC</t>
        </is>
      </c>
      <c r="C39" s="4" t="inlineStr">
        <is>
          <t>East</t>
        </is>
      </c>
      <c r="D39" s="4" t="inlineStr">
        <is>
          <t>SKU118</t>
        </is>
      </c>
      <c r="E39" s="4" t="inlineStr">
        <is>
          <t>Thermal Paper Roll 20pk</t>
        </is>
      </c>
      <c r="F39" s="4" t="inlineStr">
        <is>
          <t>Packaging &amp; Supplies</t>
        </is>
      </c>
      <c r="G39" s="4" t="inlineStr">
        <is>
          <t>B</t>
        </is>
      </c>
      <c r="H39" s="4" t="inlineStr">
        <is>
          <t>STOCKOUT</t>
        </is>
      </c>
      <c r="I39" s="13" t="n">
        <v>0</v>
      </c>
      <c r="J39" s="11" t="n">
        <v>0</v>
      </c>
      <c r="K39" s="13" t="n">
        <v>397.3</v>
      </c>
      <c r="L39" s="11" t="n">
        <v>1280</v>
      </c>
      <c r="M39" s="4" t="inlineStr">
        <is>
          <t>PO0031632</t>
        </is>
      </c>
      <c r="N39" s="4" t="inlineStr">
        <is>
          <t>2026-10-15</t>
        </is>
      </c>
      <c r="O39" s="4" t="inlineStr">
        <is>
          <t>GAP BEFORE ARRIVAL</t>
        </is>
      </c>
      <c r="P39" s="11" t="n">
        <v>14698</v>
      </c>
    </row>
    <row r="40">
      <c r="A40" s="4" t="inlineStr">
        <is>
          <t>WH05</t>
        </is>
      </c>
      <c r="B40" s="4" t="inlineStr">
        <is>
          <t>Pune DC</t>
        </is>
      </c>
      <c r="C40" s="4" t="inlineStr">
        <is>
          <t>West</t>
        </is>
      </c>
      <c r="D40" s="4" t="inlineStr">
        <is>
          <t>SKU001</t>
        </is>
      </c>
      <c r="E40" s="4" t="inlineStr">
        <is>
          <t>Atta 5kg</t>
        </is>
      </c>
      <c r="F40" s="4" t="inlineStr">
        <is>
          <t>Packaged Staples</t>
        </is>
      </c>
      <c r="G40" s="4" t="inlineStr">
        <is>
          <t>A</t>
        </is>
      </c>
      <c r="H40" s="4" t="inlineStr">
        <is>
          <t>STOCKOUT</t>
        </is>
      </c>
      <c r="I40" s="13" t="n">
        <v>0</v>
      </c>
      <c r="J40" s="11" t="n">
        <v>0</v>
      </c>
      <c r="K40" s="13" t="n">
        <v>903</v>
      </c>
      <c r="L40" s="11" t="n">
        <v>2820</v>
      </c>
      <c r="M40" s="4" t="inlineStr">
        <is>
          <t>PO0031045</t>
        </is>
      </c>
      <c r="N40" s="4" t="inlineStr">
        <is>
          <t>2026-09-27</t>
        </is>
      </c>
      <c r="O40" s="4" t="inlineStr">
        <is>
          <t>INBOUND OVERDUE</t>
        </is>
      </c>
      <c r="P40" s="11" t="n">
        <v>14448</v>
      </c>
    </row>
    <row r="41">
      <c r="A41" s="4" t="inlineStr">
        <is>
          <t>WH11</t>
        </is>
      </c>
      <c r="B41" s="4" t="inlineStr">
        <is>
          <t>Guwahati DC</t>
        </is>
      </c>
      <c r="C41" s="4" t="inlineStr">
        <is>
          <t>East</t>
        </is>
      </c>
      <c r="D41" s="4" t="inlineStr">
        <is>
          <t>SKU051</t>
        </is>
      </c>
      <c r="E41" s="4" t="inlineStr">
        <is>
          <t>Hair Oil 200ml</t>
        </is>
      </c>
      <c r="F41" s="4" t="inlineStr">
        <is>
          <t>Personal Care</t>
        </is>
      </c>
      <c r="G41" s="4" t="inlineStr">
        <is>
          <t>B</t>
        </is>
      </c>
      <c r="H41" s="4" t="inlineStr">
        <is>
          <t>STOCKOUT</t>
        </is>
      </c>
      <c r="I41" s="13" t="n">
        <v>0</v>
      </c>
      <c r="J41" s="11" t="n">
        <v>0</v>
      </c>
      <c r="K41" s="13" t="n">
        <v>305.3</v>
      </c>
      <c r="L41" s="11" t="n">
        <v>900</v>
      </c>
      <c r="M41" s="4" t="inlineStr">
        <is>
          <t>PO0031467</t>
        </is>
      </c>
      <c r="N41" s="4" t="inlineStr">
        <is>
          <t>2026-10-07</t>
        </is>
      </c>
      <c r="O41" s="4" t="inlineStr">
        <is>
          <t>GAP BEFORE ARRIVAL</t>
        </is>
      </c>
      <c r="P41" s="11" t="n">
        <v>14347</v>
      </c>
    </row>
    <row r="42">
      <c r="A42" s="4" t="inlineStr">
        <is>
          <t>WH09</t>
        </is>
      </c>
      <c r="B42" s="4" t="inlineStr">
        <is>
          <t>Hyderabad DC</t>
        </is>
      </c>
      <c r="C42" s="4" t="inlineStr">
        <is>
          <t>South</t>
        </is>
      </c>
      <c r="D42" s="4" t="inlineStr">
        <is>
          <t>SKU011</t>
        </is>
      </c>
      <c r="E42" s="4" t="inlineStr">
        <is>
          <t>Besan 1kg</t>
        </is>
      </c>
      <c r="F42" s="4" t="inlineStr">
        <is>
          <t>Packaged Staples</t>
        </is>
      </c>
      <c r="G42" s="4" t="inlineStr">
        <is>
          <t>A</t>
        </is>
      </c>
      <c r="H42" s="4" t="inlineStr">
        <is>
          <t>STOCKOUT</t>
        </is>
      </c>
      <c r="I42" s="13" t="n">
        <v>0</v>
      </c>
      <c r="J42" s="11" t="n">
        <v>0</v>
      </c>
      <c r="K42" s="13" t="n">
        <v>1192.3</v>
      </c>
      <c r="L42" s="11" t="n">
        <v>3936</v>
      </c>
      <c r="M42" s="4" t="inlineStr">
        <is>
          <t>PO0031277</t>
        </is>
      </c>
      <c r="N42" s="4" t="inlineStr">
        <is>
          <t>2026-09-25</t>
        </is>
      </c>
      <c r="O42" s="4" t="inlineStr">
        <is>
          <t>INBOUND OVERDUE</t>
        </is>
      </c>
      <c r="P42" s="11" t="n">
        <v>14307</v>
      </c>
    </row>
    <row r="43">
      <c r="A43" s="4" t="inlineStr">
        <is>
          <t>WH06</t>
        </is>
      </c>
      <c r="B43" s="4" t="inlineStr">
        <is>
          <t>Ahmedabad DC</t>
        </is>
      </c>
      <c r="C43" s="4" t="inlineStr">
        <is>
          <t>West</t>
        </is>
      </c>
      <c r="D43" s="4" t="inlineStr">
        <is>
          <t>SKU013</t>
        </is>
      </c>
      <c r="E43" s="4" t="inlineStr">
        <is>
          <t>Jaggery 1kg</t>
        </is>
      </c>
      <c r="F43" s="4" t="inlineStr">
        <is>
          <t>Packaged Staples</t>
        </is>
      </c>
      <c r="G43" s="4" t="inlineStr">
        <is>
          <t>A</t>
        </is>
      </c>
      <c r="H43" s="4" t="inlineStr">
        <is>
          <t>STOCKOUT</t>
        </is>
      </c>
      <c r="I43" s="13" t="n">
        <v>0</v>
      </c>
      <c r="J43" s="11" t="n">
        <v>0</v>
      </c>
      <c r="K43" s="13" t="n">
        <v>922.5</v>
      </c>
      <c r="L43" s="11" t="n">
        <v>2508</v>
      </c>
      <c r="M43" s="4" t="inlineStr">
        <is>
          <t>PO0031226</t>
        </is>
      </c>
      <c r="N43" s="4" t="inlineStr">
        <is>
          <t>2026-09-26</t>
        </is>
      </c>
      <c r="O43" s="4" t="inlineStr">
        <is>
          <t>INBOUND OVERDUE</t>
        </is>
      </c>
      <c r="P43" s="11" t="n">
        <v>13838</v>
      </c>
    </row>
    <row r="44">
      <c r="A44" s="4" t="inlineStr">
        <is>
          <t>WH09</t>
        </is>
      </c>
      <c r="B44" s="4" t="inlineStr">
        <is>
          <t>Hyderabad DC</t>
        </is>
      </c>
      <c r="C44" s="4" t="inlineStr">
        <is>
          <t>South</t>
        </is>
      </c>
      <c r="D44" s="4" t="inlineStr">
        <is>
          <t>SKU054</t>
        </is>
      </c>
      <c r="E44" s="4" t="inlineStr">
        <is>
          <t>Razor 5pk</t>
        </is>
      </c>
      <c r="F44" s="4" t="inlineStr">
        <is>
          <t>Personal Care</t>
        </is>
      </c>
      <c r="G44" s="4" t="inlineStr">
        <is>
          <t>B</t>
        </is>
      </c>
      <c r="H44" s="4" t="inlineStr">
        <is>
          <t>STOCKOUT</t>
        </is>
      </c>
      <c r="I44" s="13" t="n">
        <v>0</v>
      </c>
      <c r="J44" s="11" t="n">
        <v>0</v>
      </c>
      <c r="K44" s="13" t="n">
        <v>446.3</v>
      </c>
      <c r="L44" s="11" t="n">
        <v>2640</v>
      </c>
      <c r="M44" s="4" t="inlineStr">
        <is>
          <t>PO0031124</t>
        </is>
      </c>
      <c r="N44" s="4" t="inlineStr">
        <is>
          <t>2026-09-29</t>
        </is>
      </c>
      <c r="O44" s="4" t="inlineStr">
        <is>
          <t>INBOUND OVERDUE</t>
        </is>
      </c>
      <c r="P44" s="11" t="n">
        <v>13834</v>
      </c>
    </row>
    <row r="45">
      <c r="A45" s="4" t="inlineStr">
        <is>
          <t>WH08</t>
        </is>
      </c>
      <c r="B45" s="4" t="inlineStr">
        <is>
          <t>Chennai DC</t>
        </is>
      </c>
      <c r="C45" s="4" t="inlineStr">
        <is>
          <t>South</t>
        </is>
      </c>
      <c r="D45" s="4" t="inlineStr">
        <is>
          <t>SKU118</t>
        </is>
      </c>
      <c r="E45" s="4" t="inlineStr">
        <is>
          <t>Thermal Paper Roll 20pk</t>
        </is>
      </c>
      <c r="F45" s="4" t="inlineStr">
        <is>
          <t>Packaging &amp; Supplies</t>
        </is>
      </c>
      <c r="G45" s="4" t="inlineStr">
        <is>
          <t>B</t>
        </is>
      </c>
      <c r="H45" s="4" t="inlineStr">
        <is>
          <t>STOCKOUT</t>
        </is>
      </c>
      <c r="I45" s="13" t="n">
        <v>0</v>
      </c>
      <c r="J45" s="11" t="n">
        <v>0</v>
      </c>
      <c r="K45" s="13" t="n">
        <v>369.5</v>
      </c>
      <c r="L45" s="11" t="n">
        <v>1420</v>
      </c>
      <c r="M45" s="4" t="inlineStr">
        <is>
          <t>PO0031274</t>
        </is>
      </c>
      <c r="N45" s="4" t="inlineStr">
        <is>
          <t>2026-10-05</t>
        </is>
      </c>
      <c r="O45" s="4" t="inlineStr">
        <is>
          <t>GAP BEFORE ARRIVAL</t>
        </is>
      </c>
      <c r="P45" s="11" t="n">
        <v>13672</v>
      </c>
    </row>
    <row r="46">
      <c r="A46" s="4" t="inlineStr">
        <is>
          <t>WH03</t>
        </is>
      </c>
      <c r="B46" s="4" t="inlineStr">
        <is>
          <t>Lucknow DC</t>
        </is>
      </c>
      <c r="C46" s="4" t="inlineStr">
        <is>
          <t>North</t>
        </is>
      </c>
      <c r="D46" s="4" t="inlineStr">
        <is>
          <t>SKU013</t>
        </is>
      </c>
      <c r="E46" s="4" t="inlineStr">
        <is>
          <t>Jaggery 1kg</t>
        </is>
      </c>
      <c r="F46" s="4" t="inlineStr">
        <is>
          <t>Packaged Staples</t>
        </is>
      </c>
      <c r="G46" s="4" t="inlineStr">
        <is>
          <t>A</t>
        </is>
      </c>
      <c r="H46" s="4" t="inlineStr">
        <is>
          <t>STOCKOUT</t>
        </is>
      </c>
      <c r="I46" s="13" t="n">
        <v>0</v>
      </c>
      <c r="J46" s="11" t="n">
        <v>0</v>
      </c>
      <c r="K46" s="13" t="n">
        <v>910.3</v>
      </c>
      <c r="L46" s="11" t="n">
        <v>3156</v>
      </c>
      <c r="M46" s="4" t="inlineStr">
        <is>
          <t>PO0031010</t>
        </is>
      </c>
      <c r="N46" s="4" t="inlineStr">
        <is>
          <t>2026-09-25</t>
        </is>
      </c>
      <c r="O46" s="4" t="inlineStr">
        <is>
          <t>INBOUND OVERDUE</t>
        </is>
      </c>
      <c r="P46" s="11" t="n">
        <v>13654</v>
      </c>
    </row>
    <row r="47">
      <c r="A47" s="4" t="inlineStr">
        <is>
          <t>WH06</t>
        </is>
      </c>
      <c r="B47" s="4" t="inlineStr">
        <is>
          <t>Ahmedabad DC</t>
        </is>
      </c>
      <c r="C47" s="4" t="inlineStr">
        <is>
          <t>West</t>
        </is>
      </c>
      <c r="D47" s="4" t="inlineStr">
        <is>
          <t>SKU059</t>
        </is>
      </c>
      <c r="E47" s="4" t="inlineStr">
        <is>
          <t>Lip Balm</t>
        </is>
      </c>
      <c r="F47" s="4" t="inlineStr">
        <is>
          <t>Personal Care</t>
        </is>
      </c>
      <c r="G47" s="4" t="inlineStr">
        <is>
          <t>B</t>
        </is>
      </c>
      <c r="H47" s="4" t="inlineStr">
        <is>
          <t>STOCKOUT</t>
        </is>
      </c>
      <c r="I47" s="13" t="n">
        <v>0</v>
      </c>
      <c r="J47" s="11" t="n">
        <v>0</v>
      </c>
      <c r="K47" s="13" t="n">
        <v>279.5</v>
      </c>
      <c r="L47" s="11" t="n">
        <v>828</v>
      </c>
      <c r="M47" s="4" t="inlineStr">
        <is>
          <t>PO0030704</t>
        </is>
      </c>
      <c r="N47" s="4" t="inlineStr">
        <is>
          <t>2026-09-17</t>
        </is>
      </c>
      <c r="O47" s="4" t="inlineStr">
        <is>
          <t>INBOUND OVERDUE</t>
        </is>
      </c>
      <c r="P47" s="11" t="n">
        <v>13416</v>
      </c>
    </row>
    <row r="48">
      <c r="A48" s="4" t="inlineStr">
        <is>
          <t>WH06</t>
        </is>
      </c>
      <c r="B48" s="4" t="inlineStr">
        <is>
          <t>Ahmedabad DC</t>
        </is>
      </c>
      <c r="C48" s="4" t="inlineStr">
        <is>
          <t>West</t>
        </is>
      </c>
      <c r="D48" s="4" t="inlineStr">
        <is>
          <t>SKU055</t>
        </is>
      </c>
      <c r="E48" s="4" t="inlineStr">
        <is>
          <t>Talc 300g</t>
        </is>
      </c>
      <c r="F48" s="4" t="inlineStr">
        <is>
          <t>Personal Care</t>
        </is>
      </c>
      <c r="G48" s="4" t="inlineStr">
        <is>
          <t>B</t>
        </is>
      </c>
      <c r="H48" s="4" t="inlineStr">
        <is>
          <t>STOCKOUT</t>
        </is>
      </c>
      <c r="I48" s="13" t="n">
        <v>0</v>
      </c>
      <c r="J48" s="11" t="n">
        <v>0</v>
      </c>
      <c r="K48" s="13" t="n">
        <v>557.8</v>
      </c>
      <c r="L48" s="11" t="n">
        <v>1644</v>
      </c>
      <c r="M48" s="4" t="inlineStr">
        <is>
          <t>PO0031070</t>
        </is>
      </c>
      <c r="N48" s="4" t="inlineStr">
        <is>
          <t>2026-09-24</t>
        </is>
      </c>
      <c r="O48" s="4" t="inlineStr">
        <is>
          <t>INBOUND OVERDUE</t>
        </is>
      </c>
      <c r="P48" s="11" t="n">
        <v>12828</v>
      </c>
    </row>
    <row r="49">
      <c r="A49" s="4" t="inlineStr">
        <is>
          <t>WH12</t>
        </is>
      </c>
      <c r="B49" s="4" t="inlineStr">
        <is>
          <t>Nagpur DC</t>
        </is>
      </c>
      <c r="C49" s="4" t="inlineStr">
        <is>
          <t>Central</t>
        </is>
      </c>
      <c r="D49" s="4" t="inlineStr">
        <is>
          <t>SKU076</t>
        </is>
      </c>
      <c r="E49" s="4" t="inlineStr">
        <is>
          <t>USB-C Cable 1m</t>
        </is>
      </c>
      <c r="F49" s="4" t="inlineStr">
        <is>
          <t>Electronics Accessories</t>
        </is>
      </c>
      <c r="G49" s="4" t="inlineStr">
        <is>
          <t>A</t>
        </is>
      </c>
      <c r="H49" s="4" t="inlineStr">
        <is>
          <t>STOCKOUT</t>
        </is>
      </c>
      <c r="I49" s="13" t="n">
        <v>0</v>
      </c>
      <c r="J49" s="11" t="n">
        <v>0</v>
      </c>
      <c r="K49" s="13" t="n">
        <v>92.8</v>
      </c>
      <c r="L49" s="11" t="n">
        <v>450</v>
      </c>
      <c r="M49" s="4" t="inlineStr">
        <is>
          <t>PO0031174</t>
        </is>
      </c>
      <c r="N49" s="4" t="inlineStr">
        <is>
          <t>2026-10-02</t>
        </is>
      </c>
      <c r="O49" s="4" t="inlineStr">
        <is>
          <t>INBOUND OVERDUE</t>
        </is>
      </c>
      <c r="P49" s="11" t="n">
        <v>12150</v>
      </c>
    </row>
    <row r="50">
      <c r="A50" s="4" t="inlineStr">
        <is>
          <t>WH08</t>
        </is>
      </c>
      <c r="B50" s="4" t="inlineStr">
        <is>
          <t>Chennai DC</t>
        </is>
      </c>
      <c r="C50" s="4" t="inlineStr">
        <is>
          <t>South</t>
        </is>
      </c>
      <c r="D50" s="4" t="inlineStr">
        <is>
          <t>SKU027</t>
        </is>
      </c>
      <c r="E50" s="4" t="inlineStr">
        <is>
          <t>Lassi 200ml</t>
        </is>
      </c>
      <c r="F50" s="4" t="inlineStr">
        <is>
          <t>Beverages</t>
        </is>
      </c>
      <c r="G50" s="4" t="inlineStr">
        <is>
          <t>A</t>
        </is>
      </c>
      <c r="H50" s="4" t="inlineStr">
        <is>
          <t>STOCKOUT</t>
        </is>
      </c>
      <c r="I50" s="13" t="n">
        <v>0</v>
      </c>
      <c r="J50" s="11" t="n">
        <v>0</v>
      </c>
      <c r="K50" s="13" t="n">
        <v>982.8</v>
      </c>
      <c r="L50" s="11" t="n">
        <v>3360</v>
      </c>
      <c r="M50" s="4" t="inlineStr">
        <is>
          <t>PO0031919</t>
        </is>
      </c>
      <c r="N50" s="4" t="inlineStr">
        <is>
          <t>2026-10-07</t>
        </is>
      </c>
      <c r="O50" s="4" t="inlineStr">
        <is>
          <t>GAP BEFORE ARRIVAL</t>
        </is>
      </c>
      <c r="P50" s="11" t="n">
        <v>11793</v>
      </c>
    </row>
    <row r="51">
      <c r="A51" s="4" t="inlineStr">
        <is>
          <t>WH10</t>
        </is>
      </c>
      <c r="B51" s="4" t="inlineStr">
        <is>
          <t>Kolkata DC</t>
        </is>
      </c>
      <c r="C51" s="4" t="inlineStr">
        <is>
          <t>East</t>
        </is>
      </c>
      <c r="D51" s="4" t="inlineStr">
        <is>
          <t>SKU105</t>
        </is>
      </c>
      <c r="E51" s="4" t="inlineStr">
        <is>
          <t>Face Masks 50pk</t>
        </is>
      </c>
      <c r="F51" s="4" t="inlineStr">
        <is>
          <t>OTC Pharma &amp; Wellness</t>
        </is>
      </c>
      <c r="G51" s="4" t="inlineStr">
        <is>
          <t>C</t>
        </is>
      </c>
      <c r="H51" s="4" t="inlineStr">
        <is>
          <t>STOCKOUT</t>
        </is>
      </c>
      <c r="I51" s="13" t="n">
        <v>0</v>
      </c>
      <c r="J51" s="11" t="n">
        <v>0</v>
      </c>
      <c r="K51" s="13" t="n">
        <v>405.5</v>
      </c>
      <c r="L51" s="11" t="n">
        <v>1992</v>
      </c>
      <c r="M51" s="4" t="inlineStr">
        <is>
          <t>PO0031305</t>
        </is>
      </c>
      <c r="N51" s="4" t="inlineStr">
        <is>
          <t>2026-10-02</t>
        </is>
      </c>
      <c r="O51" s="4" t="inlineStr">
        <is>
          <t>INBOUND OVERDUE</t>
        </is>
      </c>
      <c r="P51" s="11" t="n">
        <v>11760</v>
      </c>
    </row>
    <row r="52">
      <c r="A52" s="4" t="inlineStr">
        <is>
          <t>WH03</t>
        </is>
      </c>
      <c r="B52" s="4" t="inlineStr">
        <is>
          <t>Lucknow DC</t>
        </is>
      </c>
      <c r="C52" s="4" t="inlineStr">
        <is>
          <t>North</t>
        </is>
      </c>
      <c r="D52" s="4" t="inlineStr">
        <is>
          <t>SKU044</t>
        </is>
      </c>
      <c r="E52" s="4" t="inlineStr">
        <is>
          <t>Rusk 300g</t>
        </is>
      </c>
      <c r="F52" s="4" t="inlineStr">
        <is>
          <t>Snacks &amp; Confectionery</t>
        </is>
      </c>
      <c r="G52" s="4" t="inlineStr">
        <is>
          <t>A</t>
        </is>
      </c>
      <c r="H52" s="4" t="inlineStr">
        <is>
          <t>STOCKOUT</t>
        </is>
      </c>
      <c r="I52" s="13" t="n">
        <v>0</v>
      </c>
      <c r="J52" s="11" t="n">
        <v>0</v>
      </c>
      <c r="K52" s="13" t="n">
        <v>881.5</v>
      </c>
      <c r="L52" s="11" t="n">
        <v>4044</v>
      </c>
      <c r="M52" s="4" t="inlineStr">
        <is>
          <t>PO0031684</t>
        </is>
      </c>
      <c r="N52" s="4" t="inlineStr">
        <is>
          <t>2026-10-08</t>
        </is>
      </c>
      <c r="O52" s="4" t="inlineStr">
        <is>
          <t>GAP BEFORE ARRIVAL</t>
        </is>
      </c>
      <c r="P52" s="11" t="n">
        <v>11460</v>
      </c>
    </row>
    <row r="53">
      <c r="A53" s="4" t="inlineStr">
        <is>
          <t>WH08</t>
        </is>
      </c>
      <c r="B53" s="4" t="inlineStr">
        <is>
          <t>Chennai DC</t>
        </is>
      </c>
      <c r="C53" s="4" t="inlineStr">
        <is>
          <t>South</t>
        </is>
      </c>
      <c r="D53" s="4" t="inlineStr">
        <is>
          <t>SKU106</t>
        </is>
      </c>
      <c r="E53" s="4" t="inlineStr">
        <is>
          <t>Corrugated Box 12x12</t>
        </is>
      </c>
      <c r="F53" s="4" t="inlineStr">
        <is>
          <t>Packaging &amp; Supplies</t>
        </is>
      </c>
      <c r="G53" s="4" t="inlineStr">
        <is>
          <t>B</t>
        </is>
      </c>
      <c r="H53" s="4" t="inlineStr">
        <is>
          <t>STOCKOUT</t>
        </is>
      </c>
      <c r="I53" s="13" t="n">
        <v>0</v>
      </c>
      <c r="J53" s="11" t="n">
        <v>0</v>
      </c>
      <c r="K53" s="13" t="n">
        <v>142</v>
      </c>
      <c r="L53" s="11" t="n">
        <v>360</v>
      </c>
      <c r="M53" s="4" t="inlineStr">
        <is>
          <t>PO0031432</t>
        </is>
      </c>
      <c r="N53" s="4" t="inlineStr">
        <is>
          <t>2026-10-14</t>
        </is>
      </c>
      <c r="O53" s="4" t="inlineStr">
        <is>
          <t>GAP BEFORE ARRIVAL</t>
        </is>
      </c>
      <c r="P53" s="11" t="n">
        <v>11360</v>
      </c>
    </row>
    <row r="54">
      <c r="A54" s="4" t="inlineStr">
        <is>
          <t>WH12</t>
        </is>
      </c>
      <c r="B54" s="4" t="inlineStr">
        <is>
          <t>Nagpur DC</t>
        </is>
      </c>
      <c r="C54" s="4" t="inlineStr">
        <is>
          <t>Central</t>
        </is>
      </c>
      <c r="D54" s="4" t="inlineStr">
        <is>
          <t>SKU014</t>
        </is>
      </c>
      <c r="E54" s="4" t="inlineStr">
        <is>
          <t>Ghee 500ml</t>
        </is>
      </c>
      <c r="F54" s="4" t="inlineStr">
        <is>
          <t>Packaged Staples</t>
        </is>
      </c>
      <c r="G54" s="4" t="inlineStr">
        <is>
          <t>A</t>
        </is>
      </c>
      <c r="H54" s="4" t="inlineStr">
        <is>
          <t>STOCKOUT</t>
        </is>
      </c>
      <c r="I54" s="13" t="n">
        <v>0</v>
      </c>
      <c r="J54" s="11" t="n">
        <v>0</v>
      </c>
      <c r="K54" s="13" t="n">
        <v>366</v>
      </c>
      <c r="L54" s="11" t="n">
        <v>1728</v>
      </c>
      <c r="M54" s="4" t="inlineStr">
        <is>
          <t>PO0031647</t>
        </is>
      </c>
      <c r="N54" s="4" t="inlineStr">
        <is>
          <t>2026-09-30</t>
        </is>
      </c>
      <c r="O54" s="4" t="inlineStr">
        <is>
          <t>INBOUND OVERDUE</t>
        </is>
      </c>
      <c r="P54" s="11" t="n">
        <v>10980</v>
      </c>
    </row>
    <row r="55">
      <c r="A55" s="4" t="inlineStr">
        <is>
          <t>WH09</t>
        </is>
      </c>
      <c r="B55" s="4" t="inlineStr">
        <is>
          <t>Hyderabad DC</t>
        </is>
      </c>
      <c r="C55" s="4" t="inlineStr">
        <is>
          <t>South</t>
        </is>
      </c>
      <c r="D55" s="4" t="inlineStr">
        <is>
          <t>SKU081</t>
        </is>
      </c>
      <c r="E55" s="4" t="inlineStr">
        <is>
          <t>Bluetooth Speaker</t>
        </is>
      </c>
      <c r="F55" s="4" t="inlineStr">
        <is>
          <t>Electronics Accessories</t>
        </is>
      </c>
      <c r="G55" s="4" t="inlineStr">
        <is>
          <t>B</t>
        </is>
      </c>
      <c r="H55" s="4" t="inlineStr">
        <is>
          <t>STOCKOUT</t>
        </is>
      </c>
      <c r="I55" s="13" t="n">
        <v>0</v>
      </c>
      <c r="J55" s="11" t="n">
        <v>0</v>
      </c>
      <c r="K55" s="13" t="n">
        <v>161</v>
      </c>
      <c r="L55" s="11" t="n">
        <v>1650</v>
      </c>
      <c r="M55" s="4" t="inlineStr">
        <is>
          <t>PO0030598</t>
        </is>
      </c>
      <c r="N55" s="4" t="inlineStr">
        <is>
          <t>2026-09-28</t>
        </is>
      </c>
      <c r="O55" s="4" t="inlineStr">
        <is>
          <t>INBOUND OVERDUE</t>
        </is>
      </c>
      <c r="P55" s="11" t="n">
        <v>10626</v>
      </c>
    </row>
    <row r="56">
      <c r="A56" s="4" t="inlineStr">
        <is>
          <t>WH05</t>
        </is>
      </c>
      <c r="B56" s="4" t="inlineStr">
        <is>
          <t>Pune DC</t>
        </is>
      </c>
      <c r="C56" s="4" t="inlineStr">
        <is>
          <t>West</t>
        </is>
      </c>
      <c r="D56" s="4" t="inlineStr">
        <is>
          <t>SKU107</t>
        </is>
      </c>
      <c r="E56" s="4" t="inlineStr">
        <is>
          <t>Stretch Film 500mm</t>
        </is>
      </c>
      <c r="F56" s="4" t="inlineStr">
        <is>
          <t>Packaging &amp; Supplies</t>
        </is>
      </c>
      <c r="G56" s="4" t="inlineStr">
        <is>
          <t>A</t>
        </is>
      </c>
      <c r="H56" s="4" t="inlineStr">
        <is>
          <t>STOCKOUT</t>
        </is>
      </c>
      <c r="I56" s="13" t="n">
        <v>0</v>
      </c>
      <c r="J56" s="11" t="n">
        <v>0</v>
      </c>
      <c r="K56" s="13" t="n">
        <v>179.8</v>
      </c>
      <c r="L56" s="11" t="n">
        <v>640</v>
      </c>
      <c r="M56" s="4" t="inlineStr">
        <is>
          <t>PO0031060</t>
        </is>
      </c>
      <c r="N56" s="4" t="inlineStr">
        <is>
          <t>2026-09-27</t>
        </is>
      </c>
      <c r="O56" s="4" t="inlineStr">
        <is>
          <t>INBOUND OVERDUE</t>
        </is>
      </c>
      <c r="P56" s="11" t="n">
        <v>10605</v>
      </c>
    </row>
    <row r="57">
      <c r="A57" s="4" t="inlineStr">
        <is>
          <t>WH10</t>
        </is>
      </c>
      <c r="B57" s="4" t="inlineStr">
        <is>
          <t>Kolkata DC</t>
        </is>
      </c>
      <c r="C57" s="4" t="inlineStr">
        <is>
          <t>East</t>
        </is>
      </c>
      <c r="D57" s="4" t="inlineStr">
        <is>
          <t>SKU094</t>
        </is>
      </c>
      <c r="E57" s="4" t="inlineStr">
        <is>
          <t>Cough Syrup 100ml</t>
        </is>
      </c>
      <c r="F57" s="4" t="inlineStr">
        <is>
          <t>OTC Pharma &amp; Wellness</t>
        </is>
      </c>
      <c r="G57" s="4" t="inlineStr">
        <is>
          <t>B</t>
        </is>
      </c>
      <c r="H57" s="4" t="inlineStr">
        <is>
          <t>STOCKOUT</t>
        </is>
      </c>
      <c r="I57" s="13" t="n">
        <v>0</v>
      </c>
      <c r="J57" s="11" t="n">
        <v>0</v>
      </c>
      <c r="K57" s="13" t="n">
        <v>165</v>
      </c>
      <c r="L57" s="11" t="n">
        <v>600</v>
      </c>
      <c r="M57" s="4" t="inlineStr">
        <is>
          <t>PO0031628</t>
        </is>
      </c>
      <c r="N57" s="4" t="inlineStr">
        <is>
          <t>2026-10-05</t>
        </is>
      </c>
      <c r="O57" s="4" t="inlineStr">
        <is>
          <t>GAP BEFORE ARRIVAL</t>
        </is>
      </c>
      <c r="P57" s="11" t="n">
        <v>10560</v>
      </c>
    </row>
    <row r="58">
      <c r="A58" s="4" t="inlineStr">
        <is>
          <t>WH08</t>
        </is>
      </c>
      <c r="B58" s="4" t="inlineStr">
        <is>
          <t>Chennai DC</t>
        </is>
      </c>
      <c r="C58" s="4" t="inlineStr">
        <is>
          <t>South</t>
        </is>
      </c>
      <c r="D58" s="4" t="inlineStr">
        <is>
          <t>SKU073</t>
        </is>
      </c>
      <c r="E58" s="4" t="inlineStr">
        <is>
          <t>Agarbatti 100pk</t>
        </is>
      </c>
      <c r="F58" s="4" t="inlineStr">
        <is>
          <t>Home Care</t>
        </is>
      </c>
      <c r="G58" s="4" t="inlineStr">
        <is>
          <t>C</t>
        </is>
      </c>
      <c r="H58" s="4" t="inlineStr">
        <is>
          <t>STOCKOUT</t>
        </is>
      </c>
      <c r="I58" s="13" t="n">
        <v>0</v>
      </c>
      <c r="J58" s="11" t="n">
        <v>0</v>
      </c>
      <c r="K58" s="13" t="n">
        <v>650.3</v>
      </c>
      <c r="L58" s="11" t="n">
        <v>1344</v>
      </c>
      <c r="M58" s="4" t="inlineStr">
        <is>
          <t>PO0031929</t>
        </is>
      </c>
      <c r="N58" s="4" t="inlineStr">
        <is>
          <t>2026-10-11</t>
        </is>
      </c>
      <c r="O58" s="4" t="inlineStr">
        <is>
          <t>GAP BEFORE ARRIVAL</t>
        </is>
      </c>
      <c r="P58" s="11" t="n">
        <v>10404</v>
      </c>
    </row>
    <row r="59">
      <c r="A59" s="4" t="inlineStr">
        <is>
          <t>WH03</t>
        </is>
      </c>
      <c r="B59" s="4" t="inlineStr">
        <is>
          <t>Lucknow DC</t>
        </is>
      </c>
      <c r="C59" s="4" t="inlineStr">
        <is>
          <t>North</t>
        </is>
      </c>
      <c r="D59" s="4" t="inlineStr">
        <is>
          <t>SKU059</t>
        </is>
      </c>
      <c r="E59" s="4" t="inlineStr">
        <is>
          <t>Lip Balm</t>
        </is>
      </c>
      <c r="F59" s="4" t="inlineStr">
        <is>
          <t>Personal Care</t>
        </is>
      </c>
      <c r="G59" s="4" t="inlineStr">
        <is>
          <t>B</t>
        </is>
      </c>
      <c r="H59" s="4" t="inlineStr">
        <is>
          <t>STOCKOUT</t>
        </is>
      </c>
      <c r="I59" s="13" t="n">
        <v>0</v>
      </c>
      <c r="J59" s="11" t="n">
        <v>0</v>
      </c>
      <c r="K59" s="13" t="n">
        <v>211.8</v>
      </c>
      <c r="L59" s="11" t="n">
        <v>828</v>
      </c>
      <c r="M59" s="4" t="inlineStr">
        <is>
          <t>PO0031361</t>
        </is>
      </c>
      <c r="N59" s="4" t="inlineStr">
        <is>
          <t>2026-09-28</t>
        </is>
      </c>
      <c r="O59" s="4" t="inlineStr">
        <is>
          <t>INBOUND OVERDUE</t>
        </is>
      </c>
      <c r="P59" s="11" t="n">
        <v>10164</v>
      </c>
    </row>
    <row r="60">
      <c r="A60" s="4" t="inlineStr">
        <is>
          <t>WH03</t>
        </is>
      </c>
      <c r="B60" s="4" t="inlineStr">
        <is>
          <t>Lucknow DC</t>
        </is>
      </c>
      <c r="C60" s="4" t="inlineStr">
        <is>
          <t>North</t>
        </is>
      </c>
      <c r="D60" s="4" t="inlineStr">
        <is>
          <t>SKU082</t>
        </is>
      </c>
      <c r="E60" s="4" t="inlineStr">
        <is>
          <t>Phone Case</t>
        </is>
      </c>
      <c r="F60" s="4" t="inlineStr">
        <is>
          <t>Electronics Accessories</t>
        </is>
      </c>
      <c r="G60" s="4" t="inlineStr">
        <is>
          <t>B</t>
        </is>
      </c>
      <c r="H60" s="4" t="inlineStr">
        <is>
          <t>STOCKOUT</t>
        </is>
      </c>
      <c r="I60" s="13" t="n">
        <v>0</v>
      </c>
      <c r="J60" s="11" t="n">
        <v>0</v>
      </c>
      <c r="K60" s="13" t="n">
        <v>59.5</v>
      </c>
      <c r="L60" s="11" t="n">
        <v>500</v>
      </c>
      <c r="M60" s="4" t="inlineStr">
        <is>
          <t>PO0030347</t>
        </is>
      </c>
      <c r="N60" s="4" t="inlineStr">
        <is>
          <t>2026-09-27</t>
        </is>
      </c>
      <c r="O60" s="4" t="inlineStr">
        <is>
          <t>INBOUND OVERDUE</t>
        </is>
      </c>
      <c r="P60" s="11" t="n">
        <v>10115</v>
      </c>
    </row>
    <row r="61">
      <c r="A61" s="4" t="inlineStr">
        <is>
          <t>WH08</t>
        </is>
      </c>
      <c r="B61" s="4" t="inlineStr">
        <is>
          <t>Chennai DC</t>
        </is>
      </c>
      <c r="C61" s="4" t="inlineStr">
        <is>
          <t>South</t>
        </is>
      </c>
      <c r="D61" s="4" t="inlineStr">
        <is>
          <t>SKU004</t>
        </is>
      </c>
      <c r="E61" s="4" t="inlineStr">
        <is>
          <t>Moong Dal 1kg</t>
        </is>
      </c>
      <c r="F61" s="4" t="inlineStr">
        <is>
          <t>Packaged Staples</t>
        </is>
      </c>
      <c r="G61" s="4" t="inlineStr">
        <is>
          <t>B</t>
        </is>
      </c>
      <c r="H61" s="4" t="inlineStr">
        <is>
          <t>STOCKOUT</t>
        </is>
      </c>
      <c r="I61" s="13" t="n">
        <v>0</v>
      </c>
      <c r="J61" s="11" t="n">
        <v>0</v>
      </c>
      <c r="K61" s="13" t="n">
        <v>895</v>
      </c>
      <c r="L61" s="11" t="n">
        <v>1920</v>
      </c>
      <c r="M61" s="4" t="inlineStr">
        <is>
          <t>PO0031580</t>
        </is>
      </c>
      <c r="N61" s="4" t="inlineStr">
        <is>
          <t>2026-10-03</t>
        </is>
      </c>
      <c r="O61" s="4" t="inlineStr">
        <is>
          <t>INBOUND OVERDUE</t>
        </is>
      </c>
      <c r="P61" s="11" t="n">
        <v>9845</v>
      </c>
    </row>
    <row r="62">
      <c r="A62" s="4" t="inlineStr">
        <is>
          <t>WH09</t>
        </is>
      </c>
      <c r="B62" s="4" t="inlineStr">
        <is>
          <t>Hyderabad DC</t>
        </is>
      </c>
      <c r="C62" s="4" t="inlineStr">
        <is>
          <t>South</t>
        </is>
      </c>
      <c r="D62" s="4" t="inlineStr">
        <is>
          <t>SKU083</t>
        </is>
      </c>
      <c r="E62" s="4" t="inlineStr">
        <is>
          <t>Screen Guard</t>
        </is>
      </c>
      <c r="F62" s="4" t="inlineStr">
        <is>
          <t>Electronics Accessories</t>
        </is>
      </c>
      <c r="G62" s="4" t="inlineStr">
        <is>
          <t>C</t>
        </is>
      </c>
      <c r="H62" s="4" t="inlineStr">
        <is>
          <t>STOCKOUT</t>
        </is>
      </c>
      <c r="I62" s="13" t="n">
        <v>0</v>
      </c>
      <c r="J62" s="11" t="n">
        <v>0</v>
      </c>
      <c r="K62" s="13" t="n">
        <v>136</v>
      </c>
      <c r="L62" s="11" t="n">
        <v>860</v>
      </c>
      <c r="M62" s="4" t="inlineStr">
        <is>
          <t>PO0030759</t>
        </is>
      </c>
      <c r="N62" s="4" t="inlineStr">
        <is>
          <t>2026-10-02</t>
        </is>
      </c>
      <c r="O62" s="4" t="inlineStr">
        <is>
          <t>INBOUND OVERDUE</t>
        </is>
      </c>
      <c r="P62" s="11" t="n">
        <v>9384</v>
      </c>
    </row>
    <row r="63">
      <c r="A63" s="4" t="inlineStr">
        <is>
          <t>WH12</t>
        </is>
      </c>
      <c r="B63" s="4" t="inlineStr">
        <is>
          <t>Nagpur DC</t>
        </is>
      </c>
      <c r="C63" s="4" t="inlineStr">
        <is>
          <t>Central</t>
        </is>
      </c>
      <c r="D63" s="4" t="inlineStr">
        <is>
          <t>SKU088</t>
        </is>
      </c>
      <c r="E63" s="4" t="inlineStr">
        <is>
          <t>Wireless Mouse</t>
        </is>
      </c>
      <c r="F63" s="4" t="inlineStr">
        <is>
          <t>Electronics Accessories</t>
        </is>
      </c>
      <c r="G63" s="4" t="inlineStr">
        <is>
          <t>A</t>
        </is>
      </c>
      <c r="H63" s="4" t="inlineStr">
        <is>
          <t>STOCKOUT</t>
        </is>
      </c>
      <c r="I63" s="13" t="n">
        <v>0</v>
      </c>
      <c r="J63" s="11" t="n">
        <v>0</v>
      </c>
      <c r="K63" s="13" t="n">
        <v>88.8</v>
      </c>
      <c r="L63" s="11" t="n">
        <v>420</v>
      </c>
      <c r="M63" s="4" t="inlineStr">
        <is>
          <t>PO0031321</t>
        </is>
      </c>
      <c r="N63" s="4" t="inlineStr">
        <is>
          <t>2026-10-08</t>
        </is>
      </c>
      <c r="O63" s="4" t="inlineStr">
        <is>
          <t>GAP BEFORE ARRIVAL</t>
        </is>
      </c>
      <c r="P63" s="11" t="n">
        <v>9319</v>
      </c>
    </row>
    <row r="64">
      <c r="A64" s="4" t="inlineStr">
        <is>
          <t>WH11</t>
        </is>
      </c>
      <c r="B64" s="4" t="inlineStr">
        <is>
          <t>Guwahati DC</t>
        </is>
      </c>
      <c r="C64" s="4" t="inlineStr">
        <is>
          <t>East</t>
        </is>
      </c>
      <c r="D64" s="4" t="inlineStr">
        <is>
          <t>SKU069</t>
        </is>
      </c>
      <c r="E64" s="4" t="inlineStr">
        <is>
          <t>Garbage Bags 30pk</t>
        </is>
      </c>
      <c r="F64" s="4" t="inlineStr">
        <is>
          <t>Home Care</t>
        </is>
      </c>
      <c r="G64" s="4" t="inlineStr">
        <is>
          <t>B</t>
        </is>
      </c>
      <c r="H64" s="4" t="inlineStr">
        <is>
          <t>STOCKOUT</t>
        </is>
      </c>
      <c r="I64" s="13" t="n">
        <v>0</v>
      </c>
      <c r="J64" s="11" t="n">
        <v>0</v>
      </c>
      <c r="K64" s="13" t="n">
        <v>183.3</v>
      </c>
      <c r="L64" s="11" t="n">
        <v>552</v>
      </c>
      <c r="M64" s="4" t="inlineStr">
        <is>
          <t>PO0031639</t>
        </is>
      </c>
      <c r="N64" s="4" t="inlineStr">
        <is>
          <t>2026-10-06</t>
        </is>
      </c>
      <c r="O64" s="4" t="inlineStr">
        <is>
          <t>GAP BEFORE ARRIVAL</t>
        </is>
      </c>
      <c r="P64" s="11" t="n">
        <v>9163</v>
      </c>
    </row>
    <row r="65">
      <c r="A65" s="4" t="inlineStr">
        <is>
          <t>WH11</t>
        </is>
      </c>
      <c r="B65" s="4" t="inlineStr">
        <is>
          <t>Guwahati DC</t>
        </is>
      </c>
      <c r="C65" s="4" t="inlineStr">
        <is>
          <t>East</t>
        </is>
      </c>
      <c r="D65" s="4" t="inlineStr">
        <is>
          <t>SKU009</t>
        </is>
      </c>
      <c r="E65" s="4" t="inlineStr">
        <is>
          <t>Tea Leaves 500g</t>
        </is>
      </c>
      <c r="F65" s="4" t="inlineStr">
        <is>
          <t>Packaged Staples</t>
        </is>
      </c>
      <c r="G65" s="4" t="inlineStr">
        <is>
          <t>A</t>
        </is>
      </c>
      <c r="H65" s="4" t="inlineStr">
        <is>
          <t>STOCKOUT</t>
        </is>
      </c>
      <c r="I65" s="13" t="n">
        <v>0</v>
      </c>
      <c r="J65" s="11" t="n">
        <v>0</v>
      </c>
      <c r="K65" s="13" t="n">
        <v>685.5</v>
      </c>
      <c r="L65" s="11" t="n">
        <v>2112</v>
      </c>
      <c r="M65" s="4" t="inlineStr">
        <is>
          <t>PO0031464</t>
        </is>
      </c>
      <c r="N65" s="4" t="inlineStr">
        <is>
          <t>2026-10-07</t>
        </is>
      </c>
      <c r="O65" s="4" t="inlineStr">
        <is>
          <t>GAP BEFORE ARRIVAL</t>
        </is>
      </c>
      <c r="P65" s="11" t="n">
        <v>8912</v>
      </c>
    </row>
    <row r="66">
      <c r="A66" s="4" t="inlineStr">
        <is>
          <t>WH11</t>
        </is>
      </c>
      <c r="B66" s="4" t="inlineStr">
        <is>
          <t>Guwahati DC</t>
        </is>
      </c>
      <c r="C66" s="4" t="inlineStr">
        <is>
          <t>East</t>
        </is>
      </c>
      <c r="D66" s="4" t="inlineStr">
        <is>
          <t>SKU022</t>
        </is>
      </c>
      <c r="E66" s="4" t="inlineStr">
        <is>
          <t>Iced Tea 500ml</t>
        </is>
      </c>
      <c r="F66" s="4" t="inlineStr">
        <is>
          <t>Beverages</t>
        </is>
      </c>
      <c r="G66" s="4" t="inlineStr">
        <is>
          <t>A</t>
        </is>
      </c>
      <c r="H66" s="4" t="inlineStr">
        <is>
          <t>STOCKOUT</t>
        </is>
      </c>
      <c r="I66" s="13" t="n">
        <v>0</v>
      </c>
      <c r="J66" s="11" t="n">
        <v>0</v>
      </c>
      <c r="K66" s="13" t="n">
        <v>786.3</v>
      </c>
      <c r="L66" s="11" t="n">
        <v>2712</v>
      </c>
      <c r="M66" s="4" t="inlineStr">
        <is>
          <t>PO0031466</t>
        </is>
      </c>
      <c r="N66" s="4" t="inlineStr">
        <is>
          <t>2026-10-05</t>
        </is>
      </c>
      <c r="O66" s="4" t="inlineStr">
        <is>
          <t>GAP BEFORE ARRIVAL</t>
        </is>
      </c>
      <c r="P66" s="11" t="n">
        <v>8649</v>
      </c>
    </row>
    <row r="67">
      <c r="A67" s="4" t="inlineStr">
        <is>
          <t>WH08</t>
        </is>
      </c>
      <c r="B67" s="4" t="inlineStr">
        <is>
          <t>Chennai DC</t>
        </is>
      </c>
      <c r="C67" s="4" t="inlineStr">
        <is>
          <t>South</t>
        </is>
      </c>
      <c r="D67" s="4" t="inlineStr">
        <is>
          <t>SKU020</t>
        </is>
      </c>
      <c r="E67" s="4" t="inlineStr">
        <is>
          <t>Energy Drink 250ml</t>
        </is>
      </c>
      <c r="F67" s="4" t="inlineStr">
        <is>
          <t>Beverages</t>
        </is>
      </c>
      <c r="G67" s="4" t="inlineStr">
        <is>
          <t>B</t>
        </is>
      </c>
      <c r="H67" s="4" t="inlineStr">
        <is>
          <t>STOCKOUT</t>
        </is>
      </c>
      <c r="I67" s="13" t="n">
        <v>0</v>
      </c>
      <c r="J67" s="11" t="n">
        <v>0</v>
      </c>
      <c r="K67" s="13" t="n">
        <v>2120.3</v>
      </c>
      <c r="L67" s="11" t="n">
        <v>0</v>
      </c>
      <c r="M67" s="4" t="n"/>
      <c r="N67" s="4" t="n"/>
      <c r="O67" s="4" t="inlineStr">
        <is>
          <t>NO INBOUND PO</t>
        </is>
      </c>
      <c r="P67" s="11" t="n">
        <v>8481</v>
      </c>
    </row>
    <row r="68">
      <c r="A68" s="4" t="inlineStr">
        <is>
          <t>WH08</t>
        </is>
      </c>
      <c r="B68" s="4" t="inlineStr">
        <is>
          <t>Chennai DC</t>
        </is>
      </c>
      <c r="C68" s="4" t="inlineStr">
        <is>
          <t>South</t>
        </is>
      </c>
      <c r="D68" s="4" t="inlineStr">
        <is>
          <t>SKU047</t>
        </is>
      </c>
      <c r="E68" s="4" t="inlineStr">
        <is>
          <t>Soap 4-pack</t>
        </is>
      </c>
      <c r="F68" s="4" t="inlineStr">
        <is>
          <t>Personal Care</t>
        </is>
      </c>
      <c r="G68" s="4" t="inlineStr">
        <is>
          <t>C</t>
        </is>
      </c>
      <c r="H68" s="4" t="inlineStr">
        <is>
          <t>STOCKOUT</t>
        </is>
      </c>
      <c r="I68" s="13" t="n">
        <v>0</v>
      </c>
      <c r="J68" s="11" t="n">
        <v>0</v>
      </c>
      <c r="K68" s="13" t="n">
        <v>834.3</v>
      </c>
      <c r="L68" s="11" t="n">
        <v>1476</v>
      </c>
      <c r="M68" s="4" t="inlineStr">
        <is>
          <t>PO0031428</t>
        </is>
      </c>
      <c r="N68" s="4" t="inlineStr">
        <is>
          <t>2026-10-02</t>
        </is>
      </c>
      <c r="O68" s="4" t="inlineStr">
        <is>
          <t>INBOUND OVERDUE</t>
        </is>
      </c>
      <c r="P68" s="11" t="n">
        <v>8343</v>
      </c>
    </row>
    <row r="69">
      <c r="A69" s="4" t="inlineStr">
        <is>
          <t>WH08</t>
        </is>
      </c>
      <c r="B69" s="4" t="inlineStr">
        <is>
          <t>Chennai DC</t>
        </is>
      </c>
      <c r="C69" s="4" t="inlineStr">
        <is>
          <t>South</t>
        </is>
      </c>
      <c r="D69" s="4" t="inlineStr">
        <is>
          <t>SKU105</t>
        </is>
      </c>
      <c r="E69" s="4" t="inlineStr">
        <is>
          <t>Face Masks 50pk</t>
        </is>
      </c>
      <c r="F69" s="4" t="inlineStr">
        <is>
          <t>OTC Pharma &amp; Wellness</t>
        </is>
      </c>
      <c r="G69" s="4" t="inlineStr">
        <is>
          <t>C</t>
        </is>
      </c>
      <c r="H69" s="4" t="inlineStr">
        <is>
          <t>STOCKOUT</t>
        </is>
      </c>
      <c r="I69" s="13" t="n">
        <v>0</v>
      </c>
      <c r="J69" s="11" t="n">
        <v>0</v>
      </c>
      <c r="K69" s="13" t="n">
        <v>286.8</v>
      </c>
      <c r="L69" s="11" t="n">
        <v>792</v>
      </c>
      <c r="M69" s="4" t="inlineStr">
        <is>
          <t>PO0031601</t>
        </is>
      </c>
      <c r="N69" s="4" t="inlineStr">
        <is>
          <t>2026-10-06</t>
        </is>
      </c>
      <c r="O69" s="4" t="inlineStr">
        <is>
          <t>GAP BEFORE ARRIVAL</t>
        </is>
      </c>
      <c r="P69" s="11" t="n">
        <v>8316</v>
      </c>
    </row>
    <row r="70">
      <c r="A70" s="4" t="inlineStr">
        <is>
          <t>WH07</t>
        </is>
      </c>
      <c r="B70" s="4" t="inlineStr">
        <is>
          <t>Bengaluru DC</t>
        </is>
      </c>
      <c r="C70" s="4" t="inlineStr">
        <is>
          <t>South</t>
        </is>
      </c>
      <c r="D70" s="4" t="inlineStr">
        <is>
          <t>SKU075</t>
        </is>
      </c>
      <c r="E70" s="4" t="inlineStr">
        <is>
          <t>Naphthalene Balls 200g</t>
        </is>
      </c>
      <c r="F70" s="4" t="inlineStr">
        <is>
          <t>Home Care</t>
        </is>
      </c>
      <c r="G70" s="4" t="inlineStr">
        <is>
          <t>C</t>
        </is>
      </c>
      <c r="H70" s="4" t="inlineStr">
        <is>
          <t>STOCKOUT</t>
        </is>
      </c>
      <c r="I70" s="13" t="n">
        <v>0</v>
      </c>
      <c r="J70" s="11" t="n">
        <v>0</v>
      </c>
      <c r="K70" s="13" t="n">
        <v>739.3</v>
      </c>
      <c r="L70" s="11" t="n">
        <v>3324</v>
      </c>
      <c r="M70" s="4" t="inlineStr">
        <is>
          <t>PO0031574</t>
        </is>
      </c>
      <c r="N70" s="4" t="inlineStr">
        <is>
          <t>2026-10-06</t>
        </is>
      </c>
      <c r="O70" s="4" t="inlineStr">
        <is>
          <t>GAP BEFORE ARRIVAL</t>
        </is>
      </c>
      <c r="P70" s="11" t="n">
        <v>8132</v>
      </c>
    </row>
    <row r="71">
      <c r="A71" s="4" t="inlineStr">
        <is>
          <t>WH02</t>
        </is>
      </c>
      <c r="B71" s="4" t="inlineStr">
        <is>
          <t>Jaipur DC</t>
        </is>
      </c>
      <c r="C71" s="4" t="inlineStr">
        <is>
          <t>North</t>
        </is>
      </c>
      <c r="D71" s="4" t="inlineStr">
        <is>
          <t>SKU019</t>
        </is>
      </c>
      <c r="E71" s="4" t="inlineStr">
        <is>
          <t>Packaged Water 1L</t>
        </is>
      </c>
      <c r="F71" s="4" t="inlineStr">
        <is>
          <t>Beverages</t>
        </is>
      </c>
      <c r="G71" s="4" t="inlineStr">
        <is>
          <t>A</t>
        </is>
      </c>
      <c r="H71" s="4" t="inlineStr">
        <is>
          <t>STOCKOUT</t>
        </is>
      </c>
      <c r="I71" s="13" t="n">
        <v>0</v>
      </c>
      <c r="J71" s="11" t="n">
        <v>0</v>
      </c>
      <c r="K71" s="13" t="n">
        <v>736.8</v>
      </c>
      <c r="L71" s="11" t="n">
        <v>2520</v>
      </c>
      <c r="M71" s="4" t="inlineStr">
        <is>
          <t>PO0031341</t>
        </is>
      </c>
      <c r="N71" s="4" t="inlineStr">
        <is>
          <t>2026-10-01</t>
        </is>
      </c>
      <c r="O71" s="4" t="inlineStr">
        <is>
          <t>INBOUND OVERDUE</t>
        </is>
      </c>
      <c r="P71" s="11" t="n">
        <v>8104</v>
      </c>
    </row>
    <row r="72">
      <c r="A72" s="4" t="inlineStr">
        <is>
          <t>WH06</t>
        </is>
      </c>
      <c r="B72" s="4" t="inlineStr">
        <is>
          <t>Ahmedabad DC</t>
        </is>
      </c>
      <c r="C72" s="4" t="inlineStr">
        <is>
          <t>West</t>
        </is>
      </c>
      <c r="D72" s="4" t="inlineStr">
        <is>
          <t>SKU063</t>
        </is>
      </c>
      <c r="E72" s="4" t="inlineStr">
        <is>
          <t>Floor Cleaner 1L</t>
        </is>
      </c>
      <c r="F72" s="4" t="inlineStr">
        <is>
          <t>Home Care</t>
        </is>
      </c>
      <c r="G72" s="4" t="inlineStr">
        <is>
          <t>C</t>
        </is>
      </c>
      <c r="H72" s="4" t="inlineStr">
        <is>
          <t>STOCKOUT</t>
        </is>
      </c>
      <c r="I72" s="13" t="n">
        <v>0</v>
      </c>
      <c r="J72" s="11" t="n">
        <v>0</v>
      </c>
      <c r="K72" s="13" t="n">
        <v>663.3</v>
      </c>
      <c r="L72" s="11" t="n">
        <v>2448</v>
      </c>
      <c r="M72" s="4" t="inlineStr">
        <is>
          <t>PO0031394</t>
        </is>
      </c>
      <c r="N72" s="4" t="inlineStr">
        <is>
          <t>2026-10-02</t>
        </is>
      </c>
      <c r="O72" s="4" t="inlineStr">
        <is>
          <t>INBOUND OVERDUE</t>
        </is>
      </c>
      <c r="P72" s="11" t="n">
        <v>7959</v>
      </c>
    </row>
    <row r="73">
      <c r="A73" s="4" t="inlineStr">
        <is>
          <t>WH08</t>
        </is>
      </c>
      <c r="B73" s="4" t="inlineStr">
        <is>
          <t>Chennai DC</t>
        </is>
      </c>
      <c r="C73" s="4" t="inlineStr">
        <is>
          <t>South</t>
        </is>
      </c>
      <c r="D73" s="4" t="inlineStr">
        <is>
          <t>SKU103</t>
        </is>
      </c>
      <c r="E73" s="4" t="inlineStr">
        <is>
          <t>Zinc Tablets 20s</t>
        </is>
      </c>
      <c r="F73" s="4" t="inlineStr">
        <is>
          <t>OTC Pharma &amp; Wellness</t>
        </is>
      </c>
      <c r="G73" s="4" t="inlineStr">
        <is>
          <t>C</t>
        </is>
      </c>
      <c r="H73" s="4" t="inlineStr">
        <is>
          <t>STOCKOUT</t>
        </is>
      </c>
      <c r="I73" s="13" t="n">
        <v>0</v>
      </c>
      <c r="J73" s="11" t="n">
        <v>0</v>
      </c>
      <c r="K73" s="13" t="n">
        <v>164</v>
      </c>
      <c r="L73" s="11" t="n">
        <v>636</v>
      </c>
      <c r="M73" s="4" t="inlineStr">
        <is>
          <t>PO0031600</t>
        </is>
      </c>
      <c r="N73" s="4" t="inlineStr">
        <is>
          <t>2026-10-05</t>
        </is>
      </c>
      <c r="O73" s="4" t="inlineStr">
        <is>
          <t>GAP BEFORE ARRIVAL</t>
        </is>
      </c>
      <c r="P73" s="11" t="n">
        <v>7708</v>
      </c>
    </row>
    <row r="74">
      <c r="A74" s="4" t="inlineStr">
        <is>
          <t>WH06</t>
        </is>
      </c>
      <c r="B74" s="4" t="inlineStr">
        <is>
          <t>Ahmedabad DC</t>
        </is>
      </c>
      <c r="C74" s="4" t="inlineStr">
        <is>
          <t>West</t>
        </is>
      </c>
      <c r="D74" s="4" t="inlineStr">
        <is>
          <t>SKU045</t>
        </is>
      </c>
      <c r="E74" s="4" t="inlineStr">
        <is>
          <t>Candy Pack 150g</t>
        </is>
      </c>
      <c r="F74" s="4" t="inlineStr">
        <is>
          <t>Snacks &amp; Confectionery</t>
        </is>
      </c>
      <c r="G74" s="4" t="inlineStr">
        <is>
          <t>C</t>
        </is>
      </c>
      <c r="H74" s="4" t="inlineStr">
        <is>
          <t>STOCKOUT</t>
        </is>
      </c>
      <c r="I74" s="13" t="n">
        <v>0</v>
      </c>
      <c r="J74" s="11" t="n">
        <v>0</v>
      </c>
      <c r="K74" s="13" t="n">
        <v>1540.3</v>
      </c>
      <c r="L74" s="11" t="n">
        <v>5316</v>
      </c>
      <c r="M74" s="4" t="inlineStr">
        <is>
          <t>PO0031392</t>
        </is>
      </c>
      <c r="N74" s="4" t="inlineStr">
        <is>
          <t>2026-10-02</t>
        </is>
      </c>
      <c r="O74" s="4" t="inlineStr">
        <is>
          <t>INBOUND OVERDUE</t>
        </is>
      </c>
      <c r="P74" s="11" t="n">
        <v>7701</v>
      </c>
    </row>
    <row r="75">
      <c r="A75" s="4" t="inlineStr">
        <is>
          <t>WH02</t>
        </is>
      </c>
      <c r="B75" s="4" t="inlineStr">
        <is>
          <t>Jaipur DC</t>
        </is>
      </c>
      <c r="C75" s="4" t="inlineStr">
        <is>
          <t>North</t>
        </is>
      </c>
      <c r="D75" s="4" t="inlineStr">
        <is>
          <t>SKU065</t>
        </is>
      </c>
      <c r="E75" s="4" t="inlineStr">
        <is>
          <t>Glass Cleaner 500ml</t>
        </is>
      </c>
      <c r="F75" s="4" t="inlineStr">
        <is>
          <t>Home Care</t>
        </is>
      </c>
      <c r="G75" s="4" t="inlineStr">
        <is>
          <t>B</t>
        </is>
      </c>
      <c r="H75" s="4" t="inlineStr">
        <is>
          <t>STOCKOUT</t>
        </is>
      </c>
      <c r="I75" s="13" t="n">
        <v>0</v>
      </c>
      <c r="J75" s="11" t="n">
        <v>0</v>
      </c>
      <c r="K75" s="13" t="n">
        <v>378</v>
      </c>
      <c r="L75" s="11" t="n">
        <v>1512</v>
      </c>
      <c r="M75" s="4" t="inlineStr">
        <is>
          <t>PO0031001</t>
        </is>
      </c>
      <c r="N75" s="4" t="inlineStr">
        <is>
          <t>2026-09-29</t>
        </is>
      </c>
      <c r="O75" s="4" t="inlineStr">
        <is>
          <t>INBOUND OVERDUE</t>
        </is>
      </c>
      <c r="P75" s="11" t="n">
        <v>7560</v>
      </c>
    </row>
    <row r="76">
      <c r="A76" s="4" t="inlineStr">
        <is>
          <t>WH08</t>
        </is>
      </c>
      <c r="B76" s="4" t="inlineStr">
        <is>
          <t>Chennai DC</t>
        </is>
      </c>
      <c r="C76" s="4" t="inlineStr">
        <is>
          <t>South</t>
        </is>
      </c>
      <c r="D76" s="4" t="inlineStr">
        <is>
          <t>SKU003</t>
        </is>
      </c>
      <c r="E76" s="4" t="inlineStr">
        <is>
          <t>Toor Dal 1kg</t>
        </is>
      </c>
      <c r="F76" s="4" t="inlineStr">
        <is>
          <t>Packaged Staples</t>
        </is>
      </c>
      <c r="G76" s="4" t="inlineStr">
        <is>
          <t>A</t>
        </is>
      </c>
      <c r="H76" s="4" t="inlineStr">
        <is>
          <t>STOCKOUT</t>
        </is>
      </c>
      <c r="I76" s="13" t="n">
        <v>0</v>
      </c>
      <c r="J76" s="11" t="n">
        <v>0</v>
      </c>
      <c r="K76" s="13" t="n">
        <v>921</v>
      </c>
      <c r="L76" s="11" t="n">
        <v>2340</v>
      </c>
      <c r="M76" s="4" t="inlineStr">
        <is>
          <t>PO0031757</t>
        </is>
      </c>
      <c r="N76" s="4" t="inlineStr">
        <is>
          <t>2026-10-09</t>
        </is>
      </c>
      <c r="O76" s="4" t="inlineStr">
        <is>
          <t>GAP BEFORE ARRIVAL</t>
        </is>
      </c>
      <c r="P76" s="11" t="n">
        <v>7368</v>
      </c>
    </row>
    <row r="77">
      <c r="A77" s="4" t="inlineStr">
        <is>
          <t>WH08</t>
        </is>
      </c>
      <c r="B77" s="4" t="inlineStr">
        <is>
          <t>Chennai DC</t>
        </is>
      </c>
      <c r="C77" s="4" t="inlineStr">
        <is>
          <t>South</t>
        </is>
      </c>
      <c r="D77" s="4" t="inlineStr">
        <is>
          <t>SKU001</t>
        </is>
      </c>
      <c r="E77" s="4" t="inlineStr">
        <is>
          <t>Atta 5kg</t>
        </is>
      </c>
      <c r="F77" s="4" t="inlineStr">
        <is>
          <t>Packaged Staples</t>
        </is>
      </c>
      <c r="G77" s="4" t="inlineStr">
        <is>
          <t>A</t>
        </is>
      </c>
      <c r="H77" s="4" t="inlineStr">
        <is>
          <t>STOCKOUT</t>
        </is>
      </c>
      <c r="I77" s="13" t="n">
        <v>0</v>
      </c>
      <c r="J77" s="11" t="n">
        <v>0</v>
      </c>
      <c r="K77" s="13" t="n">
        <v>442.3</v>
      </c>
      <c r="L77" s="11" t="n">
        <v>1716</v>
      </c>
      <c r="M77" s="4" t="inlineStr">
        <is>
          <t>PO0031756</t>
        </is>
      </c>
      <c r="N77" s="4" t="inlineStr">
        <is>
          <t>2026-10-11</t>
        </is>
      </c>
      <c r="O77" s="4" t="inlineStr">
        <is>
          <t>GAP BEFORE ARRIVAL</t>
        </is>
      </c>
      <c r="P77" s="11" t="n">
        <v>7076</v>
      </c>
    </row>
    <row r="78">
      <c r="A78" s="4" t="inlineStr">
        <is>
          <t>WH02</t>
        </is>
      </c>
      <c r="B78" s="4" t="inlineStr">
        <is>
          <t>Jaipur DC</t>
        </is>
      </c>
      <c r="C78" s="4" t="inlineStr">
        <is>
          <t>North</t>
        </is>
      </c>
      <c r="D78" s="4" t="inlineStr">
        <is>
          <t>SKU046</t>
        </is>
      </c>
      <c r="E78" s="4" t="inlineStr">
        <is>
          <t>Shampoo 340ml</t>
        </is>
      </c>
      <c r="F78" s="4" t="inlineStr">
        <is>
          <t>Personal Care</t>
        </is>
      </c>
      <c r="G78" s="4" t="inlineStr">
        <is>
          <t>C</t>
        </is>
      </c>
      <c r="H78" s="4" t="inlineStr">
        <is>
          <t>STOCKOUT</t>
        </is>
      </c>
      <c r="I78" s="13" t="n">
        <v>0</v>
      </c>
      <c r="J78" s="11" t="n">
        <v>0</v>
      </c>
      <c r="K78" s="13" t="n">
        <v>425.5</v>
      </c>
      <c r="L78" s="11" t="n">
        <v>1476</v>
      </c>
      <c r="M78" s="4" t="inlineStr">
        <is>
          <t>PO0031343</t>
        </is>
      </c>
      <c r="N78" s="4" t="inlineStr">
        <is>
          <t>2026-10-03</t>
        </is>
      </c>
      <c r="O78" s="4" t="inlineStr">
        <is>
          <t>INBOUND OVERDUE</t>
        </is>
      </c>
      <c r="P78" s="11" t="n">
        <v>6808</v>
      </c>
    </row>
    <row r="79">
      <c r="A79" s="4" t="inlineStr">
        <is>
          <t>WH11</t>
        </is>
      </c>
      <c r="B79" s="4" t="inlineStr">
        <is>
          <t>Guwahati DC</t>
        </is>
      </c>
      <c r="C79" s="4" t="inlineStr">
        <is>
          <t>East</t>
        </is>
      </c>
      <c r="D79" s="4" t="inlineStr">
        <is>
          <t>SKU055</t>
        </is>
      </c>
      <c r="E79" s="4" t="inlineStr">
        <is>
          <t>Talc 300g</t>
        </is>
      </c>
      <c r="F79" s="4" t="inlineStr">
        <is>
          <t>Personal Care</t>
        </is>
      </c>
      <c r="G79" s="4" t="inlineStr">
        <is>
          <t>B</t>
        </is>
      </c>
      <c r="H79" s="4" t="inlineStr">
        <is>
          <t>STOCKOUT</t>
        </is>
      </c>
      <c r="I79" s="13" t="n">
        <v>0</v>
      </c>
      <c r="J79" s="11" t="n">
        <v>0</v>
      </c>
      <c r="K79" s="13" t="n">
        <v>291.8</v>
      </c>
      <c r="L79" s="11" t="n">
        <v>1272</v>
      </c>
      <c r="M79" s="4" t="inlineStr">
        <is>
          <t>PO0031638</t>
        </is>
      </c>
      <c r="N79" s="4" t="inlineStr">
        <is>
          <t>2026-10-05</t>
        </is>
      </c>
      <c r="O79" s="4" t="inlineStr">
        <is>
          <t>GAP BEFORE ARRIVAL</t>
        </is>
      </c>
      <c r="P79" s="11" t="n">
        <v>6710</v>
      </c>
    </row>
    <row r="80">
      <c r="A80" s="4" t="inlineStr">
        <is>
          <t>WH07</t>
        </is>
      </c>
      <c r="B80" s="4" t="inlineStr">
        <is>
          <t>Bengaluru DC</t>
        </is>
      </c>
      <c r="C80" s="4" t="inlineStr">
        <is>
          <t>South</t>
        </is>
      </c>
      <c r="D80" s="4" t="inlineStr">
        <is>
          <t>SKU012</t>
        </is>
      </c>
      <c r="E80" s="4" t="inlineStr">
        <is>
          <t>Rajma 1kg</t>
        </is>
      </c>
      <c r="F80" s="4" t="inlineStr">
        <is>
          <t>Packaged Staples</t>
        </is>
      </c>
      <c r="G80" s="4" t="inlineStr">
        <is>
          <t>B</t>
        </is>
      </c>
      <c r="H80" s="4" t="inlineStr">
        <is>
          <t>STOCKOUT</t>
        </is>
      </c>
      <c r="I80" s="13" t="n">
        <v>0</v>
      </c>
      <c r="J80" s="11" t="n">
        <v>0</v>
      </c>
      <c r="K80" s="13" t="n">
        <v>1328.8</v>
      </c>
      <c r="L80" s="11" t="n">
        <v>3816</v>
      </c>
      <c r="M80" s="4" t="inlineStr">
        <is>
          <t>PO0031409</t>
        </is>
      </c>
      <c r="N80" s="4" t="inlineStr">
        <is>
          <t>2026-10-03</t>
        </is>
      </c>
      <c r="O80" s="4" t="inlineStr">
        <is>
          <t>INBOUND OVERDUE</t>
        </is>
      </c>
      <c r="P80" s="11" t="n">
        <v>6644</v>
      </c>
    </row>
    <row r="81">
      <c r="A81" s="4" t="inlineStr">
        <is>
          <t>WH08</t>
        </is>
      </c>
      <c r="B81" s="4" t="inlineStr">
        <is>
          <t>Chennai DC</t>
        </is>
      </c>
      <c r="C81" s="4" t="inlineStr">
        <is>
          <t>South</t>
        </is>
      </c>
      <c r="D81" s="4" t="inlineStr">
        <is>
          <t>SKU102</t>
        </is>
      </c>
      <c r="E81" s="4" t="inlineStr">
        <is>
          <t>Eye Drops 10ml</t>
        </is>
      </c>
      <c r="F81" s="4" t="inlineStr">
        <is>
          <t>OTC Pharma &amp; Wellness</t>
        </is>
      </c>
      <c r="G81" s="4" t="inlineStr">
        <is>
          <t>C</t>
        </is>
      </c>
      <c r="H81" s="4" t="inlineStr">
        <is>
          <t>STOCKOUT</t>
        </is>
      </c>
      <c r="I81" s="13" t="n">
        <v>0</v>
      </c>
      <c r="J81" s="11" t="n">
        <v>0</v>
      </c>
      <c r="K81" s="13" t="n">
        <v>328.8</v>
      </c>
      <c r="L81" s="11" t="n">
        <v>1020</v>
      </c>
      <c r="M81" s="4" t="inlineStr">
        <is>
          <t>PO0031936</t>
        </is>
      </c>
      <c r="N81" s="4" t="inlineStr">
        <is>
          <t>2026-10-13</t>
        </is>
      </c>
      <c r="O81" s="4" t="inlineStr">
        <is>
          <t>GAP BEFORE ARRIVAL</t>
        </is>
      </c>
      <c r="P81" s="11" t="n">
        <v>6575</v>
      </c>
    </row>
    <row r="82">
      <c r="A82" s="4" t="inlineStr">
        <is>
          <t>WH11</t>
        </is>
      </c>
      <c r="B82" s="4" t="inlineStr">
        <is>
          <t>Guwahati DC</t>
        </is>
      </c>
      <c r="C82" s="4" t="inlineStr">
        <is>
          <t>East</t>
        </is>
      </c>
      <c r="D82" s="4" t="inlineStr">
        <is>
          <t>SKU085</t>
        </is>
      </c>
      <c r="E82" s="4" t="inlineStr">
        <is>
          <t>Extension Board 4-socket</t>
        </is>
      </c>
      <c r="F82" s="4" t="inlineStr">
        <is>
          <t>Electronics Accessories</t>
        </is>
      </c>
      <c r="G82" s="4" t="inlineStr">
        <is>
          <t>B</t>
        </is>
      </c>
      <c r="H82" s="4" t="inlineStr">
        <is>
          <t>STOCKOUT</t>
        </is>
      </c>
      <c r="I82" s="13" t="n">
        <v>0</v>
      </c>
      <c r="J82" s="11" t="n">
        <v>0</v>
      </c>
      <c r="K82" s="13" t="n">
        <v>69</v>
      </c>
      <c r="L82" s="11" t="n">
        <v>360</v>
      </c>
      <c r="M82" s="4" t="inlineStr">
        <is>
          <t>PO0031311</t>
        </is>
      </c>
      <c r="N82" s="4" t="inlineStr">
        <is>
          <t>2026-10-09</t>
        </is>
      </c>
      <c r="O82" s="4" t="inlineStr">
        <is>
          <t>GAP BEFORE ARRIVAL</t>
        </is>
      </c>
      <c r="P82" s="11" t="n">
        <v>6555</v>
      </c>
    </row>
    <row r="83">
      <c r="A83" s="4" t="inlineStr">
        <is>
          <t>WH11</t>
        </is>
      </c>
      <c r="B83" s="4" t="inlineStr">
        <is>
          <t>Guwahati DC</t>
        </is>
      </c>
      <c r="C83" s="4" t="inlineStr">
        <is>
          <t>East</t>
        </is>
      </c>
      <c r="D83" s="4" t="inlineStr">
        <is>
          <t>SKU093</t>
        </is>
      </c>
      <c r="E83" s="4" t="inlineStr">
        <is>
          <t>Antacid Syrup 200ml</t>
        </is>
      </c>
      <c r="F83" s="4" t="inlineStr">
        <is>
          <t>OTC Pharma &amp; Wellness</t>
        </is>
      </c>
      <c r="G83" s="4" t="inlineStr">
        <is>
          <t>A</t>
        </is>
      </c>
      <c r="H83" s="4" t="inlineStr">
        <is>
          <t>STOCKOUT</t>
        </is>
      </c>
      <c r="I83" s="13" t="n">
        <v>0</v>
      </c>
      <c r="J83" s="11" t="n">
        <v>0</v>
      </c>
      <c r="K83" s="13" t="n">
        <v>76.5</v>
      </c>
      <c r="L83" s="11" t="n">
        <v>636</v>
      </c>
      <c r="M83" s="4" t="inlineStr">
        <is>
          <t>PO0031313</t>
        </is>
      </c>
      <c r="N83" s="4" t="inlineStr">
        <is>
          <t>2026-10-09</t>
        </is>
      </c>
      <c r="O83" s="4" t="inlineStr">
        <is>
          <t>GAP BEFORE ARRIVAL</t>
        </is>
      </c>
      <c r="P83" s="11" t="n">
        <v>6503</v>
      </c>
    </row>
    <row r="84">
      <c r="A84" s="4" t="inlineStr">
        <is>
          <t>WH11</t>
        </is>
      </c>
      <c r="B84" s="4" t="inlineStr">
        <is>
          <t>Guwahati DC</t>
        </is>
      </c>
      <c r="C84" s="4" t="inlineStr">
        <is>
          <t>East</t>
        </is>
      </c>
      <c r="D84" s="4" t="inlineStr">
        <is>
          <t>SKU107</t>
        </is>
      </c>
      <c r="E84" s="4" t="inlineStr">
        <is>
          <t>Stretch Film 500mm</t>
        </is>
      </c>
      <c r="F84" s="4" t="inlineStr">
        <is>
          <t>Packaging &amp; Supplies</t>
        </is>
      </c>
      <c r="G84" s="4" t="inlineStr">
        <is>
          <t>A</t>
        </is>
      </c>
      <c r="H84" s="4" t="inlineStr">
        <is>
          <t>STOCKOUT</t>
        </is>
      </c>
      <c r="I84" s="13" t="n">
        <v>0</v>
      </c>
      <c r="J84" s="11" t="n">
        <v>0</v>
      </c>
      <c r="K84" s="13" t="n">
        <v>109</v>
      </c>
      <c r="L84" s="11" t="n">
        <v>540</v>
      </c>
      <c r="M84" s="4" t="inlineStr">
        <is>
          <t>PO0031469</t>
        </is>
      </c>
      <c r="N84" s="4" t="inlineStr">
        <is>
          <t>2026-10-07</t>
        </is>
      </c>
      <c r="O84" s="4" t="inlineStr">
        <is>
          <t>GAP BEFORE ARRIVAL</t>
        </is>
      </c>
      <c r="P84" s="11" t="n">
        <v>6431</v>
      </c>
    </row>
    <row r="85">
      <c r="A85" s="4" t="inlineStr">
        <is>
          <t>WH08</t>
        </is>
      </c>
      <c r="B85" s="4" t="inlineStr">
        <is>
          <t>Chennai DC</t>
        </is>
      </c>
      <c r="C85" s="4" t="inlineStr">
        <is>
          <t>South</t>
        </is>
      </c>
      <c r="D85" s="4" t="inlineStr">
        <is>
          <t>SKU052</t>
        </is>
      </c>
      <c r="E85" s="4" t="inlineStr">
        <is>
          <t>Deodorant 150ml</t>
        </is>
      </c>
      <c r="F85" s="4" t="inlineStr">
        <is>
          <t>Personal Care</t>
        </is>
      </c>
      <c r="G85" s="4" t="inlineStr">
        <is>
          <t>B</t>
        </is>
      </c>
      <c r="H85" s="4" t="inlineStr">
        <is>
          <t>STOCKOUT</t>
        </is>
      </c>
      <c r="I85" s="13" t="n">
        <v>0</v>
      </c>
      <c r="J85" s="11" t="n">
        <v>0</v>
      </c>
      <c r="K85" s="13" t="n">
        <v>139</v>
      </c>
      <c r="L85" s="11" t="n">
        <v>1032</v>
      </c>
      <c r="M85" s="4" t="inlineStr">
        <is>
          <t>PO0031429</t>
        </is>
      </c>
      <c r="N85" s="4" t="inlineStr">
        <is>
          <t>2026-10-03</t>
        </is>
      </c>
      <c r="O85" s="4" t="inlineStr">
        <is>
          <t>INBOUND OVERDUE</t>
        </is>
      </c>
      <c r="P85" s="11" t="n">
        <v>6394</v>
      </c>
    </row>
    <row r="86">
      <c r="A86" s="4" t="inlineStr">
        <is>
          <t>WH10</t>
        </is>
      </c>
      <c r="B86" s="4" t="inlineStr">
        <is>
          <t>Kolkata DC</t>
        </is>
      </c>
      <c r="C86" s="4" t="inlineStr">
        <is>
          <t>East</t>
        </is>
      </c>
      <c r="D86" s="4" t="inlineStr">
        <is>
          <t>SKU053</t>
        </is>
      </c>
      <c r="E86" s="4" t="inlineStr">
        <is>
          <t>Sanitary Pads 20pk</t>
        </is>
      </c>
      <c r="F86" s="4" t="inlineStr">
        <is>
          <t>Personal Care</t>
        </is>
      </c>
      <c r="G86" s="4" t="inlineStr">
        <is>
          <t>C</t>
        </is>
      </c>
      <c r="H86" s="4" t="inlineStr">
        <is>
          <t>STOCKOUT</t>
        </is>
      </c>
      <c r="I86" s="13" t="n">
        <v>0</v>
      </c>
      <c r="J86" s="11" t="n">
        <v>0</v>
      </c>
      <c r="K86" s="13" t="n">
        <v>793.5</v>
      </c>
      <c r="L86" s="11" t="n">
        <v>2412</v>
      </c>
      <c r="M86" s="4" t="inlineStr">
        <is>
          <t>PO0031622</t>
        </is>
      </c>
      <c r="N86" s="4" t="inlineStr">
        <is>
          <t>2026-10-06</t>
        </is>
      </c>
      <c r="O86" s="4" t="inlineStr">
        <is>
          <t>GAP BEFORE ARRIVAL</t>
        </is>
      </c>
      <c r="P86" s="11" t="n">
        <v>6348</v>
      </c>
    </row>
    <row r="87">
      <c r="A87" s="4" t="inlineStr">
        <is>
          <t>WH11</t>
        </is>
      </c>
      <c r="B87" s="4" t="inlineStr">
        <is>
          <t>Guwahati DC</t>
        </is>
      </c>
      <c r="C87" s="4" t="inlineStr">
        <is>
          <t>East</t>
        </is>
      </c>
      <c r="D87" s="4" t="inlineStr">
        <is>
          <t>SKU078</t>
        </is>
      </c>
      <c r="E87" s="4" t="inlineStr">
        <is>
          <t>Power Bank 10000mAh</t>
        </is>
      </c>
      <c r="F87" s="4" t="inlineStr">
        <is>
          <t>Electronics Accessories</t>
        </is>
      </c>
      <c r="G87" s="4" t="inlineStr">
        <is>
          <t>B</t>
        </is>
      </c>
      <c r="H87" s="4" t="inlineStr">
        <is>
          <t>STOCKOUT</t>
        </is>
      </c>
      <c r="I87" s="13" t="n">
        <v>0</v>
      </c>
      <c r="J87" s="11" t="n">
        <v>0</v>
      </c>
      <c r="K87" s="13" t="n">
        <v>55.3</v>
      </c>
      <c r="L87" s="11" t="n">
        <v>270</v>
      </c>
      <c r="M87" s="4" t="inlineStr">
        <is>
          <t>PO0030625</t>
        </is>
      </c>
      <c r="N87" s="4" t="inlineStr">
        <is>
          <t>2026-09-30</t>
        </is>
      </c>
      <c r="O87" s="4" t="inlineStr">
        <is>
          <t>INBOUND OVERDUE</t>
        </is>
      </c>
      <c r="P87" s="11" t="n">
        <v>6188</v>
      </c>
    </row>
    <row r="88">
      <c r="A88" s="4" t="inlineStr">
        <is>
          <t>WH06</t>
        </is>
      </c>
      <c r="B88" s="4" t="inlineStr">
        <is>
          <t>Ahmedabad DC</t>
        </is>
      </c>
      <c r="C88" s="4" t="inlineStr">
        <is>
          <t>West</t>
        </is>
      </c>
      <c r="D88" s="4" t="inlineStr">
        <is>
          <t>SKU047</t>
        </is>
      </c>
      <c r="E88" s="4" t="inlineStr">
        <is>
          <t>Soap 4-pack</t>
        </is>
      </c>
      <c r="F88" s="4" t="inlineStr">
        <is>
          <t>Personal Care</t>
        </is>
      </c>
      <c r="G88" s="4" t="inlineStr">
        <is>
          <t>C</t>
        </is>
      </c>
      <c r="H88" s="4" t="inlineStr">
        <is>
          <t>STOCKOUT</t>
        </is>
      </c>
      <c r="I88" s="13" t="n">
        <v>0</v>
      </c>
      <c r="J88" s="11" t="n">
        <v>0</v>
      </c>
      <c r="K88" s="13" t="n">
        <v>576.3</v>
      </c>
      <c r="L88" s="11" t="n">
        <v>2196</v>
      </c>
      <c r="M88" s="4" t="inlineStr">
        <is>
          <t>PO0031069</t>
        </is>
      </c>
      <c r="N88" s="4" t="inlineStr">
        <is>
          <t>2026-09-25</t>
        </is>
      </c>
      <c r="O88" s="4" t="inlineStr">
        <is>
          <t>INBOUND OVERDUE</t>
        </is>
      </c>
      <c r="P88" s="11" t="n">
        <v>5763</v>
      </c>
    </row>
    <row r="89">
      <c r="A89" s="4" t="inlineStr">
        <is>
          <t>WH11</t>
        </is>
      </c>
      <c r="B89" s="4" t="inlineStr">
        <is>
          <t>Guwahati DC</t>
        </is>
      </c>
      <c r="C89" s="4" t="inlineStr">
        <is>
          <t>East</t>
        </is>
      </c>
      <c r="D89" s="4" t="inlineStr">
        <is>
          <t>SKU003</t>
        </is>
      </c>
      <c r="E89" s="4" t="inlineStr">
        <is>
          <t>Toor Dal 1kg</t>
        </is>
      </c>
      <c r="F89" s="4" t="inlineStr">
        <is>
          <t>Packaged Staples</t>
        </is>
      </c>
      <c r="G89" s="4" t="inlineStr">
        <is>
          <t>A</t>
        </is>
      </c>
      <c r="H89" s="4" t="inlineStr">
        <is>
          <t>STOCKOUT</t>
        </is>
      </c>
      <c r="I89" s="13" t="n">
        <v>0</v>
      </c>
      <c r="J89" s="11" t="n">
        <v>0</v>
      </c>
      <c r="K89" s="13" t="n">
        <v>699.3</v>
      </c>
      <c r="L89" s="11" t="n">
        <v>2340</v>
      </c>
      <c r="M89" s="4" t="inlineStr">
        <is>
          <t>PO0031463</t>
        </is>
      </c>
      <c r="N89" s="4" t="inlineStr">
        <is>
          <t>2026-10-05</t>
        </is>
      </c>
      <c r="O89" s="4" t="inlineStr">
        <is>
          <t>GAP BEFORE ARRIVAL</t>
        </is>
      </c>
      <c r="P89" s="11" t="n">
        <v>5594</v>
      </c>
    </row>
    <row r="90">
      <c r="A90" s="4" t="inlineStr">
        <is>
          <t>WH11</t>
        </is>
      </c>
      <c r="B90" s="4" t="inlineStr">
        <is>
          <t>Guwahati DC</t>
        </is>
      </c>
      <c r="C90" s="4" t="inlineStr">
        <is>
          <t>East</t>
        </is>
      </c>
      <c r="D90" s="4" t="inlineStr">
        <is>
          <t>SKU046</t>
        </is>
      </c>
      <c r="E90" s="4" t="inlineStr">
        <is>
          <t>Shampoo 340ml</t>
        </is>
      </c>
      <c r="F90" s="4" t="inlineStr">
        <is>
          <t>Personal Care</t>
        </is>
      </c>
      <c r="G90" s="4" t="inlineStr">
        <is>
          <t>C</t>
        </is>
      </c>
      <c r="H90" s="4" t="inlineStr">
        <is>
          <t>STOCKOUT</t>
        </is>
      </c>
      <c r="I90" s="13" t="n">
        <v>0</v>
      </c>
      <c r="J90" s="11" t="n">
        <v>0</v>
      </c>
      <c r="K90" s="13" t="n">
        <v>322.8</v>
      </c>
      <c r="L90" s="11" t="n">
        <v>1260</v>
      </c>
      <c r="M90" s="4" t="inlineStr">
        <is>
          <t>PO0031154</t>
        </is>
      </c>
      <c r="N90" s="4" t="inlineStr">
        <is>
          <t>2026-10-02</t>
        </is>
      </c>
      <c r="O90" s="4" t="inlineStr">
        <is>
          <t>INBOUND OVERDUE</t>
        </is>
      </c>
      <c r="P90" s="11" t="n">
        <v>5164</v>
      </c>
    </row>
    <row r="91">
      <c r="A91" s="4" t="inlineStr">
        <is>
          <t>WH07</t>
        </is>
      </c>
      <c r="B91" s="4" t="inlineStr">
        <is>
          <t>Bengaluru DC</t>
        </is>
      </c>
      <c r="C91" s="4" t="inlineStr">
        <is>
          <t>South</t>
        </is>
      </c>
      <c r="D91" s="4" t="inlineStr">
        <is>
          <t>SKU049</t>
        </is>
      </c>
      <c r="E91" s="4" t="inlineStr">
        <is>
          <t>Face Wash 100ml</t>
        </is>
      </c>
      <c r="F91" s="4" t="inlineStr">
        <is>
          <t>Personal Care</t>
        </is>
      </c>
      <c r="G91" s="4" t="inlineStr">
        <is>
          <t>C</t>
        </is>
      </c>
      <c r="H91" s="4" t="inlineStr">
        <is>
          <t>STOCKOUT</t>
        </is>
      </c>
      <c r="I91" s="13" t="n">
        <v>0</v>
      </c>
      <c r="J91" s="11" t="n">
        <v>0</v>
      </c>
      <c r="K91" s="13" t="n">
        <v>554.3</v>
      </c>
      <c r="L91" s="11" t="n">
        <v>1836</v>
      </c>
      <c r="M91" s="4" t="inlineStr">
        <is>
          <t>PO0031084</t>
        </is>
      </c>
      <c r="N91" s="4" t="inlineStr">
        <is>
          <t>2026-09-27</t>
        </is>
      </c>
      <c r="O91" s="4" t="inlineStr">
        <is>
          <t>INBOUND OVERDUE</t>
        </is>
      </c>
      <c r="P91" s="11" t="n">
        <v>4988</v>
      </c>
    </row>
    <row r="92">
      <c r="A92" s="4" t="inlineStr">
        <is>
          <t>WH07</t>
        </is>
      </c>
      <c r="B92" s="4" t="inlineStr">
        <is>
          <t>Bengaluru DC</t>
        </is>
      </c>
      <c r="C92" s="4" t="inlineStr">
        <is>
          <t>South</t>
        </is>
      </c>
      <c r="D92" s="4" t="inlineStr">
        <is>
          <t>SKU113</t>
        </is>
      </c>
      <c r="E92" s="4" t="inlineStr">
        <is>
          <t>Void Fill Paper</t>
        </is>
      </c>
      <c r="F92" s="4" t="inlineStr">
        <is>
          <t>Packaging &amp; Supplies</t>
        </is>
      </c>
      <c r="G92" s="4" t="inlineStr">
        <is>
          <t>C</t>
        </is>
      </c>
      <c r="H92" s="4" t="inlineStr">
        <is>
          <t>STOCKOUT</t>
        </is>
      </c>
      <c r="I92" s="13" t="n">
        <v>0</v>
      </c>
      <c r="J92" s="11" t="n">
        <v>0</v>
      </c>
      <c r="K92" s="13" t="n">
        <v>257.5</v>
      </c>
      <c r="L92" s="11" t="n">
        <v>1340</v>
      </c>
      <c r="M92" s="4" t="inlineStr">
        <is>
          <t>PO0031256</t>
        </is>
      </c>
      <c r="N92" s="4" t="inlineStr">
        <is>
          <t>2026-10-03</t>
        </is>
      </c>
      <c r="O92" s="4" t="inlineStr">
        <is>
          <t>INBOUND OVERDUE</t>
        </is>
      </c>
      <c r="P92" s="11" t="n">
        <v>4893</v>
      </c>
    </row>
    <row r="93">
      <c r="A93" s="4" t="inlineStr">
        <is>
          <t>WH08</t>
        </is>
      </c>
      <c r="B93" s="4" t="inlineStr">
        <is>
          <t>Chennai DC</t>
        </is>
      </c>
      <c r="C93" s="4" t="inlineStr">
        <is>
          <t>South</t>
        </is>
      </c>
      <c r="D93" s="4" t="inlineStr">
        <is>
          <t>SKU064</t>
        </is>
      </c>
      <c r="E93" s="4" t="inlineStr">
        <is>
          <t>Toilet Cleaner 500ml</t>
        </is>
      </c>
      <c r="F93" s="4" t="inlineStr">
        <is>
          <t>Home Care</t>
        </is>
      </c>
      <c r="G93" s="4" t="inlineStr">
        <is>
          <t>C</t>
        </is>
      </c>
      <c r="H93" s="4" t="inlineStr">
        <is>
          <t>STOCKOUT</t>
        </is>
      </c>
      <c r="I93" s="13" t="n">
        <v>0</v>
      </c>
      <c r="J93" s="11" t="n">
        <v>0</v>
      </c>
      <c r="K93" s="13" t="n">
        <v>187.5</v>
      </c>
      <c r="L93" s="11" t="n">
        <v>468</v>
      </c>
      <c r="M93" s="4" t="inlineStr">
        <is>
          <t>PO0031768</t>
        </is>
      </c>
      <c r="N93" s="4" t="inlineStr">
        <is>
          <t>2026-10-11</t>
        </is>
      </c>
      <c r="O93" s="4" t="inlineStr">
        <is>
          <t>GAP BEFORE ARRIVAL</t>
        </is>
      </c>
      <c r="P93" s="11" t="n">
        <v>4875</v>
      </c>
    </row>
    <row r="94">
      <c r="A94" s="4" t="inlineStr">
        <is>
          <t>WH08</t>
        </is>
      </c>
      <c r="B94" s="4" t="inlineStr">
        <is>
          <t>Chennai DC</t>
        </is>
      </c>
      <c r="C94" s="4" t="inlineStr">
        <is>
          <t>South</t>
        </is>
      </c>
      <c r="D94" s="4" t="inlineStr">
        <is>
          <t>SKU049</t>
        </is>
      </c>
      <c r="E94" s="4" t="inlineStr">
        <is>
          <t>Face Wash 100ml</t>
        </is>
      </c>
      <c r="F94" s="4" t="inlineStr">
        <is>
          <t>Personal Care</t>
        </is>
      </c>
      <c r="G94" s="4" t="inlineStr">
        <is>
          <t>C</t>
        </is>
      </c>
      <c r="H94" s="4" t="inlineStr">
        <is>
          <t>STOCKOUT</t>
        </is>
      </c>
      <c r="I94" s="13" t="n">
        <v>0</v>
      </c>
      <c r="J94" s="11" t="n">
        <v>0</v>
      </c>
      <c r="K94" s="13" t="n">
        <v>523.5</v>
      </c>
      <c r="L94" s="11" t="n">
        <v>1332</v>
      </c>
      <c r="M94" s="4" t="inlineStr">
        <is>
          <t>PO0031589</t>
        </is>
      </c>
      <c r="N94" s="4" t="inlineStr">
        <is>
          <t>2026-10-05</t>
        </is>
      </c>
      <c r="O94" s="4" t="inlineStr">
        <is>
          <t>GAP BEFORE ARRIVAL</t>
        </is>
      </c>
      <c r="P94" s="11" t="n">
        <v>4712</v>
      </c>
    </row>
    <row r="95">
      <c r="A95" s="4" t="inlineStr">
        <is>
          <t>WH11</t>
        </is>
      </c>
      <c r="B95" s="4" t="inlineStr">
        <is>
          <t>Guwahati DC</t>
        </is>
      </c>
      <c r="C95" s="4" t="inlineStr">
        <is>
          <t>East</t>
        </is>
      </c>
      <c r="D95" s="4" t="inlineStr">
        <is>
          <t>SKU114</t>
        </is>
      </c>
      <c r="E95" s="4" t="inlineStr">
        <is>
          <t>Cable Ties 100pk</t>
        </is>
      </c>
      <c r="F95" s="4" t="inlineStr">
        <is>
          <t>Packaging &amp; Supplies</t>
        </is>
      </c>
      <c r="G95" s="4" t="inlineStr">
        <is>
          <t>C</t>
        </is>
      </c>
      <c r="H95" s="4" t="inlineStr">
        <is>
          <t>STOCKOUT</t>
        </is>
      </c>
      <c r="I95" s="13" t="n">
        <v>0</v>
      </c>
      <c r="J95" s="11" t="n">
        <v>0</v>
      </c>
      <c r="K95" s="13" t="n">
        <v>334.8</v>
      </c>
      <c r="L95" s="11" t="n">
        <v>1480</v>
      </c>
      <c r="M95" s="4" t="inlineStr">
        <is>
          <t>PO0030463</t>
        </is>
      </c>
      <c r="N95" s="4" t="inlineStr">
        <is>
          <t>2026-09-27</t>
        </is>
      </c>
      <c r="O95" s="4" t="inlineStr">
        <is>
          <t>INBOUND OVERDUE</t>
        </is>
      </c>
      <c r="P95" s="11" t="n">
        <v>4687</v>
      </c>
    </row>
    <row r="96">
      <c r="A96" s="4" t="inlineStr">
        <is>
          <t>WH10</t>
        </is>
      </c>
      <c r="B96" s="4" t="inlineStr">
        <is>
          <t>Kolkata DC</t>
        </is>
      </c>
      <c r="C96" s="4" t="inlineStr">
        <is>
          <t>East</t>
        </is>
      </c>
      <c r="D96" s="4" t="inlineStr">
        <is>
          <t>SKU107</t>
        </is>
      </c>
      <c r="E96" s="4" t="inlineStr">
        <is>
          <t>Stretch Film 500mm</t>
        </is>
      </c>
      <c r="F96" s="4" t="inlineStr">
        <is>
          <t>Packaging &amp; Supplies</t>
        </is>
      </c>
      <c r="G96" s="4" t="inlineStr">
        <is>
          <t>A</t>
        </is>
      </c>
      <c r="H96" s="4" t="inlineStr">
        <is>
          <t>STOCKOUT</t>
        </is>
      </c>
      <c r="I96" s="13" t="n">
        <v>0</v>
      </c>
      <c r="J96" s="11" t="n">
        <v>0</v>
      </c>
      <c r="K96" s="13" t="n">
        <v>74.3</v>
      </c>
      <c r="L96" s="11" t="n">
        <v>540</v>
      </c>
      <c r="M96" s="4" t="inlineStr">
        <is>
          <t>PO0031145</t>
        </is>
      </c>
      <c r="N96" s="4" t="inlineStr">
        <is>
          <t>2026-09-27</t>
        </is>
      </c>
      <c r="O96" s="4" t="inlineStr">
        <is>
          <t>INBOUND OVERDUE</t>
        </is>
      </c>
      <c r="P96" s="11" t="n">
        <v>4381</v>
      </c>
    </row>
    <row r="97">
      <c r="A97" s="4" t="inlineStr">
        <is>
          <t>WH11</t>
        </is>
      </c>
      <c r="B97" s="4" t="inlineStr">
        <is>
          <t>Guwahati DC</t>
        </is>
      </c>
      <c r="C97" s="4" t="inlineStr">
        <is>
          <t>East</t>
        </is>
      </c>
      <c r="D97" s="4" t="inlineStr">
        <is>
          <t>SKU013</t>
        </is>
      </c>
      <c r="E97" s="4" t="inlineStr">
        <is>
          <t>Jaggery 1kg</t>
        </is>
      </c>
      <c r="F97" s="4" t="inlineStr">
        <is>
          <t>Packaged Staples</t>
        </is>
      </c>
      <c r="G97" s="4" t="inlineStr">
        <is>
          <t>A</t>
        </is>
      </c>
      <c r="H97" s="4" t="inlineStr">
        <is>
          <t>STOCKOUT</t>
        </is>
      </c>
      <c r="I97" s="13" t="n">
        <v>0</v>
      </c>
      <c r="J97" s="11" t="n">
        <v>0</v>
      </c>
      <c r="K97" s="13" t="n">
        <v>286.3</v>
      </c>
      <c r="L97" s="11" t="n">
        <v>2304</v>
      </c>
      <c r="M97" s="4" t="inlineStr">
        <is>
          <t>PO0031465</t>
        </is>
      </c>
      <c r="N97" s="4" t="inlineStr">
        <is>
          <t>2026-10-02</t>
        </is>
      </c>
      <c r="O97" s="4" t="inlineStr">
        <is>
          <t>INBOUND OVERDUE</t>
        </is>
      </c>
      <c r="P97" s="11" t="n">
        <v>4294</v>
      </c>
    </row>
    <row r="98">
      <c r="A98" s="4" t="inlineStr">
        <is>
          <t>WH05</t>
        </is>
      </c>
      <c r="B98" s="4" t="inlineStr">
        <is>
          <t>Pune DC</t>
        </is>
      </c>
      <c r="C98" s="4" t="inlineStr">
        <is>
          <t>West</t>
        </is>
      </c>
      <c r="D98" s="4" t="inlineStr">
        <is>
          <t>SKU114</t>
        </is>
      </c>
      <c r="E98" s="4" t="inlineStr">
        <is>
          <t>Cable Ties 100pk</t>
        </is>
      </c>
      <c r="F98" s="4" t="inlineStr">
        <is>
          <t>Packaging &amp; Supplies</t>
        </is>
      </c>
      <c r="G98" s="4" t="inlineStr">
        <is>
          <t>C</t>
        </is>
      </c>
      <c r="H98" s="4" t="inlineStr">
        <is>
          <t>STOCKOUT</t>
        </is>
      </c>
      <c r="I98" s="13" t="n">
        <v>0</v>
      </c>
      <c r="J98" s="11" t="n">
        <v>0</v>
      </c>
      <c r="K98" s="13" t="n">
        <v>305.3</v>
      </c>
      <c r="L98" s="11" t="n">
        <v>800</v>
      </c>
      <c r="M98" s="4" t="inlineStr">
        <is>
          <t>PO0031385</t>
        </is>
      </c>
      <c r="N98" s="4" t="inlineStr">
        <is>
          <t>2026-10-15</t>
        </is>
      </c>
      <c r="O98" s="4" t="inlineStr">
        <is>
          <t>GAP BEFORE ARRIVAL</t>
        </is>
      </c>
      <c r="P98" s="11" t="n">
        <v>4274</v>
      </c>
    </row>
    <row r="99">
      <c r="A99" s="4" t="inlineStr">
        <is>
          <t>WH11</t>
        </is>
      </c>
      <c r="B99" s="4" t="inlineStr">
        <is>
          <t>Guwahati DC</t>
        </is>
      </c>
      <c r="C99" s="4" t="inlineStr">
        <is>
          <t>East</t>
        </is>
      </c>
      <c r="D99" s="4" t="inlineStr">
        <is>
          <t>SKU105</t>
        </is>
      </c>
      <c r="E99" s="4" t="inlineStr">
        <is>
          <t>Face Masks 50pk</t>
        </is>
      </c>
      <c r="F99" s="4" t="inlineStr">
        <is>
          <t>OTC Pharma &amp; Wellness</t>
        </is>
      </c>
      <c r="G99" s="4" t="inlineStr">
        <is>
          <t>C</t>
        </is>
      </c>
      <c r="H99" s="4" t="inlineStr">
        <is>
          <t>STOCKOUT</t>
        </is>
      </c>
      <c r="I99" s="13" t="n">
        <v>0</v>
      </c>
      <c r="J99" s="11" t="n">
        <v>0</v>
      </c>
      <c r="K99" s="13" t="n">
        <v>141.8</v>
      </c>
      <c r="L99" s="11" t="n">
        <v>708</v>
      </c>
      <c r="M99" s="4" t="inlineStr">
        <is>
          <t>PO0031163</t>
        </is>
      </c>
      <c r="N99" s="4" t="inlineStr">
        <is>
          <t>2026-10-04</t>
        </is>
      </c>
      <c r="O99" s="4" t="inlineStr">
        <is>
          <t>COVERED BY INBOUND</t>
        </is>
      </c>
      <c r="P99" s="11" t="n">
        <v>4111</v>
      </c>
    </row>
    <row r="100">
      <c r="A100" s="4" t="inlineStr">
        <is>
          <t>WH08</t>
        </is>
      </c>
      <c r="B100" s="4" t="inlineStr">
        <is>
          <t>Chennai DC</t>
        </is>
      </c>
      <c r="C100" s="4" t="inlineStr">
        <is>
          <t>South</t>
        </is>
      </c>
      <c r="D100" s="4" t="inlineStr">
        <is>
          <t>SKU036</t>
        </is>
      </c>
      <c r="E100" s="4" t="inlineStr">
        <is>
          <t>Instant Noodles 70g</t>
        </is>
      </c>
      <c r="F100" s="4" t="inlineStr">
        <is>
          <t>Snacks &amp; Confectionery</t>
        </is>
      </c>
      <c r="G100" s="4" t="inlineStr">
        <is>
          <t>C</t>
        </is>
      </c>
      <c r="H100" s="4" t="inlineStr">
        <is>
          <t>STOCKOUT</t>
        </is>
      </c>
      <c r="I100" s="13" t="n">
        <v>0</v>
      </c>
      <c r="J100" s="11" t="n">
        <v>0</v>
      </c>
      <c r="K100" s="13" t="n">
        <v>783.8</v>
      </c>
      <c r="L100" s="11" t="n">
        <v>2472</v>
      </c>
      <c r="M100" s="4" t="inlineStr">
        <is>
          <t>PO0031766</t>
        </is>
      </c>
      <c r="N100" s="4" t="inlineStr">
        <is>
          <t>2026-10-06</t>
        </is>
      </c>
      <c r="O100" s="4" t="inlineStr">
        <is>
          <t>GAP BEFORE ARRIVAL</t>
        </is>
      </c>
      <c r="P100" s="11" t="n">
        <v>3919</v>
      </c>
    </row>
    <row r="101">
      <c r="A101" s="4" t="inlineStr">
        <is>
          <t>WH08</t>
        </is>
      </c>
      <c r="B101" s="4" t="inlineStr">
        <is>
          <t>Chennai DC</t>
        </is>
      </c>
      <c r="C101" s="4" t="inlineStr">
        <is>
          <t>South</t>
        </is>
      </c>
      <c r="D101" s="4" t="inlineStr">
        <is>
          <t>SKU083</t>
        </is>
      </c>
      <c r="E101" s="4" t="inlineStr">
        <is>
          <t>Screen Guard</t>
        </is>
      </c>
      <c r="F101" s="4" t="inlineStr">
        <is>
          <t>Electronics Accessories</t>
        </is>
      </c>
      <c r="G101" s="4" t="inlineStr">
        <is>
          <t>C</t>
        </is>
      </c>
      <c r="H101" s="4" t="inlineStr">
        <is>
          <t>STOCKOUT</t>
        </is>
      </c>
      <c r="I101" s="13" t="n">
        <v>0</v>
      </c>
      <c r="J101" s="11" t="n">
        <v>0</v>
      </c>
      <c r="K101" s="13" t="n">
        <v>50</v>
      </c>
      <c r="L101" s="11" t="n">
        <v>150</v>
      </c>
      <c r="M101" s="4" t="inlineStr">
        <is>
          <t>PO0031269</t>
        </is>
      </c>
      <c r="N101" s="4" t="inlineStr">
        <is>
          <t>2026-10-10</t>
        </is>
      </c>
      <c r="O101" s="4" t="inlineStr">
        <is>
          <t>GAP BEFORE ARRIVAL</t>
        </is>
      </c>
      <c r="P101" s="11" t="n">
        <v>3450</v>
      </c>
    </row>
    <row r="102">
      <c r="A102" s="4" t="inlineStr">
        <is>
          <t>WH10</t>
        </is>
      </c>
      <c r="B102" s="4" t="inlineStr">
        <is>
          <t>Kolkata DC</t>
        </is>
      </c>
      <c r="C102" s="4" t="inlineStr">
        <is>
          <t>East</t>
        </is>
      </c>
      <c r="D102" s="4" t="inlineStr">
        <is>
          <t>SKU042</t>
        </is>
      </c>
      <c r="E102" s="4" t="inlineStr">
        <is>
          <t>Dry Fruit Mix 250g</t>
        </is>
      </c>
      <c r="F102" s="4" t="inlineStr">
        <is>
          <t>Snacks &amp; Confectionery</t>
        </is>
      </c>
      <c r="G102" s="4" t="inlineStr">
        <is>
          <t>A</t>
        </is>
      </c>
      <c r="H102" s="4" t="inlineStr">
        <is>
          <t>STOCKOUT</t>
        </is>
      </c>
      <c r="I102" s="13" t="n">
        <v>0</v>
      </c>
      <c r="J102" s="11" t="n">
        <v>0</v>
      </c>
      <c r="K102" s="13" t="n">
        <v>243.3</v>
      </c>
      <c r="L102" s="11" t="n">
        <v>2292</v>
      </c>
      <c r="M102" s="4" t="inlineStr">
        <is>
          <t>PO0031620</t>
        </is>
      </c>
      <c r="N102" s="4" t="inlineStr">
        <is>
          <t>2026-10-02</t>
        </is>
      </c>
      <c r="O102" s="4" t="inlineStr">
        <is>
          <t>INBOUND OVERDUE</t>
        </is>
      </c>
      <c r="P102" s="11" t="n">
        <v>3406</v>
      </c>
    </row>
    <row r="103">
      <c r="A103" s="4" t="inlineStr">
        <is>
          <t>WH02</t>
        </is>
      </c>
      <c r="B103" s="4" t="inlineStr">
        <is>
          <t>Jaipur DC</t>
        </is>
      </c>
      <c r="C103" s="4" t="inlineStr">
        <is>
          <t>North</t>
        </is>
      </c>
      <c r="D103" s="4" t="inlineStr">
        <is>
          <t>SKU025</t>
        </is>
      </c>
      <c r="E103" s="4" t="inlineStr">
        <is>
          <t>Tea Bags 100pk</t>
        </is>
      </c>
      <c r="F103" s="4" t="inlineStr">
        <is>
          <t>Beverages</t>
        </is>
      </c>
      <c r="G103" s="4" t="inlineStr">
        <is>
          <t>C</t>
        </is>
      </c>
      <c r="H103" s="4" t="inlineStr">
        <is>
          <t>STOCKOUT</t>
        </is>
      </c>
      <c r="I103" s="13" t="n">
        <v>0</v>
      </c>
      <c r="J103" s="11" t="n">
        <v>0</v>
      </c>
      <c r="K103" s="13" t="n">
        <v>841.5</v>
      </c>
      <c r="L103" s="11" t="n">
        <v>3384</v>
      </c>
      <c r="M103" s="4" t="inlineStr">
        <is>
          <t>PO0031672</t>
        </is>
      </c>
      <c r="N103" s="4" t="inlineStr">
        <is>
          <t>2026-10-09</t>
        </is>
      </c>
      <c r="O103" s="4" t="inlineStr">
        <is>
          <t>GAP BEFORE ARRIVAL</t>
        </is>
      </c>
      <c r="P103" s="11" t="n">
        <v>3366</v>
      </c>
    </row>
    <row r="104">
      <c r="A104" s="4" t="inlineStr">
        <is>
          <t>WH12</t>
        </is>
      </c>
      <c r="B104" s="4" t="inlineStr">
        <is>
          <t>Nagpur DC</t>
        </is>
      </c>
      <c r="C104" s="4" t="inlineStr">
        <is>
          <t>Central</t>
        </is>
      </c>
      <c r="D104" s="4" t="inlineStr">
        <is>
          <t>SKU114</t>
        </is>
      </c>
      <c r="E104" s="4" t="inlineStr">
        <is>
          <t>Cable Ties 100pk</t>
        </is>
      </c>
      <c r="F104" s="4" t="inlineStr">
        <is>
          <t>Packaging &amp; Supplies</t>
        </is>
      </c>
      <c r="G104" s="4" t="inlineStr">
        <is>
          <t>C</t>
        </is>
      </c>
      <c r="H104" s="4" t="inlineStr">
        <is>
          <t>STOCKOUT</t>
        </is>
      </c>
      <c r="I104" s="13" t="n">
        <v>0</v>
      </c>
      <c r="J104" s="11" t="n">
        <v>0</v>
      </c>
      <c r="K104" s="13" t="n">
        <v>232.5</v>
      </c>
      <c r="L104" s="11" t="n">
        <v>1820</v>
      </c>
      <c r="M104" s="4" t="inlineStr">
        <is>
          <t>PO0030806</t>
        </is>
      </c>
      <c r="N104" s="4" t="inlineStr">
        <is>
          <t>2026-10-01</t>
        </is>
      </c>
      <c r="O104" s="4" t="inlineStr">
        <is>
          <t>INBOUND OVERDUE</t>
        </is>
      </c>
      <c r="P104" s="11" t="n">
        <v>3255</v>
      </c>
    </row>
    <row r="105">
      <c r="A105" s="4" t="inlineStr">
        <is>
          <t>WH11</t>
        </is>
      </c>
      <c r="B105" s="4" t="inlineStr">
        <is>
          <t>Guwahati DC</t>
        </is>
      </c>
      <c r="C105" s="4" t="inlineStr">
        <is>
          <t>East</t>
        </is>
      </c>
      <c r="D105" s="4" t="inlineStr">
        <is>
          <t>SKU099</t>
        </is>
      </c>
      <c r="E105" s="4" t="inlineStr">
        <is>
          <t>Digital Thermometer</t>
        </is>
      </c>
      <c r="F105" s="4" t="inlineStr">
        <is>
          <t>OTC Pharma &amp; Wellness</t>
        </is>
      </c>
      <c r="G105" s="4" t="inlineStr">
        <is>
          <t>B</t>
        </is>
      </c>
      <c r="H105" s="4" t="inlineStr">
        <is>
          <t>STOCKOUT</t>
        </is>
      </c>
      <c r="I105" s="13" t="n">
        <v>0</v>
      </c>
      <c r="J105" s="11" t="n">
        <v>0</v>
      </c>
      <c r="K105" s="13" t="n">
        <v>130</v>
      </c>
      <c r="L105" s="11" t="n">
        <v>744</v>
      </c>
      <c r="M105" s="4" t="inlineStr">
        <is>
          <t>PO0031161</t>
        </is>
      </c>
      <c r="N105" s="4" t="inlineStr">
        <is>
          <t>2026-10-08</t>
        </is>
      </c>
      <c r="O105" s="4" t="inlineStr">
        <is>
          <t>GAP BEFORE ARRIVAL</t>
        </is>
      </c>
      <c r="P105" s="11" t="n">
        <v>3120</v>
      </c>
    </row>
    <row r="106">
      <c r="A106" s="4" t="inlineStr">
        <is>
          <t>WH12</t>
        </is>
      </c>
      <c r="B106" s="4" t="inlineStr">
        <is>
          <t>Nagpur DC</t>
        </is>
      </c>
      <c r="C106" s="4" t="inlineStr">
        <is>
          <t>Central</t>
        </is>
      </c>
      <c r="D106" s="4" t="inlineStr">
        <is>
          <t>SKU083</t>
        </is>
      </c>
      <c r="E106" s="4" t="inlineStr">
        <is>
          <t>Screen Guard</t>
        </is>
      </c>
      <c r="F106" s="4" t="inlineStr">
        <is>
          <t>Electronics Accessories</t>
        </is>
      </c>
      <c r="G106" s="4" t="inlineStr">
        <is>
          <t>C</t>
        </is>
      </c>
      <c r="H106" s="4" t="inlineStr">
        <is>
          <t>STOCKOUT</t>
        </is>
      </c>
      <c r="I106" s="13" t="n">
        <v>0</v>
      </c>
      <c r="J106" s="11" t="n">
        <v>0</v>
      </c>
      <c r="K106" s="13" t="n">
        <v>43.5</v>
      </c>
      <c r="L106" s="11" t="n">
        <v>300</v>
      </c>
      <c r="M106" s="4" t="inlineStr">
        <is>
          <t>PO0030981</t>
        </is>
      </c>
      <c r="N106" s="4" t="inlineStr">
        <is>
          <t>2026-10-06</t>
        </is>
      </c>
      <c r="O106" s="4" t="inlineStr">
        <is>
          <t>GAP BEFORE ARRIVAL</t>
        </is>
      </c>
      <c r="P106" s="11" t="n">
        <v>3002</v>
      </c>
    </row>
    <row r="107">
      <c r="A107" s="4" t="inlineStr">
        <is>
          <t>WH11</t>
        </is>
      </c>
      <c r="B107" s="4" t="inlineStr">
        <is>
          <t>Guwahati DC</t>
        </is>
      </c>
      <c r="C107" s="4" t="inlineStr">
        <is>
          <t>East</t>
        </is>
      </c>
      <c r="D107" s="4" t="inlineStr">
        <is>
          <t>SKU109</t>
        </is>
      </c>
      <c r="E107" s="4" t="inlineStr">
        <is>
          <t>Bubble Wrap Roll</t>
        </is>
      </c>
      <c r="F107" s="4" t="inlineStr">
        <is>
          <t>Packaging &amp; Supplies</t>
        </is>
      </c>
      <c r="G107" s="4" t="inlineStr">
        <is>
          <t>C</t>
        </is>
      </c>
      <c r="H107" s="4" t="inlineStr">
        <is>
          <t>STOCKOUT</t>
        </is>
      </c>
      <c r="I107" s="13" t="n">
        <v>0</v>
      </c>
      <c r="J107" s="11" t="n">
        <v>0</v>
      </c>
      <c r="K107" s="13" t="n">
        <v>249.8</v>
      </c>
      <c r="L107" s="11" t="n">
        <v>1400</v>
      </c>
      <c r="M107" s="4" t="inlineStr">
        <is>
          <t>PO0030627</t>
        </is>
      </c>
      <c r="N107" s="4" t="inlineStr">
        <is>
          <t>2026-09-28</t>
        </is>
      </c>
      <c r="O107" s="4" t="inlineStr">
        <is>
          <t>INBOUND OVERDUE</t>
        </is>
      </c>
      <c r="P107" s="11" t="n">
        <v>2997</v>
      </c>
    </row>
    <row r="108">
      <c r="A108" s="4" t="inlineStr">
        <is>
          <t>WH11</t>
        </is>
      </c>
      <c r="B108" s="4" t="inlineStr">
        <is>
          <t>Guwahati DC</t>
        </is>
      </c>
      <c r="C108" s="4" t="inlineStr">
        <is>
          <t>East</t>
        </is>
      </c>
      <c r="D108" s="4" t="inlineStr">
        <is>
          <t>SKU084</t>
        </is>
      </c>
      <c r="E108" s="4" t="inlineStr">
        <is>
          <t>LED Bulb 9W</t>
        </is>
      </c>
      <c r="F108" s="4" t="inlineStr">
        <is>
          <t>Electronics Accessories</t>
        </is>
      </c>
      <c r="G108" s="4" t="inlineStr">
        <is>
          <t>C</t>
        </is>
      </c>
      <c r="H108" s="4" t="inlineStr">
        <is>
          <t>STOCKOUT</t>
        </is>
      </c>
      <c r="I108" s="13" t="n">
        <v>0</v>
      </c>
      <c r="J108" s="11" t="n">
        <v>0</v>
      </c>
      <c r="K108" s="13" t="n">
        <v>57.8</v>
      </c>
      <c r="L108" s="11" t="n">
        <v>230</v>
      </c>
      <c r="M108" s="4" t="inlineStr">
        <is>
          <t>PO0031159</t>
        </is>
      </c>
      <c r="N108" s="4" t="inlineStr">
        <is>
          <t>2026-10-09</t>
        </is>
      </c>
      <c r="O108" s="4" t="inlineStr">
        <is>
          <t>GAP BEFORE ARRIVAL</t>
        </is>
      </c>
      <c r="P108" s="11" t="n">
        <v>2714</v>
      </c>
    </row>
    <row r="109">
      <c r="A109" s="4" t="inlineStr">
        <is>
          <t>WH11</t>
        </is>
      </c>
      <c r="B109" s="4" t="inlineStr">
        <is>
          <t>Guwahati DC</t>
        </is>
      </c>
      <c r="C109" s="4" t="inlineStr">
        <is>
          <t>East</t>
        </is>
      </c>
      <c r="D109" s="4" t="inlineStr">
        <is>
          <t>SKU063</t>
        </is>
      </c>
      <c r="E109" s="4" t="inlineStr">
        <is>
          <t>Floor Cleaner 1L</t>
        </is>
      </c>
      <c r="F109" s="4" t="inlineStr">
        <is>
          <t>Home Care</t>
        </is>
      </c>
      <c r="G109" s="4" t="inlineStr">
        <is>
          <t>C</t>
        </is>
      </c>
      <c r="H109" s="4" t="inlineStr">
        <is>
          <t>STOCKOUT</t>
        </is>
      </c>
      <c r="I109" s="13" t="n">
        <v>0</v>
      </c>
      <c r="J109" s="11" t="n">
        <v>0</v>
      </c>
      <c r="K109" s="13" t="n">
        <v>221</v>
      </c>
      <c r="L109" s="11" t="n">
        <v>1356</v>
      </c>
      <c r="M109" s="4" t="inlineStr">
        <is>
          <t>PO0031468</t>
        </is>
      </c>
      <c r="N109" s="4" t="inlineStr">
        <is>
          <t>2026-10-08</t>
        </is>
      </c>
      <c r="O109" s="4" t="inlineStr">
        <is>
          <t>GAP BEFORE ARRIVAL</t>
        </is>
      </c>
      <c r="P109" s="11" t="n">
        <v>2652</v>
      </c>
    </row>
    <row r="110">
      <c r="A110" s="4" t="inlineStr">
        <is>
          <t>WH11</t>
        </is>
      </c>
      <c r="B110" s="4" t="inlineStr">
        <is>
          <t>Guwahati DC</t>
        </is>
      </c>
      <c r="C110" s="4" t="inlineStr">
        <is>
          <t>East</t>
        </is>
      </c>
      <c r="D110" s="4" t="inlineStr">
        <is>
          <t>SKU095</t>
        </is>
      </c>
      <c r="E110" s="4" t="inlineStr">
        <is>
          <t>Multivitamin 30s</t>
        </is>
      </c>
      <c r="F110" s="4" t="inlineStr">
        <is>
          <t>OTC Pharma &amp; Wellness</t>
        </is>
      </c>
      <c r="G110" s="4" t="inlineStr">
        <is>
          <t>B</t>
        </is>
      </c>
      <c r="H110" s="4" t="inlineStr">
        <is>
          <t>STOCKOUT</t>
        </is>
      </c>
      <c r="I110" s="13" t="n">
        <v>0</v>
      </c>
      <c r="J110" s="11" t="n">
        <v>0</v>
      </c>
      <c r="K110" s="13" t="n">
        <v>41.5</v>
      </c>
      <c r="L110" s="11" t="n">
        <v>384</v>
      </c>
      <c r="M110" s="4" t="inlineStr">
        <is>
          <t>PO0031643</t>
        </is>
      </c>
      <c r="N110" s="4" t="inlineStr">
        <is>
          <t>2026-10-13</t>
        </is>
      </c>
      <c r="O110" s="4" t="inlineStr">
        <is>
          <t>GAP BEFORE ARRIVAL</t>
        </is>
      </c>
      <c r="P110" s="11" t="n">
        <v>2449</v>
      </c>
    </row>
    <row r="111">
      <c r="A111" s="4" t="inlineStr">
        <is>
          <t>WH11</t>
        </is>
      </c>
      <c r="B111" s="4" t="inlineStr">
        <is>
          <t>Guwahati DC</t>
        </is>
      </c>
      <c r="C111" s="4" t="inlineStr">
        <is>
          <t>East</t>
        </is>
      </c>
      <c r="D111" s="4" t="inlineStr">
        <is>
          <t>SKU077</t>
        </is>
      </c>
      <c r="E111" s="4" t="inlineStr">
        <is>
          <t>Fast Charger 25W</t>
        </is>
      </c>
      <c r="F111" s="4" t="inlineStr">
        <is>
          <t>Electronics Accessories</t>
        </is>
      </c>
      <c r="G111" s="4" t="inlineStr">
        <is>
          <t>B</t>
        </is>
      </c>
      <c r="H111" s="4" t="inlineStr">
        <is>
          <t>STOCKOUT</t>
        </is>
      </c>
      <c r="I111" s="13" t="n">
        <v>0</v>
      </c>
      <c r="J111" s="11" t="n">
        <v>0</v>
      </c>
      <c r="K111" s="13" t="n">
        <v>23</v>
      </c>
      <c r="L111" s="11" t="n">
        <v>450</v>
      </c>
      <c r="M111" s="4" t="inlineStr">
        <is>
          <t>PO0030460</t>
        </is>
      </c>
      <c r="N111" s="4" t="inlineStr">
        <is>
          <t>2026-09-26</t>
        </is>
      </c>
      <c r="O111" s="4" t="inlineStr">
        <is>
          <t>INBOUND OVERDUE</t>
        </is>
      </c>
      <c r="P111" s="11" t="n">
        <v>2323</v>
      </c>
    </row>
    <row r="112">
      <c r="A112" s="4" t="inlineStr">
        <is>
          <t>WH10</t>
        </is>
      </c>
      <c r="B112" s="4" t="inlineStr">
        <is>
          <t>Kolkata DC</t>
        </is>
      </c>
      <c r="C112" s="4" t="inlineStr">
        <is>
          <t>East</t>
        </is>
      </c>
      <c r="D112" s="4" t="inlineStr">
        <is>
          <t>SKU112</t>
        </is>
      </c>
      <c r="E112" s="4" t="inlineStr">
        <is>
          <t>Poly Mailer 100pk</t>
        </is>
      </c>
      <c r="F112" s="4" t="inlineStr">
        <is>
          <t>Packaging &amp; Supplies</t>
        </is>
      </c>
      <c r="G112" s="4" t="inlineStr">
        <is>
          <t>C</t>
        </is>
      </c>
      <c r="H112" s="4" t="inlineStr">
        <is>
          <t>STOCKOUT</t>
        </is>
      </c>
      <c r="I112" s="13" t="n">
        <v>0</v>
      </c>
      <c r="J112" s="11" t="n">
        <v>0</v>
      </c>
      <c r="K112" s="13" t="n">
        <v>116</v>
      </c>
      <c r="L112" s="11" t="n">
        <v>320</v>
      </c>
      <c r="M112" s="4" t="inlineStr">
        <is>
          <t>PO0031630</t>
        </is>
      </c>
      <c r="N112" s="4" t="inlineStr">
        <is>
          <t>2026-10-06</t>
        </is>
      </c>
      <c r="O112" s="4" t="inlineStr">
        <is>
          <t>GAP BEFORE ARRIVAL</t>
        </is>
      </c>
      <c r="P112" s="11" t="n">
        <v>2320</v>
      </c>
    </row>
    <row r="113">
      <c r="A113" s="4" t="inlineStr">
        <is>
          <t>WH12</t>
        </is>
      </c>
      <c r="B113" s="4" t="inlineStr">
        <is>
          <t>Nagpur DC</t>
        </is>
      </c>
      <c r="C113" s="4" t="inlineStr">
        <is>
          <t>Central</t>
        </is>
      </c>
      <c r="D113" s="4" t="inlineStr">
        <is>
          <t>SKU047</t>
        </is>
      </c>
      <c r="E113" s="4" t="inlineStr">
        <is>
          <t>Soap 4-pack</t>
        </is>
      </c>
      <c r="F113" s="4" t="inlineStr">
        <is>
          <t>Personal Care</t>
        </is>
      </c>
      <c r="G113" s="4" t="inlineStr">
        <is>
          <t>C</t>
        </is>
      </c>
      <c r="H113" s="4" t="inlineStr">
        <is>
          <t>STOCKOUT</t>
        </is>
      </c>
      <c r="I113" s="13" t="n">
        <v>0</v>
      </c>
      <c r="J113" s="11" t="n">
        <v>0</v>
      </c>
      <c r="K113" s="13" t="n">
        <v>227.5</v>
      </c>
      <c r="L113" s="11" t="n">
        <v>1392</v>
      </c>
      <c r="M113" s="4" t="inlineStr">
        <is>
          <t>PO0031171</t>
        </is>
      </c>
      <c r="N113" s="4" t="inlineStr">
        <is>
          <t>2026-09-25</t>
        </is>
      </c>
      <c r="O113" s="4" t="inlineStr">
        <is>
          <t>INBOUND OVERDUE</t>
        </is>
      </c>
      <c r="P113" s="11" t="n">
        <v>2275</v>
      </c>
    </row>
    <row r="114">
      <c r="A114" s="4" t="inlineStr">
        <is>
          <t>WH11</t>
        </is>
      </c>
      <c r="B114" s="4" t="inlineStr">
        <is>
          <t>Guwahati DC</t>
        </is>
      </c>
      <c r="C114" s="4" t="inlineStr">
        <is>
          <t>East</t>
        </is>
      </c>
      <c r="D114" s="4" t="inlineStr">
        <is>
          <t>SKU015</t>
        </is>
      </c>
      <c r="E114" s="4" t="inlineStr">
        <is>
          <t>Suji 1kg</t>
        </is>
      </c>
      <c r="F114" s="4" t="inlineStr">
        <is>
          <t>Packaged Staples</t>
        </is>
      </c>
      <c r="G114" s="4" t="inlineStr">
        <is>
          <t>C</t>
        </is>
      </c>
      <c r="H114" s="4" t="inlineStr">
        <is>
          <t>STOCKOUT</t>
        </is>
      </c>
      <c r="I114" s="13" t="n">
        <v>0</v>
      </c>
      <c r="J114" s="11" t="n">
        <v>0</v>
      </c>
      <c r="K114" s="13" t="n">
        <v>426.5</v>
      </c>
      <c r="L114" s="11" t="n">
        <v>1416</v>
      </c>
      <c r="M114" s="4" t="inlineStr">
        <is>
          <t>PO0031635</t>
        </is>
      </c>
      <c r="N114" s="4" t="inlineStr">
        <is>
          <t>2026-09-30</t>
        </is>
      </c>
      <c r="O114" s="4" t="inlineStr">
        <is>
          <t>INBOUND OVERDUE</t>
        </is>
      </c>
      <c r="P114" s="11" t="n">
        <v>2133</v>
      </c>
    </row>
    <row r="115">
      <c r="A115" s="4" t="inlineStr">
        <is>
          <t>WH10</t>
        </is>
      </c>
      <c r="B115" s="4" t="inlineStr">
        <is>
          <t>Kolkata DC</t>
        </is>
      </c>
      <c r="C115" s="4" t="inlineStr">
        <is>
          <t>East</t>
        </is>
      </c>
      <c r="D115" s="4" t="inlineStr">
        <is>
          <t>SKU043</t>
        </is>
      </c>
      <c r="E115" s="4" t="inlineStr">
        <is>
          <t>Soan Papdi 500g</t>
        </is>
      </c>
      <c r="F115" s="4" t="inlineStr">
        <is>
          <t>Snacks &amp; Confectionery</t>
        </is>
      </c>
      <c r="G115" s="4" t="inlineStr">
        <is>
          <t>C</t>
        </is>
      </c>
      <c r="H115" s="4" t="inlineStr">
        <is>
          <t>STOCKOUT</t>
        </is>
      </c>
      <c r="I115" s="13" t="n">
        <v>0</v>
      </c>
      <c r="J115" s="11" t="n">
        <v>0</v>
      </c>
      <c r="K115" s="13" t="n">
        <v>710.3</v>
      </c>
      <c r="L115" s="11" t="n">
        <v>2604</v>
      </c>
      <c r="M115" s="4" t="inlineStr">
        <is>
          <t>PO0031297</t>
        </is>
      </c>
      <c r="N115" s="4" t="inlineStr">
        <is>
          <t>2026-09-26</t>
        </is>
      </c>
      <c r="O115" s="4" t="inlineStr">
        <is>
          <t>INBOUND OVERDUE</t>
        </is>
      </c>
      <c r="P115" s="11" t="n">
        <v>2131</v>
      </c>
    </row>
    <row r="116">
      <c r="A116" s="4" t="inlineStr">
        <is>
          <t>WH11</t>
        </is>
      </c>
      <c r="B116" s="4" t="inlineStr">
        <is>
          <t>Guwahati DC</t>
        </is>
      </c>
      <c r="C116" s="4" t="inlineStr">
        <is>
          <t>East</t>
        </is>
      </c>
      <c r="D116" s="4" t="inlineStr">
        <is>
          <t>SKU020</t>
        </is>
      </c>
      <c r="E116" s="4" t="inlineStr">
        <is>
          <t>Energy Drink 250ml</t>
        </is>
      </c>
      <c r="F116" s="4" t="inlineStr">
        <is>
          <t>Beverages</t>
        </is>
      </c>
      <c r="G116" s="4" t="inlineStr">
        <is>
          <t>B</t>
        </is>
      </c>
      <c r="H116" s="4" t="inlineStr">
        <is>
          <t>STOCKOUT</t>
        </is>
      </c>
      <c r="I116" s="13" t="n">
        <v>0</v>
      </c>
      <c r="J116" s="11" t="n">
        <v>0</v>
      </c>
      <c r="K116" s="13" t="n">
        <v>524</v>
      </c>
      <c r="L116" s="11" t="n">
        <v>3168</v>
      </c>
      <c r="M116" s="4" t="inlineStr">
        <is>
          <t>PO0031979</t>
        </is>
      </c>
      <c r="N116" s="4" t="inlineStr">
        <is>
          <t>2026-10-11</t>
        </is>
      </c>
      <c r="O116" s="4" t="inlineStr">
        <is>
          <t>GAP BEFORE ARRIVAL</t>
        </is>
      </c>
      <c r="P116" s="11" t="n">
        <v>2096</v>
      </c>
    </row>
    <row r="117">
      <c r="A117" s="4" t="inlineStr">
        <is>
          <t>WH11</t>
        </is>
      </c>
      <c r="B117" s="4" t="inlineStr">
        <is>
          <t>Guwahati DC</t>
        </is>
      </c>
      <c r="C117" s="4" t="inlineStr">
        <is>
          <t>East</t>
        </is>
      </c>
      <c r="D117" s="4" t="inlineStr">
        <is>
          <t>SKU048</t>
        </is>
      </c>
      <c r="E117" s="4" t="inlineStr">
        <is>
          <t>Toothpaste 150g</t>
        </is>
      </c>
      <c r="F117" s="4" t="inlineStr">
        <is>
          <t>Personal Care</t>
        </is>
      </c>
      <c r="G117" s="4" t="inlineStr">
        <is>
          <t>C</t>
        </is>
      </c>
      <c r="H117" s="4" t="inlineStr">
        <is>
          <t>STOCKOUT</t>
        </is>
      </c>
      <c r="I117" s="13" t="n">
        <v>0</v>
      </c>
      <c r="J117" s="11" t="n">
        <v>0</v>
      </c>
      <c r="K117" s="13" t="n">
        <v>122.3</v>
      </c>
      <c r="L117" s="11" t="n">
        <v>732</v>
      </c>
      <c r="M117" s="4" t="inlineStr">
        <is>
          <t>PO0030966</t>
        </is>
      </c>
      <c r="N117" s="4" t="inlineStr">
        <is>
          <t>2026-09-26</t>
        </is>
      </c>
      <c r="O117" s="4" t="inlineStr">
        <is>
          <t>INBOUND OVERDUE</t>
        </is>
      </c>
      <c r="P117" s="11" t="n">
        <v>1956</v>
      </c>
    </row>
    <row r="118">
      <c r="A118" s="4" t="inlineStr">
        <is>
          <t>WH11</t>
        </is>
      </c>
      <c r="B118" s="4" t="inlineStr">
        <is>
          <t>Guwahati DC</t>
        </is>
      </c>
      <c r="C118" s="4" t="inlineStr">
        <is>
          <t>East</t>
        </is>
      </c>
      <c r="D118" s="4" t="inlineStr">
        <is>
          <t>SKU071</t>
        </is>
      </c>
      <c r="E118" s="4" t="inlineStr">
        <is>
          <t>Bleach 500ml</t>
        </is>
      </c>
      <c r="F118" s="4" t="inlineStr">
        <is>
          <t>Home Care</t>
        </is>
      </c>
      <c r="G118" s="4" t="inlineStr">
        <is>
          <t>C</t>
        </is>
      </c>
      <c r="H118" s="4" t="inlineStr">
        <is>
          <t>STOCKOUT</t>
        </is>
      </c>
      <c r="I118" s="13" t="n">
        <v>0</v>
      </c>
      <c r="J118" s="11" t="n">
        <v>0</v>
      </c>
      <c r="K118" s="13" t="n">
        <v>184</v>
      </c>
      <c r="L118" s="11" t="n">
        <v>624</v>
      </c>
      <c r="M118" s="4" t="inlineStr">
        <is>
          <t>PO0031640</t>
        </is>
      </c>
      <c r="N118" s="4" t="inlineStr">
        <is>
          <t>2026-10-06</t>
        </is>
      </c>
      <c r="O118" s="4" t="inlineStr">
        <is>
          <t>GAP BEFORE ARRIVAL</t>
        </is>
      </c>
      <c r="P118" s="11" t="n">
        <v>1840</v>
      </c>
    </row>
    <row r="119">
      <c r="A119" s="4" t="inlineStr">
        <is>
          <t>WH02</t>
        </is>
      </c>
      <c r="B119" s="4" t="inlineStr">
        <is>
          <t>Jaipur DC</t>
        </is>
      </c>
      <c r="C119" s="4" t="inlineStr">
        <is>
          <t>North</t>
        </is>
      </c>
      <c r="D119" s="4" t="inlineStr">
        <is>
          <t>SKU113</t>
        </is>
      </c>
      <c r="E119" s="4" t="inlineStr">
        <is>
          <t>Void Fill Paper</t>
        </is>
      </c>
      <c r="F119" s="4" t="inlineStr">
        <is>
          <t>Packaging &amp; Supplies</t>
        </is>
      </c>
      <c r="G119" s="4" t="inlineStr">
        <is>
          <t>C</t>
        </is>
      </c>
      <c r="H119" s="4" t="inlineStr">
        <is>
          <t>STOCKOUT</t>
        </is>
      </c>
      <c r="I119" s="13" t="n">
        <v>0</v>
      </c>
      <c r="J119" s="11" t="n">
        <v>0</v>
      </c>
      <c r="K119" s="13" t="n">
        <v>88</v>
      </c>
      <c r="L119" s="11" t="n">
        <v>340</v>
      </c>
      <c r="M119" s="4" t="inlineStr">
        <is>
          <t>PO0031007</t>
        </is>
      </c>
      <c r="N119" s="4" t="inlineStr">
        <is>
          <t>2026-10-05</t>
        </is>
      </c>
      <c r="O119" s="4" t="inlineStr">
        <is>
          <t>GAP BEFORE ARRIVAL</t>
        </is>
      </c>
      <c r="P119" s="11" t="n">
        <v>1672</v>
      </c>
    </row>
    <row r="120">
      <c r="A120" s="4" t="inlineStr">
        <is>
          <t>WH07</t>
        </is>
      </c>
      <c r="B120" s="4" t="inlineStr">
        <is>
          <t>Bengaluru DC</t>
        </is>
      </c>
      <c r="C120" s="4" t="inlineStr">
        <is>
          <t>South</t>
        </is>
      </c>
      <c r="D120" s="4" t="inlineStr">
        <is>
          <t>SKU016</t>
        </is>
      </c>
      <c r="E120" s="4" t="inlineStr">
        <is>
          <t>Cola 750ml</t>
        </is>
      </c>
      <c r="F120" s="4" t="inlineStr">
        <is>
          <t>Beverages</t>
        </is>
      </c>
      <c r="G120" s="4" t="inlineStr">
        <is>
          <t>C</t>
        </is>
      </c>
      <c r="H120" s="4" t="inlineStr">
        <is>
          <t>STOCKOUT</t>
        </is>
      </c>
      <c r="I120" s="13" t="n">
        <v>0</v>
      </c>
      <c r="J120" s="11" t="n">
        <v>0</v>
      </c>
      <c r="K120" s="13" t="n">
        <v>205.3</v>
      </c>
      <c r="L120" s="11" t="n">
        <v>1248</v>
      </c>
      <c r="M120" s="4" t="inlineStr">
        <is>
          <t>PO0031565</t>
        </is>
      </c>
      <c r="N120" s="4" t="inlineStr">
        <is>
          <t>2026-10-03</t>
        </is>
      </c>
      <c r="O120" s="4" t="inlineStr">
        <is>
          <t>INBOUND OVERDUE</t>
        </is>
      </c>
      <c r="P120" s="11" t="n">
        <v>1232</v>
      </c>
    </row>
    <row r="121">
      <c r="A121" s="4" t="inlineStr">
        <is>
          <t>WH11</t>
        </is>
      </c>
      <c r="B121" s="4" t="inlineStr">
        <is>
          <t>Guwahati DC</t>
        </is>
      </c>
      <c r="C121" s="4" t="inlineStr">
        <is>
          <t>East</t>
        </is>
      </c>
      <c r="D121" s="4" t="inlineStr">
        <is>
          <t>SKU110</t>
        </is>
      </c>
      <c r="E121" s="4" t="inlineStr">
        <is>
          <t>Pallet Strapping Roll</t>
        </is>
      </c>
      <c r="F121" s="4" t="inlineStr">
        <is>
          <t>Packaging &amp; Supplies</t>
        </is>
      </c>
      <c r="G121" s="4" t="inlineStr">
        <is>
          <t>C</t>
        </is>
      </c>
      <c r="H121" s="4" t="inlineStr">
        <is>
          <t>STOCKOUT</t>
        </is>
      </c>
      <c r="I121" s="13" t="n">
        <v>0</v>
      </c>
      <c r="J121" s="11" t="n">
        <v>0</v>
      </c>
      <c r="K121" s="13" t="n">
        <v>135.5</v>
      </c>
      <c r="L121" s="11" t="n">
        <v>660</v>
      </c>
      <c r="M121" s="4" t="inlineStr">
        <is>
          <t>PO0030968</t>
        </is>
      </c>
      <c r="N121" s="4" t="inlineStr">
        <is>
          <t>2026-09-29</t>
        </is>
      </c>
      <c r="O121" s="4" t="inlineStr">
        <is>
          <t>INBOUND OVERDUE</t>
        </is>
      </c>
      <c r="P121" s="11" t="n">
        <v>1084</v>
      </c>
    </row>
    <row r="122">
      <c r="A122" s="4" t="inlineStr">
        <is>
          <t>WH08</t>
        </is>
      </c>
      <c r="B122" s="4" t="inlineStr">
        <is>
          <t>Chennai DC</t>
        </is>
      </c>
      <c r="C122" s="4" t="inlineStr">
        <is>
          <t>South</t>
        </is>
      </c>
      <c r="D122" s="4" t="inlineStr">
        <is>
          <t>SKU116</t>
        </is>
      </c>
      <c r="E122" s="4" t="inlineStr">
        <is>
          <t>Pallet Wrap Hand</t>
        </is>
      </c>
      <c r="F122" s="4" t="inlineStr">
        <is>
          <t>Packaging &amp; Supplies</t>
        </is>
      </c>
      <c r="G122" s="4" t="inlineStr">
        <is>
          <t>C</t>
        </is>
      </c>
      <c r="H122" s="4" t="inlineStr">
        <is>
          <t>STOCKOUT</t>
        </is>
      </c>
      <c r="I122" s="13" t="n">
        <v>0</v>
      </c>
      <c r="J122" s="11" t="n">
        <v>0</v>
      </c>
      <c r="K122" s="13" t="n">
        <v>129.3</v>
      </c>
      <c r="L122" s="11" t="n">
        <v>320</v>
      </c>
      <c r="M122" s="4" t="inlineStr">
        <is>
          <t>PO0031434</t>
        </is>
      </c>
      <c r="N122" s="4" t="inlineStr">
        <is>
          <t>2026-10-01</t>
        </is>
      </c>
      <c r="O122" s="4" t="inlineStr">
        <is>
          <t>INBOUND OVERDUE</t>
        </is>
      </c>
      <c r="P122" s="11" t="n">
        <v>1034</v>
      </c>
    </row>
    <row r="123">
      <c r="A123" s="4" t="inlineStr">
        <is>
          <t>WH11</t>
        </is>
      </c>
      <c r="B123" s="4" t="inlineStr">
        <is>
          <t>Guwahati DC</t>
        </is>
      </c>
      <c r="C123" s="4" t="inlineStr">
        <is>
          <t>East</t>
        </is>
      </c>
      <c r="D123" s="4" t="inlineStr">
        <is>
          <t>SKU112</t>
        </is>
      </c>
      <c r="E123" s="4" t="inlineStr">
        <is>
          <t>Poly Mailer 100pk</t>
        </is>
      </c>
      <c r="F123" s="4" t="inlineStr">
        <is>
          <t>Packaging &amp; Supplies</t>
        </is>
      </c>
      <c r="G123" s="4" t="inlineStr">
        <is>
          <t>C</t>
        </is>
      </c>
      <c r="H123" s="4" t="inlineStr">
        <is>
          <t>STOCKOUT</t>
        </is>
      </c>
      <c r="I123" s="13" t="n">
        <v>0</v>
      </c>
      <c r="J123" s="11" t="n">
        <v>0</v>
      </c>
      <c r="K123" s="13" t="n">
        <v>51</v>
      </c>
      <c r="L123" s="11" t="n">
        <v>200</v>
      </c>
      <c r="M123" s="4" t="inlineStr">
        <is>
          <t>PO0031470</t>
        </is>
      </c>
      <c r="N123" s="4" t="inlineStr">
        <is>
          <t>2026-10-08</t>
        </is>
      </c>
      <c r="O123" s="4" t="inlineStr">
        <is>
          <t>GAP BEFORE ARRIVAL</t>
        </is>
      </c>
      <c r="P123" s="11" t="n">
        <v>1020</v>
      </c>
    </row>
    <row r="124">
      <c r="A124" s="4" t="inlineStr">
        <is>
          <t>WH06</t>
        </is>
      </c>
      <c r="B124" s="4" t="inlineStr">
        <is>
          <t>Ahmedabad DC</t>
        </is>
      </c>
      <c r="C124" s="4" t="inlineStr">
        <is>
          <t>West</t>
        </is>
      </c>
      <c r="D124" s="4" t="inlineStr">
        <is>
          <t>SKU116</t>
        </is>
      </c>
      <c r="E124" s="4" t="inlineStr">
        <is>
          <t>Pallet Wrap Hand</t>
        </is>
      </c>
      <c r="F124" s="4" t="inlineStr">
        <is>
          <t>Packaging &amp; Supplies</t>
        </is>
      </c>
      <c r="G124" s="4" t="inlineStr">
        <is>
          <t>C</t>
        </is>
      </c>
      <c r="H124" s="4" t="inlineStr">
        <is>
          <t>STOCKOUT</t>
        </is>
      </c>
      <c r="I124" s="13" t="n">
        <v>0</v>
      </c>
      <c r="J124" s="11" t="n">
        <v>0</v>
      </c>
      <c r="K124" s="13" t="n">
        <v>122.5</v>
      </c>
      <c r="L124" s="11" t="n">
        <v>460</v>
      </c>
      <c r="M124" s="4" t="inlineStr">
        <is>
          <t>PO0031406</t>
        </is>
      </c>
      <c r="N124" s="4" t="inlineStr">
        <is>
          <t>2026-10-04</t>
        </is>
      </c>
      <c r="O124" s="4" t="inlineStr">
        <is>
          <t>COVERED BY INBOUND</t>
        </is>
      </c>
      <c r="P124" s="11" t="n">
        <v>980</v>
      </c>
    </row>
    <row r="125">
      <c r="A125" s="4" t="inlineStr">
        <is>
          <t>WH10</t>
        </is>
      </c>
      <c r="B125" s="4" t="inlineStr">
        <is>
          <t>Kolkata DC</t>
        </is>
      </c>
      <c r="C125" s="4" t="inlineStr">
        <is>
          <t>East</t>
        </is>
      </c>
      <c r="D125" s="4" t="inlineStr">
        <is>
          <t>SKU116</t>
        </is>
      </c>
      <c r="E125" s="4" t="inlineStr">
        <is>
          <t>Pallet Wrap Hand</t>
        </is>
      </c>
      <c r="F125" s="4" t="inlineStr">
        <is>
          <t>Packaging &amp; Supplies</t>
        </is>
      </c>
      <c r="G125" s="4" t="inlineStr">
        <is>
          <t>C</t>
        </is>
      </c>
      <c r="H125" s="4" t="inlineStr">
        <is>
          <t>STOCKOUT</t>
        </is>
      </c>
      <c r="I125" s="13" t="n">
        <v>0</v>
      </c>
      <c r="J125" s="11" t="n">
        <v>0</v>
      </c>
      <c r="K125" s="13" t="n">
        <v>108.5</v>
      </c>
      <c r="L125" s="11" t="n">
        <v>380</v>
      </c>
      <c r="M125" s="4" t="inlineStr">
        <is>
          <t>PO0031631</t>
        </is>
      </c>
      <c r="N125" s="4" t="inlineStr">
        <is>
          <t>2026-10-05</t>
        </is>
      </c>
      <c r="O125" s="4" t="inlineStr">
        <is>
          <t>GAP BEFORE ARRIVAL</t>
        </is>
      </c>
      <c r="P125" s="11" t="n">
        <v>868</v>
      </c>
    </row>
    <row r="126">
      <c r="A126" s="4" t="inlineStr">
        <is>
          <t>WH11</t>
        </is>
      </c>
      <c r="B126" s="4" t="inlineStr">
        <is>
          <t>Guwahati DC</t>
        </is>
      </c>
      <c r="C126" s="4" t="inlineStr">
        <is>
          <t>East</t>
        </is>
      </c>
      <c r="D126" s="4" t="inlineStr">
        <is>
          <t>SKU047</t>
        </is>
      </c>
      <c r="E126" s="4" t="inlineStr">
        <is>
          <t>Soap 4-pack</t>
        </is>
      </c>
      <c r="F126" s="4" t="inlineStr">
        <is>
          <t>Personal Care</t>
        </is>
      </c>
      <c r="G126" s="4" t="inlineStr">
        <is>
          <t>C</t>
        </is>
      </c>
      <c r="H126" s="4" t="inlineStr">
        <is>
          <t>STOCKOUT</t>
        </is>
      </c>
      <c r="I126" s="13" t="n">
        <v>0</v>
      </c>
      <c r="J126" s="11" t="n">
        <v>0</v>
      </c>
      <c r="K126" s="13" t="n">
        <v>61</v>
      </c>
      <c r="L126" s="11" t="n">
        <v>1392</v>
      </c>
      <c r="M126" s="4" t="inlineStr">
        <is>
          <t>PO0031155</t>
        </is>
      </c>
      <c r="N126" s="4" t="inlineStr">
        <is>
          <t>2026-09-28</t>
        </is>
      </c>
      <c r="O126" s="4" t="inlineStr">
        <is>
          <t>INBOUND OVERDUE</t>
        </is>
      </c>
      <c r="P126" s="11" t="n">
        <v>610</v>
      </c>
    </row>
    <row r="127">
      <c r="A127" s="4" t="inlineStr">
        <is>
          <t>WH08</t>
        </is>
      </c>
      <c r="B127" s="4" t="inlineStr">
        <is>
          <t>Chennai DC</t>
        </is>
      </c>
      <c r="C127" s="4" t="inlineStr">
        <is>
          <t>South</t>
        </is>
      </c>
      <c r="D127" s="4" t="inlineStr">
        <is>
          <t>SKU043</t>
        </is>
      </c>
      <c r="E127" s="4" t="inlineStr">
        <is>
          <t>Soan Papdi 500g</t>
        </is>
      </c>
      <c r="F127" s="4" t="inlineStr">
        <is>
          <t>Snacks &amp; Confectionery</t>
        </is>
      </c>
      <c r="G127" s="4" t="inlineStr">
        <is>
          <t>C</t>
        </is>
      </c>
      <c r="H127" s="4" t="inlineStr">
        <is>
          <t>STOCKOUT</t>
        </is>
      </c>
      <c r="I127" s="13" t="n">
        <v>0</v>
      </c>
      <c r="J127" s="11" t="n">
        <v>0</v>
      </c>
      <c r="K127" s="13" t="n">
        <v>167.3</v>
      </c>
      <c r="L127" s="11" t="n">
        <v>1872</v>
      </c>
      <c r="M127" s="4" t="inlineStr">
        <is>
          <t>PO0031426</t>
        </is>
      </c>
      <c r="N127" s="4" t="inlineStr">
        <is>
          <t>2026-10-02</t>
        </is>
      </c>
      <c r="O127" s="4" t="inlineStr">
        <is>
          <t>INBOUND OVERDUE</t>
        </is>
      </c>
      <c r="P127" s="11" t="n">
        <v>502</v>
      </c>
    </row>
    <row r="128">
      <c r="A128" s="4" t="inlineStr">
        <is>
          <t>WH11</t>
        </is>
      </c>
      <c r="B128" s="4" t="inlineStr">
        <is>
          <t>Guwahati DC</t>
        </is>
      </c>
      <c r="C128" s="4" t="inlineStr">
        <is>
          <t>East</t>
        </is>
      </c>
      <c r="D128" s="4" t="inlineStr">
        <is>
          <t>SKU116</t>
        </is>
      </c>
      <c r="E128" s="4" t="inlineStr">
        <is>
          <t>Pallet Wrap Hand</t>
        </is>
      </c>
      <c r="F128" s="4" t="inlineStr">
        <is>
          <t>Packaging &amp; Supplies</t>
        </is>
      </c>
      <c r="G128" s="4" t="inlineStr">
        <is>
          <t>C</t>
        </is>
      </c>
      <c r="H128" s="4" t="inlineStr">
        <is>
          <t>STOCKOUT</t>
        </is>
      </c>
      <c r="I128" s="13" t="n">
        <v>0</v>
      </c>
      <c r="J128" s="11" t="n">
        <v>0</v>
      </c>
      <c r="K128" s="13" t="n">
        <v>9.5</v>
      </c>
      <c r="L128" s="11" t="n">
        <v>240</v>
      </c>
      <c r="M128" s="4" t="inlineStr">
        <is>
          <t>PO0031314</t>
        </is>
      </c>
      <c r="N128" s="4" t="inlineStr">
        <is>
          <t>2026-10-01</t>
        </is>
      </c>
      <c r="O128" s="4" t="inlineStr">
        <is>
          <t>INBOUND OVERDUE</t>
        </is>
      </c>
      <c r="P128" s="11" t="n">
        <v>76</v>
      </c>
    </row>
    <row r="129">
      <c r="A129" s="4" t="inlineStr">
        <is>
          <t>WH08</t>
        </is>
      </c>
      <c r="B129" s="4" t="inlineStr">
        <is>
          <t>Chennai DC</t>
        </is>
      </c>
      <c r="C129" s="4" t="inlineStr">
        <is>
          <t>South</t>
        </is>
      </c>
      <c r="D129" s="4" t="inlineStr">
        <is>
          <t>SKU033</t>
        </is>
      </c>
      <c r="E129" s="4" t="inlineStr">
        <is>
          <t>Glucose Biscuits 300g</t>
        </is>
      </c>
      <c r="F129" s="4" t="inlineStr">
        <is>
          <t>Snacks &amp; Confectionery</t>
        </is>
      </c>
      <c r="G129" s="4" t="inlineStr">
        <is>
          <t>A</t>
        </is>
      </c>
      <c r="H129" s="4" t="inlineStr">
        <is>
          <t>CRITICAL</t>
        </is>
      </c>
      <c r="I129" s="13" t="n">
        <v>0.36</v>
      </c>
      <c r="J129" s="11" t="n">
        <v>616</v>
      </c>
      <c r="K129" s="13" t="n">
        <v>1727.3</v>
      </c>
      <c r="L129" s="11" t="n">
        <v>5832</v>
      </c>
      <c r="M129" s="4" t="inlineStr">
        <is>
          <t>PO0031765</t>
        </is>
      </c>
      <c r="N129" s="4" t="inlineStr">
        <is>
          <t>2026-10-07</t>
        </is>
      </c>
      <c r="O129" s="4" t="inlineStr">
        <is>
          <t>GAP BEFORE ARRIVAL</t>
        </is>
      </c>
      <c r="P129" s="11" t="n">
        <v>43181</v>
      </c>
    </row>
    <row r="130">
      <c r="A130" s="4" t="inlineStr">
        <is>
          <t>WH08</t>
        </is>
      </c>
      <c r="B130" s="4" t="inlineStr">
        <is>
          <t>Chennai DC</t>
        </is>
      </c>
      <c r="C130" s="4" t="inlineStr">
        <is>
          <t>South</t>
        </is>
      </c>
      <c r="D130" s="4" t="inlineStr">
        <is>
          <t>SKU074</t>
        </is>
      </c>
      <c r="E130" s="4" t="inlineStr">
        <is>
          <t>Matchbox 10pk</t>
        </is>
      </c>
      <c r="F130" s="4" t="inlineStr">
        <is>
          <t>Home Care</t>
        </is>
      </c>
      <c r="G130" s="4" t="inlineStr">
        <is>
          <t>A</t>
        </is>
      </c>
      <c r="H130" s="4" t="inlineStr">
        <is>
          <t>CRITICAL</t>
        </is>
      </c>
      <c r="I130" s="13" t="n">
        <v>0.28</v>
      </c>
      <c r="J130" s="11" t="n">
        <v>205</v>
      </c>
      <c r="K130" s="13" t="n">
        <v>741</v>
      </c>
      <c r="L130" s="11" t="n">
        <v>1284</v>
      </c>
      <c r="M130" s="4" t="inlineStr">
        <is>
          <t>PO0031769</t>
        </is>
      </c>
      <c r="N130" s="4" t="inlineStr">
        <is>
          <t>2026-10-12</t>
        </is>
      </c>
      <c r="O130" s="4" t="inlineStr">
        <is>
          <t>GAP BEFORE ARRIVAL</t>
        </is>
      </c>
      <c r="P130" s="11" t="n">
        <v>42978</v>
      </c>
    </row>
    <row r="131">
      <c r="A131" s="4" t="inlineStr">
        <is>
          <t>WH08</t>
        </is>
      </c>
      <c r="B131" s="4" t="inlineStr">
        <is>
          <t>Chennai DC</t>
        </is>
      </c>
      <c r="C131" s="4" t="inlineStr">
        <is>
          <t>South</t>
        </is>
      </c>
      <c r="D131" s="4" t="inlineStr">
        <is>
          <t>SKU067</t>
        </is>
      </c>
      <c r="E131" s="4" t="inlineStr">
        <is>
          <t>Mosquito Coil 10pk</t>
        </is>
      </c>
      <c r="F131" s="4" t="inlineStr">
        <is>
          <t>Home Care</t>
        </is>
      </c>
      <c r="G131" s="4" t="inlineStr">
        <is>
          <t>A</t>
        </is>
      </c>
      <c r="H131" s="4" t="inlineStr">
        <is>
          <t>CRITICAL</t>
        </is>
      </c>
      <c r="I131" s="13" t="n">
        <v>0.46</v>
      </c>
      <c r="J131" s="11" t="n">
        <v>267</v>
      </c>
      <c r="K131" s="13" t="n">
        <v>585</v>
      </c>
      <c r="L131" s="11" t="n">
        <v>0</v>
      </c>
      <c r="M131" s="4" t="n"/>
      <c r="N131" s="4" t="n"/>
      <c r="O131" s="4" t="inlineStr">
        <is>
          <t>NO INBOUND PO</t>
        </is>
      </c>
      <c r="P131" s="11" t="n">
        <v>33345</v>
      </c>
    </row>
    <row r="132">
      <c r="A132" s="4" t="inlineStr">
        <is>
          <t>WH07</t>
        </is>
      </c>
      <c r="B132" s="4" t="inlineStr">
        <is>
          <t>Bengaluru DC</t>
        </is>
      </c>
      <c r="C132" s="4" t="inlineStr">
        <is>
          <t>South</t>
        </is>
      </c>
      <c r="D132" s="4" t="inlineStr">
        <is>
          <t>SKU074</t>
        </is>
      </c>
      <c r="E132" s="4" t="inlineStr">
        <is>
          <t>Matchbox 10pk</t>
        </is>
      </c>
      <c r="F132" s="4" t="inlineStr">
        <is>
          <t>Home Care</t>
        </is>
      </c>
      <c r="G132" s="4" t="inlineStr">
        <is>
          <t>A</t>
        </is>
      </c>
      <c r="H132" s="4" t="inlineStr">
        <is>
          <t>CRITICAL</t>
        </is>
      </c>
      <c r="I132" s="13" t="n">
        <v>0.42</v>
      </c>
      <c r="J132" s="11" t="n">
        <v>206</v>
      </c>
      <c r="K132" s="13" t="n">
        <v>485</v>
      </c>
      <c r="L132" s="11" t="n">
        <v>1848</v>
      </c>
      <c r="M132" s="4" t="inlineStr">
        <is>
          <t>PO0031573</t>
        </is>
      </c>
      <c r="N132" s="4" t="inlineStr">
        <is>
          <t>2026-10-06</t>
        </is>
      </c>
      <c r="O132" s="4" t="inlineStr">
        <is>
          <t>COVERED BY INBOUND</t>
        </is>
      </c>
      <c r="P132" s="11" t="n">
        <v>28130</v>
      </c>
    </row>
    <row r="133">
      <c r="A133" s="4" t="inlineStr">
        <is>
          <t>WH07</t>
        </is>
      </c>
      <c r="B133" s="4" t="inlineStr">
        <is>
          <t>Bengaluru DC</t>
        </is>
      </c>
      <c r="C133" s="4" t="inlineStr">
        <is>
          <t>South</t>
        </is>
      </c>
      <c r="D133" s="4" t="inlineStr">
        <is>
          <t>SKU082</t>
        </is>
      </c>
      <c r="E133" s="4" t="inlineStr">
        <is>
          <t>Phone Case</t>
        </is>
      </c>
      <c r="F133" s="4" t="inlineStr">
        <is>
          <t>Electronics Accessories</t>
        </is>
      </c>
      <c r="G133" s="4" t="inlineStr">
        <is>
          <t>B</t>
        </is>
      </c>
      <c r="H133" s="4" t="inlineStr">
        <is>
          <t>CRITICAL</t>
        </is>
      </c>
      <c r="I133" s="13" t="n">
        <v>0.2</v>
      </c>
      <c r="J133" s="11" t="n">
        <v>32</v>
      </c>
      <c r="K133" s="13" t="n">
        <v>162.5</v>
      </c>
      <c r="L133" s="11" t="n">
        <v>1340</v>
      </c>
      <c r="M133" s="4" t="inlineStr">
        <is>
          <t>PO0030723</t>
        </is>
      </c>
      <c r="N133" s="4" t="inlineStr">
        <is>
          <t>2026-10-04</t>
        </is>
      </c>
      <c r="O133" s="4" t="inlineStr">
        <is>
          <t>COVERED BY INBOUND</t>
        </is>
      </c>
      <c r="P133" s="11" t="n">
        <v>27625</v>
      </c>
    </row>
    <row r="134">
      <c r="A134" s="4" t="inlineStr">
        <is>
          <t>WH08</t>
        </is>
      </c>
      <c r="B134" s="4" t="inlineStr">
        <is>
          <t>Chennai DC</t>
        </is>
      </c>
      <c r="C134" s="4" t="inlineStr">
        <is>
          <t>South</t>
        </is>
      </c>
      <c r="D134" s="4" t="inlineStr">
        <is>
          <t>SKU085</t>
        </is>
      </c>
      <c r="E134" s="4" t="inlineStr">
        <is>
          <t>Extension Board 4-socket</t>
        </is>
      </c>
      <c r="F134" s="4" t="inlineStr">
        <is>
          <t>Electronics Accessories</t>
        </is>
      </c>
      <c r="G134" s="4" t="inlineStr">
        <is>
          <t>B</t>
        </is>
      </c>
      <c r="H134" s="4" t="inlineStr">
        <is>
          <t>CRITICAL</t>
        </is>
      </c>
      <c r="I134" s="13" t="n">
        <v>0.16</v>
      </c>
      <c r="J134" s="11" t="n">
        <v>44</v>
      </c>
      <c r="K134" s="13" t="n">
        <v>269.3</v>
      </c>
      <c r="L134" s="11" t="n">
        <v>800</v>
      </c>
      <c r="M134" s="4" t="inlineStr">
        <is>
          <t>PO0031930</t>
        </is>
      </c>
      <c r="N134" s="4" t="inlineStr">
        <is>
          <t>2026-10-20</t>
        </is>
      </c>
      <c r="O134" s="4" t="inlineStr">
        <is>
          <t>GAP BEFORE ARRIVAL</t>
        </is>
      </c>
      <c r="P134" s="11" t="n">
        <v>25579</v>
      </c>
    </row>
    <row r="135">
      <c r="A135" s="4" t="inlineStr">
        <is>
          <t>WH06</t>
        </is>
      </c>
      <c r="B135" s="4" t="inlineStr">
        <is>
          <t>Ahmedabad DC</t>
        </is>
      </c>
      <c r="C135" s="4" t="inlineStr">
        <is>
          <t>West</t>
        </is>
      </c>
      <c r="D135" s="4" t="inlineStr">
        <is>
          <t>SKU040</t>
        </is>
      </c>
      <c r="E135" s="4" t="inlineStr">
        <is>
          <t>Wafers 75g</t>
        </is>
      </c>
      <c r="F135" s="4" t="inlineStr">
        <is>
          <t>Snacks &amp; Confectionery</t>
        </is>
      </c>
      <c r="G135" s="4" t="inlineStr">
        <is>
          <t>A</t>
        </is>
      </c>
      <c r="H135" s="4" t="inlineStr">
        <is>
          <t>CRITICAL</t>
        </is>
      </c>
      <c r="I135" s="13" t="n">
        <v>0.3</v>
      </c>
      <c r="J135" s="11" t="n">
        <v>389</v>
      </c>
      <c r="K135" s="13" t="n">
        <v>1313.5</v>
      </c>
      <c r="L135" s="11" t="n">
        <v>3624</v>
      </c>
      <c r="M135" s="4" t="inlineStr">
        <is>
          <t>PO0031555</t>
        </is>
      </c>
      <c r="N135" s="4" t="inlineStr">
        <is>
          <t>2026-09-30</t>
        </is>
      </c>
      <c r="O135" s="4" t="inlineStr">
        <is>
          <t>INBOUND OVERDUE</t>
        </is>
      </c>
      <c r="P135" s="11" t="n">
        <v>24957</v>
      </c>
    </row>
    <row r="136">
      <c r="A136" s="4" t="inlineStr">
        <is>
          <t>WH04</t>
        </is>
      </c>
      <c r="B136" s="4" t="inlineStr">
        <is>
          <t>Bhiwandi DC</t>
        </is>
      </c>
      <c r="C136" s="4" t="inlineStr">
        <is>
          <t>West</t>
        </is>
      </c>
      <c r="D136" s="4" t="inlineStr">
        <is>
          <t>SKU052</t>
        </is>
      </c>
      <c r="E136" s="4" t="inlineStr">
        <is>
          <t>Deodorant 150ml</t>
        </is>
      </c>
      <c r="F136" s="4" t="inlineStr">
        <is>
          <t>Personal Care</t>
        </is>
      </c>
      <c r="G136" s="4" t="inlineStr">
        <is>
          <t>B</t>
        </is>
      </c>
      <c r="H136" s="4" t="inlineStr">
        <is>
          <t>CRITICAL</t>
        </is>
      </c>
      <c r="I136" s="13" t="n">
        <v>0.05</v>
      </c>
      <c r="J136" s="11" t="n">
        <v>28</v>
      </c>
      <c r="K136" s="13" t="n">
        <v>535.3</v>
      </c>
      <c r="L136" s="11" t="n">
        <v>3132</v>
      </c>
      <c r="M136" s="4" t="inlineStr">
        <is>
          <t>PO0030680</t>
        </is>
      </c>
      <c r="N136" s="4" t="inlineStr">
        <is>
          <t>2026-09-19</t>
        </is>
      </c>
      <c r="O136" s="4" t="inlineStr">
        <is>
          <t>INBOUND OVERDUE</t>
        </is>
      </c>
      <c r="P136" s="11" t="n">
        <v>24622</v>
      </c>
    </row>
    <row r="137">
      <c r="A137" s="4" t="inlineStr">
        <is>
          <t>WH08</t>
        </is>
      </c>
      <c r="B137" s="4" t="inlineStr">
        <is>
          <t>Chennai DC</t>
        </is>
      </c>
      <c r="C137" s="4" t="inlineStr">
        <is>
          <t>South</t>
        </is>
      </c>
      <c r="D137" s="4" t="inlineStr">
        <is>
          <t>SKU041</t>
        </is>
      </c>
      <c r="E137" s="4" t="inlineStr">
        <is>
          <t>Mathri 250g</t>
        </is>
      </c>
      <c r="F137" s="4" t="inlineStr">
        <is>
          <t>Snacks &amp; Confectionery</t>
        </is>
      </c>
      <c r="G137" s="4" t="inlineStr">
        <is>
          <t>A</t>
        </is>
      </c>
      <c r="H137" s="4" t="inlineStr">
        <is>
          <t>CRITICAL</t>
        </is>
      </c>
      <c r="I137" s="13" t="n">
        <v>0.22</v>
      </c>
      <c r="J137" s="11" t="n">
        <v>185</v>
      </c>
      <c r="K137" s="13" t="n">
        <v>854.8</v>
      </c>
      <c r="L137" s="11" t="n">
        <v>1728</v>
      </c>
      <c r="M137" s="4" t="inlineStr">
        <is>
          <t>PO0031767</t>
        </is>
      </c>
      <c r="N137" s="4" t="inlineStr">
        <is>
          <t>2026-10-10</t>
        </is>
      </c>
      <c r="O137" s="4" t="inlineStr">
        <is>
          <t>GAP BEFORE ARRIVAL</t>
        </is>
      </c>
      <c r="P137" s="11" t="n">
        <v>21369</v>
      </c>
    </row>
    <row r="138">
      <c r="A138" s="4" t="inlineStr">
        <is>
          <t>WH10</t>
        </is>
      </c>
      <c r="B138" s="4" t="inlineStr">
        <is>
          <t>Kolkata DC</t>
        </is>
      </c>
      <c r="C138" s="4" t="inlineStr">
        <is>
          <t>East</t>
        </is>
      </c>
      <c r="D138" s="4" t="inlineStr">
        <is>
          <t>SKU007</t>
        </is>
      </c>
      <c r="E138" s="4" t="inlineStr">
        <is>
          <t>Sugar 1kg</t>
        </is>
      </c>
      <c r="F138" s="4" t="inlineStr">
        <is>
          <t>Packaged Staples</t>
        </is>
      </c>
      <c r="G138" s="4" t="inlineStr">
        <is>
          <t>A</t>
        </is>
      </c>
      <c r="H138" s="4" t="inlineStr">
        <is>
          <t>CRITICAL</t>
        </is>
      </c>
      <c r="I138" s="13" t="n">
        <v>0.08</v>
      </c>
      <c r="J138" s="11" t="n">
        <v>111</v>
      </c>
      <c r="K138" s="13" t="n">
        <v>1469.3</v>
      </c>
      <c r="L138" s="11" t="n">
        <v>4176</v>
      </c>
      <c r="M138" s="4" t="inlineStr">
        <is>
          <t>PO0031617</t>
        </is>
      </c>
      <c r="N138" s="4" t="inlineStr">
        <is>
          <t>2026-10-05</t>
        </is>
      </c>
      <c r="O138" s="4" t="inlineStr">
        <is>
          <t>GAP BEFORE ARRIVAL</t>
        </is>
      </c>
      <c r="P138" s="11" t="n">
        <v>20570</v>
      </c>
    </row>
    <row r="139">
      <c r="A139" s="4" t="inlineStr">
        <is>
          <t>WH10</t>
        </is>
      </c>
      <c r="B139" s="4" t="inlineStr">
        <is>
          <t>Kolkata DC</t>
        </is>
      </c>
      <c r="C139" s="4" t="inlineStr">
        <is>
          <t>East</t>
        </is>
      </c>
      <c r="D139" s="4" t="inlineStr">
        <is>
          <t>SKU085</t>
        </is>
      </c>
      <c r="E139" s="4" t="inlineStr">
        <is>
          <t>Extension Board 4-socket</t>
        </is>
      </c>
      <c r="F139" s="4" t="inlineStr">
        <is>
          <t>Electronics Accessories</t>
        </is>
      </c>
      <c r="G139" s="4" t="inlineStr">
        <is>
          <t>B</t>
        </is>
      </c>
      <c r="H139" s="4" t="inlineStr">
        <is>
          <t>CRITICAL</t>
        </is>
      </c>
      <c r="I139" s="13" t="n">
        <v>0.2</v>
      </c>
      <c r="J139" s="11" t="n">
        <v>40</v>
      </c>
      <c r="K139" s="13" t="n">
        <v>202.8</v>
      </c>
      <c r="L139" s="11" t="n">
        <v>780</v>
      </c>
      <c r="M139" s="4" t="inlineStr">
        <is>
          <t>PO0031302</t>
        </is>
      </c>
      <c r="N139" s="4" t="inlineStr">
        <is>
          <t>2026-10-06</t>
        </is>
      </c>
      <c r="O139" s="4" t="inlineStr">
        <is>
          <t>GAP BEFORE ARRIVAL</t>
        </is>
      </c>
      <c r="P139" s="11" t="n">
        <v>19261</v>
      </c>
    </row>
    <row r="140">
      <c r="A140" s="4" t="inlineStr">
        <is>
          <t>WH07</t>
        </is>
      </c>
      <c r="B140" s="4" t="inlineStr">
        <is>
          <t>Bengaluru DC</t>
        </is>
      </c>
      <c r="C140" s="4" t="inlineStr">
        <is>
          <t>South</t>
        </is>
      </c>
      <c r="D140" s="4" t="inlineStr">
        <is>
          <t>SKU052</t>
        </is>
      </c>
      <c r="E140" s="4" t="inlineStr">
        <is>
          <t>Deodorant 150ml</t>
        </is>
      </c>
      <c r="F140" s="4" t="inlineStr">
        <is>
          <t>Personal Care</t>
        </is>
      </c>
      <c r="G140" s="4" t="inlineStr">
        <is>
          <t>B</t>
        </is>
      </c>
      <c r="H140" s="4" t="inlineStr">
        <is>
          <t>CRITICAL</t>
        </is>
      </c>
      <c r="I140" s="13" t="n">
        <v>0.31</v>
      </c>
      <c r="J140" s="11" t="n">
        <v>121</v>
      </c>
      <c r="K140" s="13" t="n">
        <v>391.5</v>
      </c>
      <c r="L140" s="11" t="n">
        <v>2112</v>
      </c>
      <c r="M140" s="4" t="inlineStr">
        <is>
          <t>PO0031248</t>
        </is>
      </c>
      <c r="N140" s="4" t="inlineStr">
        <is>
          <t>2026-09-27</t>
        </is>
      </c>
      <c r="O140" s="4" t="inlineStr">
        <is>
          <t>INBOUND OVERDUE</t>
        </is>
      </c>
      <c r="P140" s="11" t="n">
        <v>18009</v>
      </c>
    </row>
    <row r="141">
      <c r="A141" s="4" t="inlineStr">
        <is>
          <t>WH05</t>
        </is>
      </c>
      <c r="B141" s="4" t="inlineStr">
        <is>
          <t>Pune DC</t>
        </is>
      </c>
      <c r="C141" s="4" t="inlineStr">
        <is>
          <t>West</t>
        </is>
      </c>
      <c r="D141" s="4" t="inlineStr">
        <is>
          <t>SKU082</t>
        </is>
      </c>
      <c r="E141" s="4" t="inlineStr">
        <is>
          <t>Phone Case</t>
        </is>
      </c>
      <c r="F141" s="4" t="inlineStr">
        <is>
          <t>Electronics Accessories</t>
        </is>
      </c>
      <c r="G141" s="4" t="inlineStr">
        <is>
          <t>B</t>
        </is>
      </c>
      <c r="H141" s="4" t="inlineStr">
        <is>
          <t>CRITICAL</t>
        </is>
      </c>
      <c r="I141" s="13" t="n">
        <v>0.13</v>
      </c>
      <c r="J141" s="11" t="n">
        <v>13</v>
      </c>
      <c r="K141" s="13" t="n">
        <v>102.8</v>
      </c>
      <c r="L141" s="11" t="n">
        <v>470</v>
      </c>
      <c r="M141" s="4" t="inlineStr">
        <is>
          <t>PO0030235</t>
        </is>
      </c>
      <c r="N141" s="4" t="inlineStr">
        <is>
          <t>2026-09-18</t>
        </is>
      </c>
      <c r="O141" s="4" t="inlineStr">
        <is>
          <t>INBOUND OVERDUE</t>
        </is>
      </c>
      <c r="P141" s="11" t="n">
        <v>17468</v>
      </c>
    </row>
    <row r="142">
      <c r="A142" s="4" t="inlineStr">
        <is>
          <t>WH06</t>
        </is>
      </c>
      <c r="B142" s="4" t="inlineStr">
        <is>
          <t>Ahmedabad DC</t>
        </is>
      </c>
      <c r="C142" s="4" t="inlineStr">
        <is>
          <t>West</t>
        </is>
      </c>
      <c r="D142" s="4" t="inlineStr">
        <is>
          <t>SKU085</t>
        </is>
      </c>
      <c r="E142" s="4" t="inlineStr">
        <is>
          <t>Extension Board 4-socket</t>
        </is>
      </c>
      <c r="F142" s="4" t="inlineStr">
        <is>
          <t>Electronics Accessories</t>
        </is>
      </c>
      <c r="G142" s="4" t="inlineStr">
        <is>
          <t>B</t>
        </is>
      </c>
      <c r="H142" s="4" t="inlineStr">
        <is>
          <t>CRITICAL</t>
        </is>
      </c>
      <c r="I142" s="13" t="n">
        <v>0.21</v>
      </c>
      <c r="J142" s="11" t="n">
        <v>39</v>
      </c>
      <c r="K142" s="13" t="n">
        <v>183.8</v>
      </c>
      <c r="L142" s="11" t="n">
        <v>580</v>
      </c>
      <c r="M142" s="4" t="inlineStr">
        <is>
          <t>PO0031399</t>
        </is>
      </c>
      <c r="N142" s="4" t="inlineStr">
        <is>
          <t>2026-10-12</t>
        </is>
      </c>
      <c r="O142" s="4" t="inlineStr">
        <is>
          <t>GAP BEFORE ARRIVAL</t>
        </is>
      </c>
      <c r="P142" s="11" t="n">
        <v>17456</v>
      </c>
    </row>
    <row r="143">
      <c r="A143" s="4" t="inlineStr">
        <is>
          <t>WH10</t>
        </is>
      </c>
      <c r="B143" s="4" t="inlineStr">
        <is>
          <t>Kolkata DC</t>
        </is>
      </c>
      <c r="C143" s="4" t="inlineStr">
        <is>
          <t>East</t>
        </is>
      </c>
      <c r="D143" s="4" t="inlineStr">
        <is>
          <t>SKU074</t>
        </is>
      </c>
      <c r="E143" s="4" t="inlineStr">
        <is>
          <t>Matchbox 10pk</t>
        </is>
      </c>
      <c r="F143" s="4" t="inlineStr">
        <is>
          <t>Home Care</t>
        </is>
      </c>
      <c r="G143" s="4" t="inlineStr">
        <is>
          <t>A</t>
        </is>
      </c>
      <c r="H143" s="4" t="inlineStr">
        <is>
          <t>CRITICAL</t>
        </is>
      </c>
      <c r="I143" s="13" t="n">
        <v>0.22</v>
      </c>
      <c r="J143" s="11" t="n">
        <v>66</v>
      </c>
      <c r="K143" s="13" t="n">
        <v>298.5</v>
      </c>
      <c r="L143" s="11" t="n">
        <v>1056</v>
      </c>
      <c r="M143" s="4" t="inlineStr">
        <is>
          <t>PO0031972</t>
        </is>
      </c>
      <c r="N143" s="4" t="inlineStr">
        <is>
          <t>2026-10-13</t>
        </is>
      </c>
      <c r="O143" s="4" t="inlineStr">
        <is>
          <t>GAP BEFORE ARRIVAL</t>
        </is>
      </c>
      <c r="P143" s="11" t="n">
        <v>17313</v>
      </c>
    </row>
    <row r="144">
      <c r="A144" s="4" t="inlineStr">
        <is>
          <t>WH08</t>
        </is>
      </c>
      <c r="B144" s="4" t="inlineStr">
        <is>
          <t>Chennai DC</t>
        </is>
      </c>
      <c r="C144" s="4" t="inlineStr">
        <is>
          <t>South</t>
        </is>
      </c>
      <c r="D144" s="4" t="inlineStr">
        <is>
          <t>SKU055</t>
        </is>
      </c>
      <c r="E144" s="4" t="inlineStr">
        <is>
          <t>Talc 300g</t>
        </is>
      </c>
      <c r="F144" s="4" t="inlineStr">
        <is>
          <t>Personal Care</t>
        </is>
      </c>
      <c r="G144" s="4" t="inlineStr">
        <is>
          <t>B</t>
        </is>
      </c>
      <c r="H144" s="4" t="inlineStr">
        <is>
          <t>CRITICAL</t>
        </is>
      </c>
      <c r="I144" s="13" t="n">
        <v>0.42</v>
      </c>
      <c r="J144" s="11" t="n">
        <v>281</v>
      </c>
      <c r="K144" s="13" t="n">
        <v>666.3</v>
      </c>
      <c r="L144" s="11" t="n">
        <v>1272</v>
      </c>
      <c r="M144" s="4" t="inlineStr">
        <is>
          <t>PO0031925</t>
        </is>
      </c>
      <c r="N144" s="4" t="inlineStr">
        <is>
          <t>2026-10-09</t>
        </is>
      </c>
      <c r="O144" s="4" t="inlineStr">
        <is>
          <t>GAP BEFORE ARRIVAL</t>
        </is>
      </c>
      <c r="P144" s="11" t="n">
        <v>15324</v>
      </c>
    </row>
    <row r="145">
      <c r="A145" s="4" t="inlineStr">
        <is>
          <t>WH08</t>
        </is>
      </c>
      <c r="B145" s="4" t="inlineStr">
        <is>
          <t>Chennai DC</t>
        </is>
      </c>
      <c r="C145" s="4" t="inlineStr">
        <is>
          <t>South</t>
        </is>
      </c>
      <c r="D145" s="4" t="inlineStr">
        <is>
          <t>SKU013</t>
        </is>
      </c>
      <c r="E145" s="4" t="inlineStr">
        <is>
          <t>Jaggery 1kg</t>
        </is>
      </c>
      <c r="F145" s="4" t="inlineStr">
        <is>
          <t>Packaged Staples</t>
        </is>
      </c>
      <c r="G145" s="4" t="inlineStr">
        <is>
          <t>A</t>
        </is>
      </c>
      <c r="H145" s="4" t="inlineStr">
        <is>
          <t>CRITICAL</t>
        </is>
      </c>
      <c r="I145" s="13" t="n">
        <v>0.07000000000000001</v>
      </c>
      <c r="J145" s="11" t="n">
        <v>70</v>
      </c>
      <c r="K145" s="13" t="n">
        <v>1000</v>
      </c>
      <c r="L145" s="11" t="n">
        <v>2304</v>
      </c>
      <c r="M145" s="4" t="inlineStr">
        <is>
          <t>PO0031760</t>
        </is>
      </c>
      <c r="N145" s="4" t="inlineStr">
        <is>
          <t>2026-10-09</t>
        </is>
      </c>
      <c r="O145" s="4" t="inlineStr">
        <is>
          <t>GAP BEFORE ARRIVAL</t>
        </is>
      </c>
      <c r="P145" s="11" t="n">
        <v>15000</v>
      </c>
    </row>
    <row r="146">
      <c r="A146" s="4" t="inlineStr">
        <is>
          <t>WH07</t>
        </is>
      </c>
      <c r="B146" s="4" t="inlineStr">
        <is>
          <t>Bengaluru DC</t>
        </is>
      </c>
      <c r="C146" s="4" t="inlineStr">
        <is>
          <t>South</t>
        </is>
      </c>
      <c r="D146" s="4" t="inlineStr">
        <is>
          <t>SKU118</t>
        </is>
      </c>
      <c r="E146" s="4" t="inlineStr">
        <is>
          <t>Thermal Paper Roll 20pk</t>
        </is>
      </c>
      <c r="F146" s="4" t="inlineStr">
        <is>
          <t>Packaging &amp; Supplies</t>
        </is>
      </c>
      <c r="G146" s="4" t="inlineStr">
        <is>
          <t>B</t>
        </is>
      </c>
      <c r="H146" s="4" t="inlineStr">
        <is>
          <t>CRITICAL</t>
        </is>
      </c>
      <c r="I146" s="13" t="n">
        <v>0.45</v>
      </c>
      <c r="J146" s="11" t="n">
        <v>170</v>
      </c>
      <c r="K146" s="13" t="n">
        <v>376</v>
      </c>
      <c r="L146" s="11" t="n">
        <v>1600</v>
      </c>
      <c r="M146" s="4" t="inlineStr">
        <is>
          <t>PO0031421</t>
        </is>
      </c>
      <c r="N146" s="4" t="inlineStr">
        <is>
          <t>2026-10-11</t>
        </is>
      </c>
      <c r="O146" s="4" t="inlineStr">
        <is>
          <t>GAP BEFORE ARRIVAL</t>
        </is>
      </c>
      <c r="P146" s="11" t="n">
        <v>13912</v>
      </c>
    </row>
    <row r="147">
      <c r="A147" s="4" t="inlineStr">
        <is>
          <t>WH03</t>
        </is>
      </c>
      <c r="B147" s="4" t="inlineStr">
        <is>
          <t>Lucknow DC</t>
        </is>
      </c>
      <c r="C147" s="4" t="inlineStr">
        <is>
          <t>North</t>
        </is>
      </c>
      <c r="D147" s="4" t="inlineStr">
        <is>
          <t>SKU106</t>
        </is>
      </c>
      <c r="E147" s="4" t="inlineStr">
        <is>
          <t>Corrugated Box 12x12</t>
        </is>
      </c>
      <c r="F147" s="4" t="inlineStr">
        <is>
          <t>Packaging &amp; Supplies</t>
        </is>
      </c>
      <c r="G147" s="4" t="inlineStr">
        <is>
          <t>B</t>
        </is>
      </c>
      <c r="H147" s="4" t="inlineStr">
        <is>
          <t>CRITICAL</t>
        </is>
      </c>
      <c r="I147" s="13" t="n">
        <v>0.12</v>
      </c>
      <c r="J147" s="11" t="n">
        <v>20</v>
      </c>
      <c r="K147" s="13" t="n">
        <v>173.5</v>
      </c>
      <c r="L147" s="11" t="n">
        <v>540</v>
      </c>
      <c r="M147" s="4" t="inlineStr">
        <is>
          <t>PO0031028</t>
        </is>
      </c>
      <c r="N147" s="4" t="inlineStr">
        <is>
          <t>2026-10-04</t>
        </is>
      </c>
      <c r="O147" s="4" t="inlineStr">
        <is>
          <t>COVERED BY INBOUND</t>
        </is>
      </c>
      <c r="P147" s="11" t="n">
        <v>13880</v>
      </c>
    </row>
    <row r="148">
      <c r="A148" s="4" t="inlineStr">
        <is>
          <t>WH08</t>
        </is>
      </c>
      <c r="B148" s="4" t="inlineStr">
        <is>
          <t>Chennai DC</t>
        </is>
      </c>
      <c r="C148" s="4" t="inlineStr">
        <is>
          <t>South</t>
        </is>
      </c>
      <c r="D148" s="4" t="inlineStr">
        <is>
          <t>SKU023</t>
        </is>
      </c>
      <c r="E148" s="4" t="inlineStr">
        <is>
          <t>Coconut Water 200ml</t>
        </is>
      </c>
      <c r="F148" s="4" t="inlineStr">
        <is>
          <t>Beverages</t>
        </is>
      </c>
      <c r="G148" s="4" t="inlineStr">
        <is>
          <t>A</t>
        </is>
      </c>
      <c r="H148" s="4" t="inlineStr">
        <is>
          <t>CRITICAL</t>
        </is>
      </c>
      <c r="I148" s="13" t="n">
        <v>0.13</v>
      </c>
      <c r="J148" s="11" t="n">
        <v>173</v>
      </c>
      <c r="K148" s="13" t="n">
        <v>1373.8</v>
      </c>
      <c r="L148" s="11" t="n">
        <v>2808</v>
      </c>
      <c r="M148" s="4" t="inlineStr">
        <is>
          <t>PO0031918</t>
        </is>
      </c>
      <c r="N148" s="4" t="inlineStr">
        <is>
          <t>2026-10-07</t>
        </is>
      </c>
      <c r="O148" s="4" t="inlineStr">
        <is>
          <t>GAP BEFORE ARRIVAL</t>
        </is>
      </c>
      <c r="P148" s="11" t="n">
        <v>13738</v>
      </c>
    </row>
    <row r="149">
      <c r="A149" s="4" t="inlineStr">
        <is>
          <t>WH10</t>
        </is>
      </c>
      <c r="B149" s="4" t="inlineStr">
        <is>
          <t>Kolkata DC</t>
        </is>
      </c>
      <c r="C149" s="4" t="inlineStr">
        <is>
          <t>East</t>
        </is>
      </c>
      <c r="D149" s="4" t="inlineStr">
        <is>
          <t>SKU001</t>
        </is>
      </c>
      <c r="E149" s="4" t="inlineStr">
        <is>
          <t>Atta 5kg</t>
        </is>
      </c>
      <c r="F149" s="4" t="inlineStr">
        <is>
          <t>Packaged Staples</t>
        </is>
      </c>
      <c r="G149" s="4" t="inlineStr">
        <is>
          <t>A</t>
        </is>
      </c>
      <c r="H149" s="4" t="inlineStr">
        <is>
          <t>CRITICAL</t>
        </is>
      </c>
      <c r="I149" s="13" t="n">
        <v>0.14</v>
      </c>
      <c r="J149" s="11" t="n">
        <v>107</v>
      </c>
      <c r="K149" s="13" t="n">
        <v>750.5</v>
      </c>
      <c r="L149" s="11" t="n">
        <v>2904</v>
      </c>
      <c r="M149" s="4" t="inlineStr">
        <is>
          <t>PO0031961</t>
        </is>
      </c>
      <c r="N149" s="4" t="inlineStr">
        <is>
          <t>2026-10-12</t>
        </is>
      </c>
      <c r="O149" s="4" t="inlineStr">
        <is>
          <t>GAP BEFORE ARRIVAL</t>
        </is>
      </c>
      <c r="P149" s="11" t="n">
        <v>12008</v>
      </c>
    </row>
    <row r="150">
      <c r="A150" s="4" t="inlineStr">
        <is>
          <t>WH08</t>
        </is>
      </c>
      <c r="B150" s="4" t="inlineStr">
        <is>
          <t>Chennai DC</t>
        </is>
      </c>
      <c r="C150" s="4" t="inlineStr">
        <is>
          <t>South</t>
        </is>
      </c>
      <c r="D150" s="4" t="inlineStr">
        <is>
          <t>SKU081</t>
        </is>
      </c>
      <c r="E150" s="4" t="inlineStr">
        <is>
          <t>Bluetooth Speaker</t>
        </is>
      </c>
      <c r="F150" s="4" t="inlineStr">
        <is>
          <t>Electronics Accessories</t>
        </is>
      </c>
      <c r="G150" s="4" t="inlineStr">
        <is>
          <t>B</t>
        </is>
      </c>
      <c r="H150" s="4" t="inlineStr">
        <is>
          <t>CRITICAL</t>
        </is>
      </c>
      <c r="I150" s="13" t="n">
        <v>0.19</v>
      </c>
      <c r="J150" s="11" t="n">
        <v>33</v>
      </c>
      <c r="K150" s="13" t="n">
        <v>171.5</v>
      </c>
      <c r="L150" s="11" t="n">
        <v>780</v>
      </c>
      <c r="M150" s="4" t="inlineStr">
        <is>
          <t>PO0031111</t>
        </is>
      </c>
      <c r="N150" s="4" t="inlineStr">
        <is>
          <t>2026-10-11</t>
        </is>
      </c>
      <c r="O150" s="4" t="inlineStr">
        <is>
          <t>GAP BEFORE ARRIVAL</t>
        </is>
      </c>
      <c r="P150" s="11" t="n">
        <v>11319</v>
      </c>
    </row>
    <row r="151">
      <c r="A151" s="4" t="inlineStr">
        <is>
          <t>WH03</t>
        </is>
      </c>
      <c r="B151" s="4" t="inlineStr">
        <is>
          <t>Lucknow DC</t>
        </is>
      </c>
      <c r="C151" s="4" t="inlineStr">
        <is>
          <t>North</t>
        </is>
      </c>
      <c r="D151" s="4" t="inlineStr">
        <is>
          <t>SKU034</t>
        </is>
      </c>
      <c r="E151" s="4" t="inlineStr">
        <is>
          <t>Cream Biscuits 120g</t>
        </is>
      </c>
      <c r="F151" s="4" t="inlineStr">
        <is>
          <t>Snacks &amp; Confectionery</t>
        </is>
      </c>
      <c r="G151" s="4" t="inlineStr">
        <is>
          <t>B</t>
        </is>
      </c>
      <c r="H151" s="4" t="inlineStr">
        <is>
          <t>CRITICAL</t>
        </is>
      </c>
      <c r="I151" s="13" t="n">
        <v>0.22</v>
      </c>
      <c r="J151" s="11" t="n">
        <v>196</v>
      </c>
      <c r="K151" s="13" t="n">
        <v>888.8</v>
      </c>
      <c r="L151" s="11" t="n">
        <v>2748</v>
      </c>
      <c r="M151" s="4" t="inlineStr">
        <is>
          <t>PO0031857</t>
        </is>
      </c>
      <c r="N151" s="4" t="inlineStr">
        <is>
          <t>2026-10-05</t>
        </is>
      </c>
      <c r="O151" s="4" t="inlineStr">
        <is>
          <t>COVERED BY INBOUND</t>
        </is>
      </c>
      <c r="P151" s="11" t="n">
        <v>10665</v>
      </c>
    </row>
    <row r="152">
      <c r="A152" s="4" t="inlineStr">
        <is>
          <t>WH11</t>
        </is>
      </c>
      <c r="B152" s="4" t="inlineStr">
        <is>
          <t>Guwahati DC</t>
        </is>
      </c>
      <c r="C152" s="4" t="inlineStr">
        <is>
          <t>East</t>
        </is>
      </c>
      <c r="D152" s="4" t="inlineStr">
        <is>
          <t>SKU019</t>
        </is>
      </c>
      <c r="E152" s="4" t="inlineStr">
        <is>
          <t>Packaged Water 1L</t>
        </is>
      </c>
      <c r="F152" s="4" t="inlineStr">
        <is>
          <t>Beverages</t>
        </is>
      </c>
      <c r="G152" s="4" t="inlineStr">
        <is>
          <t>A</t>
        </is>
      </c>
      <c r="H152" s="4" t="inlineStr">
        <is>
          <t>CRITICAL</t>
        </is>
      </c>
      <c r="I152" s="13" t="n">
        <v>0.19</v>
      </c>
      <c r="J152" s="11" t="n">
        <v>178</v>
      </c>
      <c r="K152" s="13" t="n">
        <v>930.3</v>
      </c>
      <c r="L152" s="11" t="n">
        <v>2520</v>
      </c>
      <c r="M152" s="4" t="inlineStr">
        <is>
          <t>PO0031978</t>
        </is>
      </c>
      <c r="N152" s="4" t="inlineStr">
        <is>
          <t>2026-10-12</t>
        </is>
      </c>
      <c r="O152" s="4" t="inlineStr">
        <is>
          <t>GAP BEFORE ARRIVAL</t>
        </is>
      </c>
      <c r="P152" s="11" t="n">
        <v>10233</v>
      </c>
    </row>
    <row r="153">
      <c r="A153" s="4" t="inlineStr">
        <is>
          <t>WH07</t>
        </is>
      </c>
      <c r="B153" s="4" t="inlineStr">
        <is>
          <t>Bengaluru DC</t>
        </is>
      </c>
      <c r="C153" s="4" t="inlineStr">
        <is>
          <t>South</t>
        </is>
      </c>
      <c r="D153" s="4" t="inlineStr">
        <is>
          <t>SKU048</t>
        </is>
      </c>
      <c r="E153" s="4" t="inlineStr">
        <is>
          <t>Toothpaste 150g</t>
        </is>
      </c>
      <c r="F153" s="4" t="inlineStr">
        <is>
          <t>Personal Care</t>
        </is>
      </c>
      <c r="G153" s="4" t="inlineStr">
        <is>
          <t>C</t>
        </is>
      </c>
      <c r="H153" s="4" t="inlineStr">
        <is>
          <t>CRITICAL</t>
        </is>
      </c>
      <c r="I153" s="13" t="n">
        <v>0.03</v>
      </c>
      <c r="J153" s="11" t="n">
        <v>21</v>
      </c>
      <c r="K153" s="13" t="n">
        <v>630.5</v>
      </c>
      <c r="L153" s="11" t="n">
        <v>2220</v>
      </c>
      <c r="M153" s="4" t="inlineStr">
        <is>
          <t>PO0031570</t>
        </is>
      </c>
      <c r="N153" s="4" t="inlineStr">
        <is>
          <t>2026-10-04</t>
        </is>
      </c>
      <c r="O153" s="4" t="inlineStr">
        <is>
          <t>COVERED BY INBOUND</t>
        </is>
      </c>
      <c r="P153" s="11" t="n">
        <v>10088</v>
      </c>
    </row>
    <row r="154">
      <c r="A154" s="4" t="inlineStr">
        <is>
          <t>WH07</t>
        </is>
      </c>
      <c r="B154" s="4" t="inlineStr">
        <is>
          <t>Bengaluru DC</t>
        </is>
      </c>
      <c r="C154" s="4" t="inlineStr">
        <is>
          <t>South</t>
        </is>
      </c>
      <c r="D154" s="4" t="inlineStr">
        <is>
          <t>SKU055</t>
        </is>
      </c>
      <c r="E154" s="4" t="inlineStr">
        <is>
          <t>Talc 300g</t>
        </is>
      </c>
      <c r="F154" s="4" t="inlineStr">
        <is>
          <t>Personal Care</t>
        </is>
      </c>
      <c r="G154" s="4" t="inlineStr">
        <is>
          <t>B</t>
        </is>
      </c>
      <c r="H154" s="4" t="inlineStr">
        <is>
          <t>CRITICAL</t>
        </is>
      </c>
      <c r="I154" s="13" t="n">
        <v>0.22</v>
      </c>
      <c r="J154" s="11" t="n">
        <v>94</v>
      </c>
      <c r="K154" s="13" t="n">
        <v>431.8</v>
      </c>
      <c r="L154" s="11" t="n">
        <v>1272</v>
      </c>
      <c r="M154" s="4" t="inlineStr">
        <is>
          <t>PO0031411</t>
        </is>
      </c>
      <c r="N154" s="4" t="inlineStr">
        <is>
          <t>2026-10-01</t>
        </is>
      </c>
      <c r="O154" s="4" t="inlineStr">
        <is>
          <t>INBOUND OVERDUE</t>
        </is>
      </c>
      <c r="P154" s="11" t="n">
        <v>9930</v>
      </c>
    </row>
    <row r="155">
      <c r="A155" s="4" t="inlineStr">
        <is>
          <t>WH08</t>
        </is>
      </c>
      <c r="B155" s="4" t="inlineStr">
        <is>
          <t>Chennai DC</t>
        </is>
      </c>
      <c r="C155" s="4" t="inlineStr">
        <is>
          <t>South</t>
        </is>
      </c>
      <c r="D155" s="4" t="inlineStr">
        <is>
          <t>SKU030</t>
        </is>
      </c>
      <c r="E155" s="4" t="inlineStr">
        <is>
          <t>Malt Drink 500g</t>
        </is>
      </c>
      <c r="F155" s="4" t="inlineStr">
        <is>
          <t>Beverages</t>
        </is>
      </c>
      <c r="G155" s="4" t="inlineStr">
        <is>
          <t>C</t>
        </is>
      </c>
      <c r="H155" s="4" t="inlineStr">
        <is>
          <t>CRITICAL</t>
        </is>
      </c>
      <c r="I155" s="13" t="n">
        <v>0.31</v>
      </c>
      <c r="J155" s="11" t="n">
        <v>488</v>
      </c>
      <c r="K155" s="13" t="n">
        <v>1574.3</v>
      </c>
      <c r="L155" s="11" t="n">
        <v>3648</v>
      </c>
      <c r="M155" s="4" t="inlineStr">
        <is>
          <t>PO0031764</t>
        </is>
      </c>
      <c r="N155" s="4" t="inlineStr">
        <is>
          <t>2026-10-07</t>
        </is>
      </c>
      <c r="O155" s="4" t="inlineStr">
        <is>
          <t>GAP BEFORE ARRIVAL</t>
        </is>
      </c>
      <c r="P155" s="11" t="n">
        <v>9446</v>
      </c>
    </row>
    <row r="156">
      <c r="A156" s="4" t="inlineStr">
        <is>
          <t>WH11</t>
        </is>
      </c>
      <c r="B156" s="4" t="inlineStr">
        <is>
          <t>Guwahati DC</t>
        </is>
      </c>
      <c r="C156" s="4" t="inlineStr">
        <is>
          <t>East</t>
        </is>
      </c>
      <c r="D156" s="4" t="inlineStr">
        <is>
          <t>SKU106</t>
        </is>
      </c>
      <c r="E156" s="4" t="inlineStr">
        <is>
          <t>Corrugated Box 12x12</t>
        </is>
      </c>
      <c r="F156" s="4" t="inlineStr">
        <is>
          <t>Packaging &amp; Supplies</t>
        </is>
      </c>
      <c r="G156" s="4" t="inlineStr">
        <is>
          <t>B</t>
        </is>
      </c>
      <c r="H156" s="4" t="inlineStr">
        <is>
          <t>CRITICAL</t>
        </is>
      </c>
      <c r="I156" s="13" t="n">
        <v>0.24</v>
      </c>
      <c r="J156" s="11" t="n">
        <v>25</v>
      </c>
      <c r="K156" s="13" t="n">
        <v>105.8</v>
      </c>
      <c r="L156" s="11" t="n">
        <v>360</v>
      </c>
      <c r="M156" s="4" t="inlineStr">
        <is>
          <t>PO0031645</t>
        </is>
      </c>
      <c r="N156" s="4" t="inlineStr">
        <is>
          <t>2026-10-18</t>
        </is>
      </c>
      <c r="O156" s="4" t="inlineStr">
        <is>
          <t>GAP BEFORE ARRIVAL</t>
        </is>
      </c>
      <c r="P156" s="11" t="n">
        <v>8460</v>
      </c>
    </row>
    <row r="157">
      <c r="A157" s="4" t="inlineStr">
        <is>
          <t>WH06</t>
        </is>
      </c>
      <c r="B157" s="4" t="inlineStr">
        <is>
          <t>Ahmedabad DC</t>
        </is>
      </c>
      <c r="C157" s="4" t="inlineStr">
        <is>
          <t>West</t>
        </is>
      </c>
      <c r="D157" s="4" t="inlineStr">
        <is>
          <t>SKU103</t>
        </is>
      </c>
      <c r="E157" s="4" t="inlineStr">
        <is>
          <t>Zinc Tablets 20s</t>
        </is>
      </c>
      <c r="F157" s="4" t="inlineStr">
        <is>
          <t>OTC Pharma &amp; Wellness</t>
        </is>
      </c>
      <c r="G157" s="4" t="inlineStr">
        <is>
          <t>C</t>
        </is>
      </c>
      <c r="H157" s="4" t="inlineStr">
        <is>
          <t>CRITICAL</t>
        </is>
      </c>
      <c r="I157" s="13" t="n">
        <v>0.32</v>
      </c>
      <c r="J157" s="11" t="n">
        <v>56</v>
      </c>
      <c r="K157" s="13" t="n">
        <v>174.3</v>
      </c>
      <c r="L157" s="11" t="n">
        <v>552</v>
      </c>
      <c r="M157" s="4" t="inlineStr">
        <is>
          <t>PO0031404</t>
        </is>
      </c>
      <c r="N157" s="4" t="inlineStr">
        <is>
          <t>2026-10-04</t>
        </is>
      </c>
      <c r="O157" s="4" t="inlineStr">
        <is>
          <t>COVERED BY INBOUND</t>
        </is>
      </c>
      <c r="P157" s="11" t="n">
        <v>8190</v>
      </c>
    </row>
    <row r="158">
      <c r="A158" s="4" t="inlineStr">
        <is>
          <t>WH03</t>
        </is>
      </c>
      <c r="B158" s="4" t="inlineStr">
        <is>
          <t>Lucknow DC</t>
        </is>
      </c>
      <c r="C158" s="4" t="inlineStr">
        <is>
          <t>North</t>
        </is>
      </c>
      <c r="D158" s="4" t="inlineStr">
        <is>
          <t>SKU076</t>
        </is>
      </c>
      <c r="E158" s="4" t="inlineStr">
        <is>
          <t>USB-C Cable 1m</t>
        </is>
      </c>
      <c r="F158" s="4" t="inlineStr">
        <is>
          <t>Electronics Accessories</t>
        </is>
      </c>
      <c r="G158" s="4" t="inlineStr">
        <is>
          <t>A</t>
        </is>
      </c>
      <c r="H158" s="4" t="inlineStr">
        <is>
          <t>CRITICAL</t>
        </is>
      </c>
      <c r="I158" s="13" t="n">
        <v>0.03</v>
      </c>
      <c r="J158" s="11" t="n">
        <v>2</v>
      </c>
      <c r="K158" s="13" t="n">
        <v>59</v>
      </c>
      <c r="L158" s="11" t="n">
        <v>310</v>
      </c>
      <c r="M158" s="4" t="inlineStr">
        <is>
          <t>PO0031022</t>
        </is>
      </c>
      <c r="N158" s="4" t="inlineStr">
        <is>
          <t>2026-10-02</t>
        </is>
      </c>
      <c r="O158" s="4" t="inlineStr">
        <is>
          <t>INBOUND OVERDUE</t>
        </is>
      </c>
      <c r="P158" s="11" t="n">
        <v>7729</v>
      </c>
    </row>
    <row r="159">
      <c r="A159" s="4" t="inlineStr">
        <is>
          <t>WH09</t>
        </is>
      </c>
      <c r="B159" s="4" t="inlineStr">
        <is>
          <t>Hyderabad DC</t>
        </is>
      </c>
      <c r="C159" s="4" t="inlineStr">
        <is>
          <t>South</t>
        </is>
      </c>
      <c r="D159" s="4" t="inlineStr">
        <is>
          <t>SKU075</t>
        </is>
      </c>
      <c r="E159" s="4" t="inlineStr">
        <is>
          <t>Naphthalene Balls 200g</t>
        </is>
      </c>
      <c r="F159" s="4" t="inlineStr">
        <is>
          <t>Home Care</t>
        </is>
      </c>
      <c r="G159" s="4" t="inlineStr">
        <is>
          <t>C</t>
        </is>
      </c>
      <c r="H159" s="4" t="inlineStr">
        <is>
          <t>CRITICAL</t>
        </is>
      </c>
      <c r="I159" s="13" t="n">
        <v>0.23</v>
      </c>
      <c r="J159" s="11" t="n">
        <v>157</v>
      </c>
      <c r="K159" s="13" t="n">
        <v>693.5</v>
      </c>
      <c r="L159" s="11" t="n">
        <v>2340</v>
      </c>
      <c r="M159" s="4" t="inlineStr">
        <is>
          <t>PO0031951</t>
        </is>
      </c>
      <c r="N159" s="4" t="inlineStr">
        <is>
          <t>2026-10-13</t>
        </is>
      </c>
      <c r="O159" s="4" t="inlineStr">
        <is>
          <t>GAP BEFORE ARRIVAL</t>
        </is>
      </c>
      <c r="P159" s="11" t="n">
        <v>7629</v>
      </c>
    </row>
    <row r="160">
      <c r="A160" s="4" t="inlineStr">
        <is>
          <t>WH05</t>
        </is>
      </c>
      <c r="B160" s="4" t="inlineStr">
        <is>
          <t>Pune DC</t>
        </is>
      </c>
      <c r="C160" s="4" t="inlineStr">
        <is>
          <t>West</t>
        </is>
      </c>
      <c r="D160" s="4" t="inlineStr">
        <is>
          <t>SKU045</t>
        </is>
      </c>
      <c r="E160" s="4" t="inlineStr">
        <is>
          <t>Candy Pack 150g</t>
        </is>
      </c>
      <c r="F160" s="4" t="inlineStr">
        <is>
          <t>Snacks &amp; Confectionery</t>
        </is>
      </c>
      <c r="G160" s="4" t="inlineStr">
        <is>
          <t>C</t>
        </is>
      </c>
      <c r="H160" s="4" t="inlineStr">
        <is>
          <t>CRITICAL</t>
        </is>
      </c>
      <c r="I160" s="13" t="n">
        <v>0.39</v>
      </c>
      <c r="J160" s="11" t="n">
        <v>549</v>
      </c>
      <c r="K160" s="13" t="n">
        <v>1407.8</v>
      </c>
      <c r="L160" s="11" t="n">
        <v>5748</v>
      </c>
      <c r="M160" s="4" t="inlineStr">
        <is>
          <t>PO0031717</t>
        </is>
      </c>
      <c r="N160" s="4" t="inlineStr">
        <is>
          <t>2026-10-09</t>
        </is>
      </c>
      <c r="O160" s="4" t="inlineStr">
        <is>
          <t>GAP BEFORE ARRIVAL</t>
        </is>
      </c>
      <c r="P160" s="11" t="n">
        <v>7039</v>
      </c>
    </row>
    <row r="161">
      <c r="A161" s="4" t="inlineStr">
        <is>
          <t>WH06</t>
        </is>
      </c>
      <c r="B161" s="4" t="inlineStr">
        <is>
          <t>Ahmedabad DC</t>
        </is>
      </c>
      <c r="C161" s="4" t="inlineStr">
        <is>
          <t>West</t>
        </is>
      </c>
      <c r="D161" s="4" t="inlineStr">
        <is>
          <t>SKU020</t>
        </is>
      </c>
      <c r="E161" s="4" t="inlineStr">
        <is>
          <t>Energy Drink 250ml</t>
        </is>
      </c>
      <c r="F161" s="4" t="inlineStr">
        <is>
          <t>Beverages</t>
        </is>
      </c>
      <c r="G161" s="4" t="inlineStr">
        <is>
          <t>B</t>
        </is>
      </c>
      <c r="H161" s="4" t="inlineStr">
        <is>
          <t>CRITICAL</t>
        </is>
      </c>
      <c r="I161" s="13" t="n">
        <v>0.28</v>
      </c>
      <c r="J161" s="11" t="n">
        <v>457</v>
      </c>
      <c r="K161" s="13" t="n">
        <v>1653.8</v>
      </c>
      <c r="L161" s="11" t="n">
        <v>6648</v>
      </c>
      <c r="M161" s="4" t="inlineStr">
        <is>
          <t>PO0031889</t>
        </is>
      </c>
      <c r="N161" s="4" t="inlineStr">
        <is>
          <t>2026-10-08</t>
        </is>
      </c>
      <c r="O161" s="4" t="inlineStr">
        <is>
          <t>GAP BEFORE ARRIVAL</t>
        </is>
      </c>
      <c r="P161" s="11" t="n">
        <v>6615</v>
      </c>
    </row>
    <row r="162">
      <c r="A162" s="4" t="inlineStr">
        <is>
          <t>WH07</t>
        </is>
      </c>
      <c r="B162" s="4" t="inlineStr">
        <is>
          <t>Bengaluru DC</t>
        </is>
      </c>
      <c r="C162" s="4" t="inlineStr">
        <is>
          <t>South</t>
        </is>
      </c>
      <c r="D162" s="4" t="inlineStr">
        <is>
          <t>SKU109</t>
        </is>
      </c>
      <c r="E162" s="4" t="inlineStr">
        <is>
          <t>Bubble Wrap Roll</t>
        </is>
      </c>
      <c r="F162" s="4" t="inlineStr">
        <is>
          <t>Packaging &amp; Supplies</t>
        </is>
      </c>
      <c r="G162" s="4" t="inlineStr">
        <is>
          <t>C</t>
        </is>
      </c>
      <c r="H162" s="4" t="inlineStr">
        <is>
          <t>CRITICAL</t>
        </is>
      </c>
      <c r="I162" s="13" t="n">
        <v>0.41</v>
      </c>
      <c r="J162" s="11" t="n">
        <v>223</v>
      </c>
      <c r="K162" s="13" t="n">
        <v>541.3</v>
      </c>
      <c r="L162" s="11" t="n">
        <v>2180</v>
      </c>
      <c r="M162" s="4" t="inlineStr">
        <is>
          <t>PO0031094</t>
        </is>
      </c>
      <c r="N162" s="4" t="inlineStr">
        <is>
          <t>2026-10-05</t>
        </is>
      </c>
      <c r="O162" s="4" t="inlineStr">
        <is>
          <t>COVERED BY INBOUND</t>
        </is>
      </c>
      <c r="P162" s="11" t="n">
        <v>6495</v>
      </c>
    </row>
    <row r="163">
      <c r="A163" s="4" t="inlineStr">
        <is>
          <t>WH08</t>
        </is>
      </c>
      <c r="B163" s="4" t="inlineStr">
        <is>
          <t>Chennai DC</t>
        </is>
      </c>
      <c r="C163" s="4" t="inlineStr">
        <is>
          <t>South</t>
        </is>
      </c>
      <c r="D163" s="4" t="inlineStr">
        <is>
          <t>SKU029</t>
        </is>
      </c>
      <c r="E163" s="4" t="inlineStr">
        <is>
          <t>Tonic Water 300ml</t>
        </is>
      </c>
      <c r="F163" s="4" t="inlineStr">
        <is>
          <t>Beverages</t>
        </is>
      </c>
      <c r="G163" s="4" t="inlineStr">
        <is>
          <t>B</t>
        </is>
      </c>
      <c r="H163" s="4" t="inlineStr">
        <is>
          <t>CRITICAL</t>
        </is>
      </c>
      <c r="I163" s="13" t="n">
        <v>0.48</v>
      </c>
      <c r="J163" s="11" t="n">
        <v>741</v>
      </c>
      <c r="K163" s="13" t="n">
        <v>1538.5</v>
      </c>
      <c r="L163" s="11" t="n">
        <v>2928</v>
      </c>
      <c r="M163" s="4" t="inlineStr">
        <is>
          <t>PO0031763</t>
        </is>
      </c>
      <c r="N163" s="4" t="inlineStr">
        <is>
          <t>2026-10-09</t>
        </is>
      </c>
      <c r="O163" s="4" t="inlineStr">
        <is>
          <t>GAP BEFORE ARRIVAL</t>
        </is>
      </c>
      <c r="P163" s="11" t="n">
        <v>6154</v>
      </c>
    </row>
    <row r="164">
      <c r="A164" s="4" t="inlineStr">
        <is>
          <t>WH10</t>
        </is>
      </c>
      <c r="B164" s="4" t="inlineStr">
        <is>
          <t>Kolkata DC</t>
        </is>
      </c>
      <c r="C164" s="4" t="inlineStr">
        <is>
          <t>East</t>
        </is>
      </c>
      <c r="D164" s="4" t="inlineStr">
        <is>
          <t>SKU066</t>
        </is>
      </c>
      <c r="E164" s="4" t="inlineStr">
        <is>
          <t>Fabric Softener 1L</t>
        </is>
      </c>
      <c r="F164" s="4" t="inlineStr">
        <is>
          <t>Home Care</t>
        </is>
      </c>
      <c r="G164" s="4" t="inlineStr">
        <is>
          <t>B</t>
        </is>
      </c>
      <c r="H164" s="4" t="inlineStr">
        <is>
          <t>CRITICAL</t>
        </is>
      </c>
      <c r="I164" s="13" t="n">
        <v>0.08</v>
      </c>
      <c r="J164" s="11" t="n">
        <v>36</v>
      </c>
      <c r="K164" s="13" t="n">
        <v>424.8</v>
      </c>
      <c r="L164" s="11" t="n">
        <v>1764</v>
      </c>
      <c r="M164" s="4" t="inlineStr">
        <is>
          <t>PO0031299</t>
        </is>
      </c>
      <c r="N164" s="4" t="inlineStr">
        <is>
          <t>2026-09-30</t>
        </is>
      </c>
      <c r="O164" s="4" t="inlineStr">
        <is>
          <t>INBOUND OVERDUE</t>
        </is>
      </c>
      <c r="P164" s="11" t="n">
        <v>5947</v>
      </c>
    </row>
    <row r="165">
      <c r="A165" s="4" t="inlineStr">
        <is>
          <t>WH11</t>
        </is>
      </c>
      <c r="B165" s="4" t="inlineStr">
        <is>
          <t>Guwahati DC</t>
        </is>
      </c>
      <c r="C165" s="4" t="inlineStr">
        <is>
          <t>East</t>
        </is>
      </c>
      <c r="D165" s="4" t="inlineStr">
        <is>
          <t>SKU062</t>
        </is>
      </c>
      <c r="E165" s="4" t="inlineStr">
        <is>
          <t>Dishwash Liquid 750ml</t>
        </is>
      </c>
      <c r="F165" s="4" t="inlineStr">
        <is>
          <t>Home Care</t>
        </is>
      </c>
      <c r="G165" s="4" t="inlineStr">
        <is>
          <t>A</t>
        </is>
      </c>
      <c r="H165" s="4" t="inlineStr">
        <is>
          <t>CRITICAL</t>
        </is>
      </c>
      <c r="I165" s="13" t="n">
        <v>0.3</v>
      </c>
      <c r="J165" s="11" t="n">
        <v>64</v>
      </c>
      <c r="K165" s="13" t="n">
        <v>211.8</v>
      </c>
      <c r="L165" s="11" t="n">
        <v>1248</v>
      </c>
      <c r="M165" s="4" t="inlineStr">
        <is>
          <t>PO0031980</t>
        </is>
      </c>
      <c r="N165" s="4" t="inlineStr">
        <is>
          <t>2026-10-12</t>
        </is>
      </c>
      <c r="O165" s="4" t="inlineStr">
        <is>
          <t>GAP BEFORE ARRIVAL</t>
        </is>
      </c>
      <c r="P165" s="11" t="n">
        <v>5506</v>
      </c>
    </row>
    <row r="166">
      <c r="A166" s="4" t="inlineStr">
        <is>
          <t>WH07</t>
        </is>
      </c>
      <c r="B166" s="4" t="inlineStr">
        <is>
          <t>Bengaluru DC</t>
        </is>
      </c>
      <c r="C166" s="4" t="inlineStr">
        <is>
          <t>South</t>
        </is>
      </c>
      <c r="D166" s="4" t="inlineStr">
        <is>
          <t>SKU114</t>
        </is>
      </c>
      <c r="E166" s="4" t="inlineStr">
        <is>
          <t>Cable Ties 100pk</t>
        </is>
      </c>
      <c r="F166" s="4" t="inlineStr">
        <is>
          <t>Packaging &amp; Supplies</t>
        </is>
      </c>
      <c r="G166" s="4" t="inlineStr">
        <is>
          <t>C</t>
        </is>
      </c>
      <c r="H166" s="4" t="inlineStr">
        <is>
          <t>CRITICAL</t>
        </is>
      </c>
      <c r="I166" s="13" t="n">
        <v>0.07000000000000001</v>
      </c>
      <c r="J166" s="11" t="n">
        <v>27</v>
      </c>
      <c r="K166" s="13" t="n">
        <v>391.3</v>
      </c>
      <c r="L166" s="11" t="n">
        <v>1120</v>
      </c>
      <c r="M166" s="4" t="inlineStr">
        <is>
          <t>PO0031257</t>
        </is>
      </c>
      <c r="N166" s="4" t="inlineStr">
        <is>
          <t>2026-10-06</t>
        </is>
      </c>
      <c r="O166" s="4" t="inlineStr">
        <is>
          <t>GAP BEFORE ARRIVAL</t>
        </is>
      </c>
      <c r="P166" s="11" t="n">
        <v>5478</v>
      </c>
    </row>
    <row r="167">
      <c r="A167" s="4" t="inlineStr">
        <is>
          <t>WH02</t>
        </is>
      </c>
      <c r="B167" s="4" t="inlineStr">
        <is>
          <t>Jaipur DC</t>
        </is>
      </c>
      <c r="C167" s="4" t="inlineStr">
        <is>
          <t>North</t>
        </is>
      </c>
      <c r="D167" s="4" t="inlineStr">
        <is>
          <t>SKU048</t>
        </is>
      </c>
      <c r="E167" s="4" t="inlineStr">
        <is>
          <t>Toothpaste 150g</t>
        </is>
      </c>
      <c r="F167" s="4" t="inlineStr">
        <is>
          <t>Personal Care</t>
        </is>
      </c>
      <c r="G167" s="4" t="inlineStr">
        <is>
          <t>C</t>
        </is>
      </c>
      <c r="H167" s="4" t="inlineStr">
        <is>
          <t>CRITICAL</t>
        </is>
      </c>
      <c r="I167" s="13" t="n">
        <v>0.14</v>
      </c>
      <c r="J167" s="11" t="n">
        <v>46</v>
      </c>
      <c r="K167" s="13" t="n">
        <v>338.3</v>
      </c>
      <c r="L167" s="11" t="n">
        <v>1200</v>
      </c>
      <c r="M167" s="4" t="inlineStr">
        <is>
          <t>PO0031344</t>
        </is>
      </c>
      <c r="N167" s="4" t="inlineStr">
        <is>
          <t>2026-10-06</t>
        </is>
      </c>
      <c r="O167" s="4" t="inlineStr">
        <is>
          <t>GAP BEFORE ARRIVAL</t>
        </is>
      </c>
      <c r="P167" s="11" t="n">
        <v>5412</v>
      </c>
    </row>
    <row r="168">
      <c r="A168" s="4" t="inlineStr">
        <is>
          <t>WH03</t>
        </is>
      </c>
      <c r="B168" s="4" t="inlineStr">
        <is>
          <t>Lucknow DC</t>
        </is>
      </c>
      <c r="C168" s="4" t="inlineStr">
        <is>
          <t>North</t>
        </is>
      </c>
      <c r="D168" s="4" t="inlineStr">
        <is>
          <t>SKU054</t>
        </is>
      </c>
      <c r="E168" s="4" t="inlineStr">
        <is>
          <t>Razor 5pk</t>
        </is>
      </c>
      <c r="F168" s="4" t="inlineStr">
        <is>
          <t>Personal Care</t>
        </is>
      </c>
      <c r="G168" s="4" t="inlineStr">
        <is>
          <t>B</t>
        </is>
      </c>
      <c r="H168" s="4" t="inlineStr">
        <is>
          <t>CRITICAL</t>
        </is>
      </c>
      <c r="I168" s="13" t="n">
        <v>0.45</v>
      </c>
      <c r="J168" s="11" t="n">
        <v>77</v>
      </c>
      <c r="K168" s="13" t="n">
        <v>172.8</v>
      </c>
      <c r="L168" s="11" t="n">
        <v>768</v>
      </c>
      <c r="M168" s="4" t="inlineStr">
        <is>
          <t>PO0031513</t>
        </is>
      </c>
      <c r="N168" s="4" t="inlineStr">
        <is>
          <t>2026-10-04</t>
        </is>
      </c>
      <c r="O168" s="4" t="inlineStr">
        <is>
          <t>COVERED BY INBOUND</t>
        </is>
      </c>
      <c r="P168" s="11" t="n">
        <v>5355</v>
      </c>
    </row>
    <row r="169">
      <c r="A169" s="4" t="inlineStr">
        <is>
          <t>WH02</t>
        </is>
      </c>
      <c r="B169" s="4" t="inlineStr">
        <is>
          <t>Jaipur DC</t>
        </is>
      </c>
      <c r="C169" s="4" t="inlineStr">
        <is>
          <t>North</t>
        </is>
      </c>
      <c r="D169" s="4" t="inlineStr">
        <is>
          <t>SKU114</t>
        </is>
      </c>
      <c r="E169" s="4" t="inlineStr">
        <is>
          <t>Cable Ties 100pk</t>
        </is>
      </c>
      <c r="F169" s="4" t="inlineStr">
        <is>
          <t>Packaging &amp; Supplies</t>
        </is>
      </c>
      <c r="G169" s="4" t="inlineStr">
        <is>
          <t>C</t>
        </is>
      </c>
      <c r="H169" s="4" t="inlineStr">
        <is>
          <t>CRITICAL</t>
        </is>
      </c>
      <c r="I169" s="13" t="n">
        <v>0.25</v>
      </c>
      <c r="J169" s="11" t="n">
        <v>95</v>
      </c>
      <c r="K169" s="13" t="n">
        <v>375.8</v>
      </c>
      <c r="L169" s="11" t="n">
        <v>1820</v>
      </c>
      <c r="M169" s="4" t="inlineStr">
        <is>
          <t>PO0031198</t>
        </is>
      </c>
      <c r="N169" s="4" t="inlineStr">
        <is>
          <t>2026-10-09</t>
        </is>
      </c>
      <c r="O169" s="4" t="inlineStr">
        <is>
          <t>GAP BEFORE ARRIVAL</t>
        </is>
      </c>
      <c r="P169" s="11" t="n">
        <v>5261</v>
      </c>
    </row>
    <row r="170">
      <c r="A170" s="4" t="inlineStr">
        <is>
          <t>WH12</t>
        </is>
      </c>
      <c r="B170" s="4" t="inlineStr">
        <is>
          <t>Nagpur DC</t>
        </is>
      </c>
      <c r="C170" s="4" t="inlineStr">
        <is>
          <t>Central</t>
        </is>
      </c>
      <c r="D170" s="4" t="inlineStr">
        <is>
          <t>SKU046</t>
        </is>
      </c>
      <c r="E170" s="4" t="inlineStr">
        <is>
          <t>Shampoo 340ml</t>
        </is>
      </c>
      <c r="F170" s="4" t="inlineStr">
        <is>
          <t>Personal Care</t>
        </is>
      </c>
      <c r="G170" s="4" t="inlineStr">
        <is>
          <t>C</t>
        </is>
      </c>
      <c r="H170" s="4" t="inlineStr">
        <is>
          <t>CRITICAL</t>
        </is>
      </c>
      <c r="I170" s="13" t="n">
        <v>0.28</v>
      </c>
      <c r="J170" s="11" t="n">
        <v>91</v>
      </c>
      <c r="K170" s="13" t="n">
        <v>324.8</v>
      </c>
      <c r="L170" s="11" t="n">
        <v>1260</v>
      </c>
      <c r="M170" s="4" t="inlineStr">
        <is>
          <t>PO0031650</t>
        </is>
      </c>
      <c r="N170" s="4" t="inlineStr">
        <is>
          <t>2026-10-07</t>
        </is>
      </c>
      <c r="O170" s="4" t="inlineStr">
        <is>
          <t>GAP BEFORE ARRIVAL</t>
        </is>
      </c>
      <c r="P170" s="11" t="n">
        <v>5196</v>
      </c>
    </row>
    <row r="171">
      <c r="A171" s="4" t="inlineStr">
        <is>
          <t>WH10</t>
        </is>
      </c>
      <c r="B171" s="4" t="inlineStr">
        <is>
          <t>Kolkata DC</t>
        </is>
      </c>
      <c r="C171" s="4" t="inlineStr">
        <is>
          <t>East</t>
        </is>
      </c>
      <c r="D171" s="4" t="inlineStr">
        <is>
          <t>SKU026</t>
        </is>
      </c>
      <c r="E171" s="4" t="inlineStr">
        <is>
          <t>Buttermilk 200ml</t>
        </is>
      </c>
      <c r="F171" s="4" t="inlineStr">
        <is>
          <t>Beverages</t>
        </is>
      </c>
      <c r="G171" s="4" t="inlineStr">
        <is>
          <t>B</t>
        </is>
      </c>
      <c r="H171" s="4" t="inlineStr">
        <is>
          <t>CRITICAL</t>
        </is>
      </c>
      <c r="I171" s="13" t="n">
        <v>0.38</v>
      </c>
      <c r="J171" s="11" t="n">
        <v>385</v>
      </c>
      <c r="K171" s="13" t="n">
        <v>1000.5</v>
      </c>
      <c r="L171" s="11" t="n">
        <v>3432</v>
      </c>
      <c r="M171" s="4" t="inlineStr">
        <is>
          <t>PO0031793</t>
        </is>
      </c>
      <c r="N171" s="4" t="inlineStr">
        <is>
          <t>2026-10-05</t>
        </is>
      </c>
      <c r="O171" s="4" t="inlineStr">
        <is>
          <t>COVERED BY INBOUND</t>
        </is>
      </c>
      <c r="P171" s="11" t="n">
        <v>5003</v>
      </c>
    </row>
    <row r="172">
      <c r="A172" s="4" t="inlineStr">
        <is>
          <t>WH08</t>
        </is>
      </c>
      <c r="B172" s="4" t="inlineStr">
        <is>
          <t>Chennai DC</t>
        </is>
      </c>
      <c r="C172" s="4" t="inlineStr">
        <is>
          <t>South</t>
        </is>
      </c>
      <c r="D172" s="4" t="inlineStr">
        <is>
          <t>SKU006</t>
        </is>
      </c>
      <c r="E172" s="4" t="inlineStr">
        <is>
          <t>Mustard Oil 1L</t>
        </is>
      </c>
      <c r="F172" s="4" t="inlineStr">
        <is>
          <t>Packaged Staples</t>
        </is>
      </c>
      <c r="G172" s="4" t="inlineStr">
        <is>
          <t>B</t>
        </is>
      </c>
      <c r="H172" s="4" t="inlineStr">
        <is>
          <t>CRITICAL</t>
        </is>
      </c>
      <c r="I172" s="13" t="n">
        <v>0.34</v>
      </c>
      <c r="J172" s="11" t="n">
        <v>178</v>
      </c>
      <c r="K172" s="13" t="n">
        <v>522</v>
      </c>
      <c r="L172" s="11" t="n">
        <v>1392</v>
      </c>
      <c r="M172" s="4" t="inlineStr">
        <is>
          <t>PO0031758</t>
        </is>
      </c>
      <c r="N172" s="4" t="inlineStr">
        <is>
          <t>2026-10-09</t>
        </is>
      </c>
      <c r="O172" s="4" t="inlineStr">
        <is>
          <t>GAP BEFORE ARRIVAL</t>
        </is>
      </c>
      <c r="P172" s="11" t="n">
        <v>4698</v>
      </c>
    </row>
    <row r="173">
      <c r="A173" s="4" t="inlineStr">
        <is>
          <t>WH02</t>
        </is>
      </c>
      <c r="B173" s="4" t="inlineStr">
        <is>
          <t>Jaipur DC</t>
        </is>
      </c>
      <c r="C173" s="4" t="inlineStr">
        <is>
          <t>North</t>
        </is>
      </c>
      <c r="D173" s="4" t="inlineStr">
        <is>
          <t>SKU002</t>
        </is>
      </c>
      <c r="E173" s="4" t="inlineStr">
        <is>
          <t>Basmati Rice 5kg</t>
        </is>
      </c>
      <c r="F173" s="4" t="inlineStr">
        <is>
          <t>Packaged Staples</t>
        </is>
      </c>
      <c r="G173" s="4" t="inlineStr">
        <is>
          <t>B</t>
        </is>
      </c>
      <c r="H173" s="4" t="inlineStr">
        <is>
          <t>CRITICAL</t>
        </is>
      </c>
      <c r="I173" s="13" t="n">
        <v>0.15</v>
      </c>
      <c r="J173" s="11" t="n">
        <v>78</v>
      </c>
      <c r="K173" s="13" t="n">
        <v>507.8</v>
      </c>
      <c r="L173" s="11" t="n">
        <v>1908</v>
      </c>
      <c r="M173" s="4" t="inlineStr">
        <is>
          <t>PO0031490</t>
        </is>
      </c>
      <c r="N173" s="4" t="inlineStr">
        <is>
          <t>2026-10-03</t>
        </is>
      </c>
      <c r="O173" s="4" t="inlineStr">
        <is>
          <t>INBOUND OVERDUE</t>
        </is>
      </c>
      <c r="P173" s="11" t="n">
        <v>3554</v>
      </c>
    </row>
    <row r="174">
      <c r="A174" s="4" t="inlineStr">
        <is>
          <t>WH11</t>
        </is>
      </c>
      <c r="B174" s="4" t="inlineStr">
        <is>
          <t>Guwahati DC</t>
        </is>
      </c>
      <c r="C174" s="4" t="inlineStr">
        <is>
          <t>East</t>
        </is>
      </c>
      <c r="D174" s="4" t="inlineStr">
        <is>
          <t>SKU008</t>
        </is>
      </c>
      <c r="E174" s="4" t="inlineStr">
        <is>
          <t>Iodized Salt 1kg</t>
        </is>
      </c>
      <c r="F174" s="4" t="inlineStr">
        <is>
          <t>Packaged Staples</t>
        </is>
      </c>
      <c r="G174" s="4" t="inlineStr">
        <is>
          <t>A</t>
        </is>
      </c>
      <c r="H174" s="4" t="inlineStr">
        <is>
          <t>CRITICAL</t>
        </is>
      </c>
      <c r="I174" s="13" t="n">
        <v>0.02</v>
      </c>
      <c r="J174" s="11" t="n">
        <v>4</v>
      </c>
      <c r="K174" s="13" t="n">
        <v>206</v>
      </c>
      <c r="L174" s="11" t="n">
        <v>1656</v>
      </c>
      <c r="M174" s="4" t="inlineStr">
        <is>
          <t>PO0031634</t>
        </is>
      </c>
      <c r="N174" s="4" t="inlineStr">
        <is>
          <t>2026-10-07</t>
        </is>
      </c>
      <c r="O174" s="4" t="inlineStr">
        <is>
          <t>GAP BEFORE ARRIVAL</t>
        </is>
      </c>
      <c r="P174" s="11" t="n">
        <v>3296</v>
      </c>
    </row>
    <row r="175">
      <c r="A175" s="4" t="inlineStr">
        <is>
          <t>WH10</t>
        </is>
      </c>
      <c r="B175" s="4" t="inlineStr">
        <is>
          <t>Kolkata DC</t>
        </is>
      </c>
      <c r="C175" s="4" t="inlineStr">
        <is>
          <t>East</t>
        </is>
      </c>
      <c r="D175" s="4" t="inlineStr">
        <is>
          <t>SKU049</t>
        </is>
      </c>
      <c r="E175" s="4" t="inlineStr">
        <is>
          <t>Face Wash 100ml</t>
        </is>
      </c>
      <c r="F175" s="4" t="inlineStr">
        <is>
          <t>Personal Care</t>
        </is>
      </c>
      <c r="G175" s="4" t="inlineStr">
        <is>
          <t>C</t>
        </is>
      </c>
      <c r="H175" s="4" t="inlineStr">
        <is>
          <t>CRITICAL</t>
        </is>
      </c>
      <c r="I175" s="13" t="n">
        <v>0.46</v>
      </c>
      <c r="J175" s="11" t="n">
        <v>157</v>
      </c>
      <c r="K175" s="13" t="n">
        <v>338.8</v>
      </c>
      <c r="L175" s="11" t="n">
        <v>1116</v>
      </c>
      <c r="M175" s="4" t="inlineStr">
        <is>
          <t>PO0031453</t>
        </is>
      </c>
      <c r="N175" s="4" t="inlineStr">
        <is>
          <t>2026-10-04</t>
        </is>
      </c>
      <c r="O175" s="4" t="inlineStr">
        <is>
          <t>COVERED BY INBOUND</t>
        </is>
      </c>
      <c r="P175" s="11" t="n">
        <v>3049</v>
      </c>
    </row>
    <row r="176">
      <c r="A176" s="4" t="inlineStr">
        <is>
          <t>WH11</t>
        </is>
      </c>
      <c r="B176" s="4" t="inlineStr">
        <is>
          <t>Guwahati DC</t>
        </is>
      </c>
      <c r="C176" s="4" t="inlineStr">
        <is>
          <t>East</t>
        </is>
      </c>
      <c r="D176" s="4" t="inlineStr">
        <is>
          <t>SKU057</t>
        </is>
      </c>
      <c r="E176" s="4" t="inlineStr">
        <is>
          <t>Hand Wash 250ml</t>
        </is>
      </c>
      <c r="F176" s="4" t="inlineStr">
        <is>
          <t>Personal Care</t>
        </is>
      </c>
      <c r="G176" s="4" t="inlineStr">
        <is>
          <t>C</t>
        </is>
      </c>
      <c r="H176" s="4" t="inlineStr">
        <is>
          <t>CRITICAL</t>
        </is>
      </c>
      <c r="I176" s="13" t="n">
        <v>0.09</v>
      </c>
      <c r="J176" s="11" t="n">
        <v>10</v>
      </c>
      <c r="K176" s="13" t="n">
        <v>107.3</v>
      </c>
      <c r="L176" s="11" t="n">
        <v>576</v>
      </c>
      <c r="M176" s="4" t="inlineStr">
        <is>
          <t>PO0031811</t>
        </is>
      </c>
      <c r="N176" s="4" t="inlineStr">
        <is>
          <t>2026-10-12</t>
        </is>
      </c>
      <c r="O176" s="4" t="inlineStr">
        <is>
          <t>GAP BEFORE ARRIVAL</t>
        </is>
      </c>
      <c r="P176" s="11" t="n">
        <v>3003</v>
      </c>
    </row>
    <row r="177">
      <c r="A177" s="4" t="inlineStr">
        <is>
          <t>WH10</t>
        </is>
      </c>
      <c r="B177" s="4" t="inlineStr">
        <is>
          <t>Kolkata DC</t>
        </is>
      </c>
      <c r="C177" s="4" t="inlineStr">
        <is>
          <t>East</t>
        </is>
      </c>
      <c r="D177" s="4" t="inlineStr">
        <is>
          <t>SKU024</t>
        </is>
      </c>
      <c r="E177" s="4" t="inlineStr">
        <is>
          <t>Instant Coffee 100g</t>
        </is>
      </c>
      <c r="F177" s="4" t="inlineStr">
        <is>
          <t>Beverages</t>
        </is>
      </c>
      <c r="G177" s="4" t="inlineStr">
        <is>
          <t>C</t>
        </is>
      </c>
      <c r="H177" s="4" t="inlineStr">
        <is>
          <t>CRITICAL</t>
        </is>
      </c>
      <c r="I177" s="13" t="n">
        <v>0.39</v>
      </c>
      <c r="J177" s="11" t="n">
        <v>292</v>
      </c>
      <c r="K177" s="13" t="n">
        <v>747.8</v>
      </c>
      <c r="L177" s="11" t="n">
        <v>2280</v>
      </c>
      <c r="M177" s="4" t="inlineStr">
        <is>
          <t>PO0031792</t>
        </is>
      </c>
      <c r="N177" s="4" t="inlineStr">
        <is>
          <t>2026-10-09</t>
        </is>
      </c>
      <c r="O177" s="4" t="inlineStr">
        <is>
          <t>GAP BEFORE ARRIVAL</t>
        </is>
      </c>
      <c r="P177" s="11" t="n">
        <v>2991</v>
      </c>
    </row>
    <row r="178">
      <c r="A178" s="4" t="inlineStr">
        <is>
          <t>WH06</t>
        </is>
      </c>
      <c r="B178" s="4" t="inlineStr">
        <is>
          <t>Ahmedabad DC</t>
        </is>
      </c>
      <c r="C178" s="4" t="inlineStr">
        <is>
          <t>West</t>
        </is>
      </c>
      <c r="D178" s="4" t="inlineStr">
        <is>
          <t>SKU091</t>
        </is>
      </c>
      <c r="E178" s="4" t="inlineStr">
        <is>
          <t>Paracetamol 500mg 15s</t>
        </is>
      </c>
      <c r="F178" s="4" t="inlineStr">
        <is>
          <t>OTC Pharma &amp; Wellness</t>
        </is>
      </c>
      <c r="G178" s="4" t="inlineStr">
        <is>
          <t>C</t>
        </is>
      </c>
      <c r="H178" s="4" t="inlineStr">
        <is>
          <t>CRITICAL</t>
        </is>
      </c>
      <c r="I178" s="13" t="n">
        <v>0.23</v>
      </c>
      <c r="J178" s="11" t="n">
        <v>20</v>
      </c>
      <c r="K178" s="13" t="n">
        <v>85.5</v>
      </c>
      <c r="L178" s="11" t="n">
        <v>528</v>
      </c>
      <c r="M178" s="4" t="inlineStr">
        <is>
          <t>PO0031401</t>
        </is>
      </c>
      <c r="N178" s="4" t="inlineStr">
        <is>
          <t>2026-10-04</t>
        </is>
      </c>
      <c r="O178" s="4" t="inlineStr">
        <is>
          <t>COVERED BY INBOUND</t>
        </is>
      </c>
      <c r="P178" s="11" t="n">
        <v>2651</v>
      </c>
    </row>
    <row r="179">
      <c r="A179" s="4" t="inlineStr">
        <is>
          <t>WH03</t>
        </is>
      </c>
      <c r="B179" s="4" t="inlineStr">
        <is>
          <t>Lucknow DC</t>
        </is>
      </c>
      <c r="C179" s="4" t="inlineStr">
        <is>
          <t>North</t>
        </is>
      </c>
      <c r="D179" s="4" t="inlineStr">
        <is>
          <t>SKU115</t>
        </is>
      </c>
      <c r="E179" s="4" t="inlineStr">
        <is>
          <t>Edge Protectors 50pk</t>
        </is>
      </c>
      <c r="F179" s="4" t="inlineStr">
        <is>
          <t>Packaging &amp; Supplies</t>
        </is>
      </c>
      <c r="G179" s="4" t="inlineStr">
        <is>
          <t>C</t>
        </is>
      </c>
      <c r="H179" s="4" t="inlineStr">
        <is>
          <t>CRITICAL</t>
        </is>
      </c>
      <c r="I179" s="13" t="n">
        <v>0.21</v>
      </c>
      <c r="J179" s="11" t="n">
        <v>42</v>
      </c>
      <c r="K179" s="13" t="n">
        <v>204</v>
      </c>
      <c r="L179" s="11" t="n">
        <v>820</v>
      </c>
      <c r="M179" s="4" t="inlineStr">
        <is>
          <t>PO0031697</t>
        </is>
      </c>
      <c r="N179" s="4" t="inlineStr">
        <is>
          <t>2026-10-10</t>
        </is>
      </c>
      <c r="O179" s="4" t="inlineStr">
        <is>
          <t>GAP BEFORE ARRIVAL</t>
        </is>
      </c>
      <c r="P179" s="11" t="n">
        <v>2244</v>
      </c>
    </row>
    <row r="180">
      <c r="A180" s="4" t="inlineStr">
        <is>
          <t>WH03</t>
        </is>
      </c>
      <c r="B180" s="4" t="inlineStr">
        <is>
          <t>Lucknow DC</t>
        </is>
      </c>
      <c r="C180" s="4" t="inlineStr">
        <is>
          <t>North</t>
        </is>
      </c>
      <c r="D180" s="4" t="inlineStr">
        <is>
          <t>SKU110</t>
        </is>
      </c>
      <c r="E180" s="4" t="inlineStr">
        <is>
          <t>Pallet Strapping Roll</t>
        </is>
      </c>
      <c r="F180" s="4" t="inlineStr">
        <is>
          <t>Packaging &amp; Supplies</t>
        </is>
      </c>
      <c r="G180" s="4" t="inlineStr">
        <is>
          <t>C</t>
        </is>
      </c>
      <c r="H180" s="4" t="inlineStr">
        <is>
          <t>CRITICAL</t>
        </is>
      </c>
      <c r="I180" s="13" t="n">
        <v>0.49</v>
      </c>
      <c r="J180" s="11" t="n">
        <v>100</v>
      </c>
      <c r="K180" s="13" t="n">
        <v>205.3</v>
      </c>
      <c r="L180" s="11" t="n">
        <v>740</v>
      </c>
      <c r="M180" s="4" t="inlineStr">
        <is>
          <t>PO0031206</t>
        </is>
      </c>
      <c r="N180" s="4" t="inlineStr">
        <is>
          <t>2026-10-03</t>
        </is>
      </c>
      <c r="O180" s="4" t="inlineStr">
        <is>
          <t>INBOUND OVERDUE</t>
        </is>
      </c>
      <c r="P180" s="11" t="n">
        <v>1642</v>
      </c>
    </row>
    <row r="181">
      <c r="A181" s="4" t="inlineStr">
        <is>
          <t>WH11</t>
        </is>
      </c>
      <c r="B181" s="4" t="inlineStr">
        <is>
          <t>Guwahati DC</t>
        </is>
      </c>
      <c r="C181" s="4" t="inlineStr">
        <is>
          <t>East</t>
        </is>
      </c>
      <c r="D181" s="4" t="inlineStr">
        <is>
          <t>SKU092</t>
        </is>
      </c>
      <c r="E181" s="4" t="inlineStr">
        <is>
          <t>ORS Sachets 10pk</t>
        </is>
      </c>
      <c r="F181" s="4" t="inlineStr">
        <is>
          <t>OTC Pharma &amp; Wellness</t>
        </is>
      </c>
      <c r="G181" s="4" t="inlineStr">
        <is>
          <t>C</t>
        </is>
      </c>
      <c r="H181" s="4" t="inlineStr">
        <is>
          <t>CRITICAL</t>
        </is>
      </c>
      <c r="I181" s="13" t="n">
        <v>0.38</v>
      </c>
      <c r="J181" s="11" t="n">
        <v>30</v>
      </c>
      <c r="K181" s="13" t="n">
        <v>79.3</v>
      </c>
      <c r="L181" s="11" t="n">
        <v>636</v>
      </c>
      <c r="M181" s="4" t="inlineStr">
        <is>
          <t>PO0031642</t>
        </is>
      </c>
      <c r="N181" s="4" t="inlineStr">
        <is>
          <t>2026-10-13</t>
        </is>
      </c>
      <c r="O181" s="4" t="inlineStr">
        <is>
          <t>GAP BEFORE ARRIVAL</t>
        </is>
      </c>
      <c r="P181" s="11" t="n">
        <v>1585</v>
      </c>
    </row>
    <row r="182">
      <c r="A182" s="4" t="inlineStr">
        <is>
          <t>WH08</t>
        </is>
      </c>
      <c r="B182" s="4" t="inlineStr">
        <is>
          <t>Chennai DC</t>
        </is>
      </c>
      <c r="C182" s="4" t="inlineStr">
        <is>
          <t>South</t>
        </is>
      </c>
      <c r="D182" s="4" t="inlineStr">
        <is>
          <t>SKU115</t>
        </is>
      </c>
      <c r="E182" s="4" t="inlineStr">
        <is>
          <t>Edge Protectors 50pk</t>
        </is>
      </c>
      <c r="F182" s="4" t="inlineStr">
        <is>
          <t>Packaging &amp; Supplies</t>
        </is>
      </c>
      <c r="G182" s="4" t="inlineStr">
        <is>
          <t>C</t>
        </is>
      </c>
      <c r="H182" s="4" t="inlineStr">
        <is>
          <t>CRITICAL</t>
        </is>
      </c>
      <c r="I182" s="13" t="n">
        <v>0.47</v>
      </c>
      <c r="J182" s="11" t="n">
        <v>61</v>
      </c>
      <c r="K182" s="13" t="n">
        <v>130</v>
      </c>
      <c r="L182" s="11" t="n">
        <v>320</v>
      </c>
      <c r="M182" s="4" t="inlineStr">
        <is>
          <t>PO0031433</t>
        </is>
      </c>
      <c r="N182" s="4" t="inlineStr">
        <is>
          <t>2026-10-06</t>
        </is>
      </c>
      <c r="O182" s="4" t="inlineStr">
        <is>
          <t>COVERED BY INBOUND</t>
        </is>
      </c>
      <c r="P182" s="11" t="n">
        <v>1430</v>
      </c>
    </row>
    <row r="183">
      <c r="A183" s="4" t="inlineStr">
        <is>
          <t>WH08</t>
        </is>
      </c>
      <c r="B183" s="4" t="inlineStr">
        <is>
          <t>Chennai DC</t>
        </is>
      </c>
      <c r="C183" s="4" t="inlineStr">
        <is>
          <t>South</t>
        </is>
      </c>
      <c r="D183" s="4" t="inlineStr">
        <is>
          <t>SKU117</t>
        </is>
      </c>
      <c r="E183" s="4" t="inlineStr">
        <is>
          <t>Courier Bags 100pk</t>
        </is>
      </c>
      <c r="F183" s="4" t="inlineStr">
        <is>
          <t>Packaging &amp; Supplies</t>
        </is>
      </c>
      <c r="G183" s="4" t="inlineStr">
        <is>
          <t>C</t>
        </is>
      </c>
      <c r="H183" s="4" t="inlineStr">
        <is>
          <t>CRITICAL</t>
        </is>
      </c>
      <c r="I183" s="13" t="n">
        <v>0.27</v>
      </c>
      <c r="J183" s="11" t="n">
        <v>93</v>
      </c>
      <c r="K183" s="13" t="n">
        <v>339.8</v>
      </c>
      <c r="L183" s="11" t="n">
        <v>880</v>
      </c>
      <c r="M183" s="4" t="inlineStr">
        <is>
          <t>PO0031938</t>
        </is>
      </c>
      <c r="N183" s="4" t="inlineStr">
        <is>
          <t>2026-10-12</t>
        </is>
      </c>
      <c r="O183" s="4" t="inlineStr">
        <is>
          <t>GAP BEFORE ARRIVAL</t>
        </is>
      </c>
      <c r="P183" s="11" t="n">
        <v>1359</v>
      </c>
    </row>
    <row r="184">
      <c r="A184" s="4" t="inlineStr">
        <is>
          <t>WH08</t>
        </is>
      </c>
      <c r="B184" s="4" t="inlineStr">
        <is>
          <t>Chennai DC</t>
        </is>
      </c>
      <c r="C184" s="4" t="inlineStr">
        <is>
          <t>South</t>
        </is>
      </c>
      <c r="D184" s="4" t="inlineStr">
        <is>
          <t>SKU120</t>
        </is>
      </c>
      <c r="E184" s="4" t="inlineStr">
        <is>
          <t>Cutter Blades 10pk</t>
        </is>
      </c>
      <c r="F184" s="4" t="inlineStr">
        <is>
          <t>Packaging &amp; Supplies</t>
        </is>
      </c>
      <c r="G184" s="4" t="inlineStr">
        <is>
          <t>C</t>
        </is>
      </c>
      <c r="H184" s="4" t="inlineStr">
        <is>
          <t>CRITICAL</t>
        </is>
      </c>
      <c r="I184" s="13" t="n">
        <v>0.22</v>
      </c>
      <c r="J184" s="11" t="n">
        <v>56</v>
      </c>
      <c r="K184" s="13" t="n">
        <v>258.3</v>
      </c>
      <c r="L184" s="11" t="n">
        <v>820</v>
      </c>
      <c r="M184" s="4" t="inlineStr">
        <is>
          <t>PO0031276</t>
        </is>
      </c>
      <c r="N184" s="4" t="inlineStr">
        <is>
          <t>2026-10-06</t>
        </is>
      </c>
      <c r="O184" s="4" t="inlineStr">
        <is>
          <t>GAP BEFORE ARRIVAL</t>
        </is>
      </c>
      <c r="P184" s="11" t="n">
        <v>1291</v>
      </c>
    </row>
    <row r="185">
      <c r="A185" s="4" t="inlineStr">
        <is>
          <t>WH07</t>
        </is>
      </c>
      <c r="B185" s="4" t="inlineStr">
        <is>
          <t>Bengaluru DC</t>
        </is>
      </c>
      <c r="C185" s="4" t="inlineStr">
        <is>
          <t>South</t>
        </is>
      </c>
      <c r="D185" s="4" t="inlineStr">
        <is>
          <t>SKU024</t>
        </is>
      </c>
      <c r="E185" s="4" t="inlineStr">
        <is>
          <t>Instant Coffee 100g</t>
        </is>
      </c>
      <c r="F185" s="4" t="inlineStr">
        <is>
          <t>Beverages</t>
        </is>
      </c>
      <c r="G185" s="4" t="inlineStr">
        <is>
          <t>C</t>
        </is>
      </c>
      <c r="H185" s="4" t="inlineStr">
        <is>
          <t>CRITICAL</t>
        </is>
      </c>
      <c r="I185" s="13" t="n">
        <v>0.36</v>
      </c>
      <c r="J185" s="11" t="n">
        <v>106</v>
      </c>
      <c r="K185" s="13" t="n">
        <v>294</v>
      </c>
      <c r="L185" s="11" t="n">
        <v>1416</v>
      </c>
      <c r="M185" s="4" t="inlineStr">
        <is>
          <t>PO0031901</t>
        </is>
      </c>
      <c r="N185" s="4" t="inlineStr">
        <is>
          <t>2026-10-10</t>
        </is>
      </c>
      <c r="O185" s="4" t="inlineStr">
        <is>
          <t>GAP BEFORE ARRIVAL</t>
        </is>
      </c>
      <c r="P185" s="11" t="n">
        <v>1176</v>
      </c>
    </row>
    <row r="186">
      <c r="A186" s="4" t="inlineStr">
        <is>
          <t>WH05</t>
        </is>
      </c>
      <c r="B186" s="4" t="inlineStr">
        <is>
          <t>Pune DC</t>
        </is>
      </c>
      <c r="C186" s="4" t="inlineStr">
        <is>
          <t>West</t>
        </is>
      </c>
      <c r="D186" s="4" t="inlineStr">
        <is>
          <t>SKU053</t>
        </is>
      </c>
      <c r="E186" s="4" t="inlineStr">
        <is>
          <t>Sanitary Pads 20pk</t>
        </is>
      </c>
      <c r="F186" s="4" t="inlineStr">
        <is>
          <t>Personal Care</t>
        </is>
      </c>
      <c r="G186" s="4" t="inlineStr">
        <is>
          <t>C</t>
        </is>
      </c>
      <c r="H186" s="4" t="inlineStr">
        <is>
          <t>CRITICAL</t>
        </is>
      </c>
      <c r="I186" s="13" t="n">
        <v>0.01</v>
      </c>
      <c r="J186" s="11" t="n">
        <v>1</v>
      </c>
      <c r="K186" s="13" t="n">
        <v>118.5</v>
      </c>
      <c r="L186" s="11" t="n">
        <v>1368</v>
      </c>
      <c r="M186" s="4" t="inlineStr">
        <is>
          <t>PO0031540</t>
        </is>
      </c>
      <c r="N186" s="4" t="inlineStr">
        <is>
          <t>2026-10-06</t>
        </is>
      </c>
      <c r="O186" s="4" t="inlineStr">
        <is>
          <t>GAP BEFORE ARRIVAL</t>
        </is>
      </c>
      <c r="P186" s="11" t="n">
        <v>948</v>
      </c>
    </row>
    <row r="187">
      <c r="A187" s="4" t="inlineStr">
        <is>
          <t>WH08</t>
        </is>
      </c>
      <c r="B187" s="4" t="inlineStr">
        <is>
          <t>Chennai DC</t>
        </is>
      </c>
      <c r="C187" s="4" t="inlineStr">
        <is>
          <t>South</t>
        </is>
      </c>
      <c r="D187" s="4" t="inlineStr">
        <is>
          <t>SKU087</t>
        </is>
      </c>
      <c r="E187" s="4" t="inlineStr">
        <is>
          <t>SD Card 64GB</t>
        </is>
      </c>
      <c r="F187" s="4" t="inlineStr">
        <is>
          <t>Electronics Accessories</t>
        </is>
      </c>
      <c r="G187" s="4" t="inlineStr">
        <is>
          <t>A</t>
        </is>
      </c>
      <c r="H187" s="4" t="inlineStr">
        <is>
          <t>LOW</t>
        </is>
      </c>
      <c r="I187" s="13" t="n">
        <v>1.44</v>
      </c>
      <c r="J187" s="11" t="n">
        <v>428</v>
      </c>
      <c r="K187" s="13" t="n">
        <v>297.3</v>
      </c>
      <c r="L187" s="11" t="n">
        <v>560</v>
      </c>
      <c r="M187" s="4" t="inlineStr">
        <is>
          <t>PO0031596</t>
        </is>
      </c>
      <c r="N187" s="4" t="inlineStr">
        <is>
          <t>2026-10-16</t>
        </is>
      </c>
      <c r="O187" s="4" t="inlineStr">
        <is>
          <t>GAP BEFORE ARRIVAL</t>
        </is>
      </c>
      <c r="P187" s="11" t="n">
        <v>127818</v>
      </c>
    </row>
    <row r="188">
      <c r="A188" s="4" t="inlineStr">
        <is>
          <t>WH07</t>
        </is>
      </c>
      <c r="B188" s="4" t="inlineStr">
        <is>
          <t>Bengaluru DC</t>
        </is>
      </c>
      <c r="C188" s="4" t="inlineStr">
        <is>
          <t>South</t>
        </is>
      </c>
      <c r="D188" s="4" t="inlineStr">
        <is>
          <t>SKU087</t>
        </is>
      </c>
      <c r="E188" s="4" t="inlineStr">
        <is>
          <t>SD Card 64GB</t>
        </is>
      </c>
      <c r="F188" s="4" t="inlineStr">
        <is>
          <t>Electronics Accessories</t>
        </is>
      </c>
      <c r="G188" s="4" t="inlineStr">
        <is>
          <t>A</t>
        </is>
      </c>
      <c r="H188" s="4" t="inlineStr">
        <is>
          <t>LOW</t>
        </is>
      </c>
      <c r="I188" s="13" t="n">
        <v>0.86</v>
      </c>
      <c r="J188" s="11" t="n">
        <v>210</v>
      </c>
      <c r="K188" s="13" t="n">
        <v>245.3</v>
      </c>
      <c r="L188" s="11" t="n">
        <v>780</v>
      </c>
      <c r="M188" s="4" t="inlineStr">
        <is>
          <t>PO0031575</t>
        </is>
      </c>
      <c r="N188" s="4" t="inlineStr">
        <is>
          <t>2026-10-16</t>
        </is>
      </c>
      <c r="O188" s="4" t="inlineStr">
        <is>
          <t>GAP BEFORE ARRIVAL</t>
        </is>
      </c>
      <c r="P188" s="11" t="n">
        <v>105458</v>
      </c>
    </row>
    <row r="189">
      <c r="A189" s="4" t="inlineStr">
        <is>
          <t>WH12</t>
        </is>
      </c>
      <c r="B189" s="4" t="inlineStr">
        <is>
          <t>Nagpur DC</t>
        </is>
      </c>
      <c r="C189" s="4" t="inlineStr">
        <is>
          <t>Central</t>
        </is>
      </c>
      <c r="D189" s="4" t="inlineStr">
        <is>
          <t>SKU089</t>
        </is>
      </c>
      <c r="E189" s="4" t="inlineStr">
        <is>
          <t>USB Keyboard</t>
        </is>
      </c>
      <c r="F189" s="4" t="inlineStr">
        <is>
          <t>Electronics Accessories</t>
        </is>
      </c>
      <c r="G189" s="4" t="inlineStr">
        <is>
          <t>A</t>
        </is>
      </c>
      <c r="H189" s="4" t="inlineStr">
        <is>
          <t>LOW</t>
        </is>
      </c>
      <c r="I189" s="13" t="n">
        <v>1.11</v>
      </c>
      <c r="J189" s="11" t="n">
        <v>135</v>
      </c>
      <c r="K189" s="13" t="n">
        <v>122</v>
      </c>
      <c r="L189" s="11" t="n">
        <v>450</v>
      </c>
      <c r="M189" s="4" t="inlineStr">
        <is>
          <t>PO0031655</t>
        </is>
      </c>
      <c r="N189" s="4" t="inlineStr">
        <is>
          <t>2026-10-12</t>
        </is>
      </c>
      <c r="O189" s="4" t="inlineStr">
        <is>
          <t>GAP BEFORE ARRIVAL</t>
        </is>
      </c>
      <c r="P189" s="11" t="n">
        <v>68686</v>
      </c>
    </row>
    <row r="190">
      <c r="A190" s="4" t="inlineStr">
        <is>
          <t>WH06</t>
        </is>
      </c>
      <c r="B190" s="4" t="inlineStr">
        <is>
          <t>Ahmedabad DC</t>
        </is>
      </c>
      <c r="C190" s="4" t="inlineStr">
        <is>
          <t>West</t>
        </is>
      </c>
      <c r="D190" s="4" t="inlineStr">
        <is>
          <t>SKU060</t>
        </is>
      </c>
      <c r="E190" s="4" t="inlineStr">
        <is>
          <t>Mouthwash 250ml</t>
        </is>
      </c>
      <c r="F190" s="4" t="inlineStr">
        <is>
          <t>Personal Care</t>
        </is>
      </c>
      <c r="G190" s="4" t="inlineStr">
        <is>
          <t>A</t>
        </is>
      </c>
      <c r="H190" s="4" t="inlineStr">
        <is>
          <t>LOW</t>
        </is>
      </c>
      <c r="I190" s="13" t="n">
        <v>1.28</v>
      </c>
      <c r="J190" s="11" t="n">
        <v>584</v>
      </c>
      <c r="K190" s="13" t="n">
        <v>455.5</v>
      </c>
      <c r="L190" s="11" t="n">
        <v>1488</v>
      </c>
      <c r="M190" s="4" t="inlineStr">
        <is>
          <t>PO0031393</t>
        </is>
      </c>
      <c r="N190" s="4" t="inlineStr">
        <is>
          <t>2026-10-07</t>
        </is>
      </c>
      <c r="O190" s="4" t="inlineStr">
        <is>
          <t>COVERED BY INBOUND</t>
        </is>
      </c>
      <c r="P190" s="11" t="n">
        <v>52383</v>
      </c>
    </row>
    <row r="191">
      <c r="A191" s="4" t="inlineStr">
        <is>
          <t>WH07</t>
        </is>
      </c>
      <c r="B191" s="4" t="inlineStr">
        <is>
          <t>Bengaluru DC</t>
        </is>
      </c>
      <c r="C191" s="4" t="inlineStr">
        <is>
          <t>South</t>
        </is>
      </c>
      <c r="D191" s="4" t="inlineStr">
        <is>
          <t>SKU058</t>
        </is>
      </c>
      <c r="E191" s="4" t="inlineStr">
        <is>
          <t>Kajal Pack</t>
        </is>
      </c>
      <c r="F191" s="4" t="inlineStr">
        <is>
          <t>Personal Care</t>
        </is>
      </c>
      <c r="G191" s="4" t="inlineStr">
        <is>
          <t>A</t>
        </is>
      </c>
      <c r="H191" s="4" t="inlineStr">
        <is>
          <t>LOW</t>
        </is>
      </c>
      <c r="I191" s="13" t="n">
        <v>0.85</v>
      </c>
      <c r="J191" s="11" t="n">
        <v>391</v>
      </c>
      <c r="K191" s="13" t="n">
        <v>457.8</v>
      </c>
      <c r="L191" s="11" t="n">
        <v>1404</v>
      </c>
      <c r="M191" s="4" t="inlineStr">
        <is>
          <t>PO0031571</t>
        </is>
      </c>
      <c r="N191" s="4" t="inlineStr">
        <is>
          <t>2026-10-02</t>
        </is>
      </c>
      <c r="O191" s="4" t="inlineStr">
        <is>
          <t>INBOUND OVERDUE</t>
        </is>
      </c>
      <c r="P191" s="11" t="n">
        <v>48522</v>
      </c>
    </row>
    <row r="192">
      <c r="A192" s="4" t="inlineStr">
        <is>
          <t>WH07</t>
        </is>
      </c>
      <c r="B192" s="4" t="inlineStr">
        <is>
          <t>Bengaluru DC</t>
        </is>
      </c>
      <c r="C192" s="4" t="inlineStr">
        <is>
          <t>South</t>
        </is>
      </c>
      <c r="D192" s="4" t="inlineStr">
        <is>
          <t>SKU028</t>
        </is>
      </c>
      <c r="E192" s="4" t="inlineStr">
        <is>
          <t>Sports Drink 500ml</t>
        </is>
      </c>
      <c r="F192" s="4" t="inlineStr">
        <is>
          <t>Beverages</t>
        </is>
      </c>
      <c r="G192" s="4" t="inlineStr">
        <is>
          <t>A</t>
        </is>
      </c>
      <c r="H192" s="4" t="inlineStr">
        <is>
          <t>LOW</t>
        </is>
      </c>
      <c r="I192" s="13" t="n">
        <v>1.11</v>
      </c>
      <c r="J192" s="11" t="n">
        <v>2424</v>
      </c>
      <c r="K192" s="13" t="n">
        <v>2184.3</v>
      </c>
      <c r="L192" s="11" t="n">
        <v>7488</v>
      </c>
      <c r="M192" s="4" t="inlineStr">
        <is>
          <t>PO0031748</t>
        </is>
      </c>
      <c r="N192" s="4" t="inlineStr">
        <is>
          <t>2026-10-07</t>
        </is>
      </c>
      <c r="O192" s="4" t="inlineStr">
        <is>
          <t>COVERED BY INBOUND</t>
        </is>
      </c>
      <c r="P192" s="11" t="n">
        <v>45869</v>
      </c>
    </row>
    <row r="193">
      <c r="A193" s="4" t="inlineStr">
        <is>
          <t>WH07</t>
        </is>
      </c>
      <c r="B193" s="4" t="inlineStr">
        <is>
          <t>Bengaluru DC</t>
        </is>
      </c>
      <c r="C193" s="4" t="inlineStr">
        <is>
          <t>South</t>
        </is>
      </c>
      <c r="D193" s="4" t="inlineStr">
        <is>
          <t>SKU056</t>
        </is>
      </c>
      <c r="E193" s="4" t="inlineStr">
        <is>
          <t>Sunscreen 50g</t>
        </is>
      </c>
      <c r="F193" s="4" t="inlineStr">
        <is>
          <t>Personal Care</t>
        </is>
      </c>
      <c r="G193" s="4" t="inlineStr">
        <is>
          <t>A</t>
        </is>
      </c>
      <c r="H193" s="4" t="inlineStr">
        <is>
          <t>LOW</t>
        </is>
      </c>
      <c r="I193" s="13" t="n">
        <v>1.48</v>
      </c>
      <c r="J193" s="11" t="n">
        <v>577</v>
      </c>
      <c r="K193" s="13" t="n">
        <v>389.3</v>
      </c>
      <c r="L193" s="11" t="n">
        <v>1512</v>
      </c>
      <c r="M193" s="4" t="inlineStr">
        <is>
          <t>PO0031907</t>
        </is>
      </c>
      <c r="N193" s="4" t="inlineStr">
        <is>
          <t>2026-10-11</t>
        </is>
      </c>
      <c r="O193" s="4" t="inlineStr">
        <is>
          <t>COVERED BY INBOUND</t>
        </is>
      </c>
      <c r="P193" s="11" t="n">
        <v>45542</v>
      </c>
    </row>
    <row r="194">
      <c r="A194" s="4" t="inlineStr">
        <is>
          <t>WH07</t>
        </is>
      </c>
      <c r="B194" s="4" t="inlineStr">
        <is>
          <t>Bengaluru DC</t>
        </is>
      </c>
      <c r="C194" s="4" t="inlineStr">
        <is>
          <t>South</t>
        </is>
      </c>
      <c r="D194" s="4" t="inlineStr">
        <is>
          <t>SKU005</t>
        </is>
      </c>
      <c r="E194" s="4" t="inlineStr">
        <is>
          <t>Sunflower Oil 1L</t>
        </is>
      </c>
      <c r="F194" s="4" t="inlineStr">
        <is>
          <t>Packaged Staples</t>
        </is>
      </c>
      <c r="G194" s="4" t="inlineStr">
        <is>
          <t>A</t>
        </is>
      </c>
      <c r="H194" s="4" t="inlineStr">
        <is>
          <t>LOW</t>
        </is>
      </c>
      <c r="I194" s="13" t="n">
        <v>1.05</v>
      </c>
      <c r="J194" s="11" t="n">
        <v>1673</v>
      </c>
      <c r="K194" s="13" t="n">
        <v>1596</v>
      </c>
      <c r="L194" s="11" t="n">
        <v>4956</v>
      </c>
      <c r="M194" s="4" t="inlineStr">
        <is>
          <t>PO0031743</t>
        </is>
      </c>
      <c r="N194" s="4" t="inlineStr">
        <is>
          <t>2026-10-08</t>
        </is>
      </c>
      <c r="O194" s="4" t="inlineStr">
        <is>
          <t>COVERED BY INBOUND</t>
        </is>
      </c>
      <c r="P194" s="11" t="n">
        <v>44688</v>
      </c>
    </row>
    <row r="195">
      <c r="A195" s="4" t="inlineStr">
        <is>
          <t>WH02</t>
        </is>
      </c>
      <c r="B195" s="4" t="inlineStr">
        <is>
          <t>Jaipur DC</t>
        </is>
      </c>
      <c r="C195" s="4" t="inlineStr">
        <is>
          <t>North</t>
        </is>
      </c>
      <c r="D195" s="4" t="inlineStr">
        <is>
          <t>SKU086</t>
        </is>
      </c>
      <c r="E195" s="4" t="inlineStr">
        <is>
          <t>AA Batteries 10pk</t>
        </is>
      </c>
      <c r="F195" s="4" t="inlineStr">
        <is>
          <t>Electronics Accessories</t>
        </is>
      </c>
      <c r="G195" s="4" t="inlineStr">
        <is>
          <t>A</t>
        </is>
      </c>
      <c r="H195" s="4" t="inlineStr">
        <is>
          <t>LOW</t>
        </is>
      </c>
      <c r="I195" s="13" t="n">
        <v>1.38</v>
      </c>
      <c r="J195" s="11" t="n">
        <v>150</v>
      </c>
      <c r="K195" s="13" t="n">
        <v>109</v>
      </c>
      <c r="L195" s="11" t="n">
        <v>460</v>
      </c>
      <c r="M195" s="4" t="inlineStr">
        <is>
          <t>PO0031194</t>
        </is>
      </c>
      <c r="N195" s="4" t="inlineStr">
        <is>
          <t>2026-10-11</t>
        </is>
      </c>
      <c r="O195" s="4" t="inlineStr">
        <is>
          <t>COVERED BY INBOUND</t>
        </is>
      </c>
      <c r="P195" s="11" t="n">
        <v>44145</v>
      </c>
    </row>
    <row r="196">
      <c r="A196" s="4" t="inlineStr">
        <is>
          <t>WH10</t>
        </is>
      </c>
      <c r="B196" s="4" t="inlineStr">
        <is>
          <t>Kolkata DC</t>
        </is>
      </c>
      <c r="C196" s="4" t="inlineStr">
        <is>
          <t>East</t>
        </is>
      </c>
      <c r="D196" s="4" t="inlineStr">
        <is>
          <t>SKU028</t>
        </is>
      </c>
      <c r="E196" s="4" t="inlineStr">
        <is>
          <t>Sports Drink 500ml</t>
        </is>
      </c>
      <c r="F196" s="4" t="inlineStr">
        <is>
          <t>Beverages</t>
        </is>
      </c>
      <c r="G196" s="4" t="inlineStr">
        <is>
          <t>A</t>
        </is>
      </c>
      <c r="H196" s="4" t="inlineStr">
        <is>
          <t>LOW</t>
        </is>
      </c>
      <c r="I196" s="13" t="n">
        <v>0.55</v>
      </c>
      <c r="J196" s="11" t="n">
        <v>918</v>
      </c>
      <c r="K196" s="13" t="n">
        <v>1662.8</v>
      </c>
      <c r="L196" s="11" t="n">
        <v>5352</v>
      </c>
      <c r="M196" s="4" t="inlineStr">
        <is>
          <t>PO0031794</t>
        </is>
      </c>
      <c r="N196" s="4" t="inlineStr">
        <is>
          <t>2026-10-07</t>
        </is>
      </c>
      <c r="O196" s="4" t="inlineStr">
        <is>
          <t>COVERED BY INBOUND</t>
        </is>
      </c>
      <c r="P196" s="11" t="n">
        <v>34918</v>
      </c>
    </row>
    <row r="197">
      <c r="A197" s="4" t="inlineStr">
        <is>
          <t>WH08</t>
        </is>
      </c>
      <c r="B197" s="4" t="inlineStr">
        <is>
          <t>Chennai DC</t>
        </is>
      </c>
      <c r="C197" s="4" t="inlineStr">
        <is>
          <t>South</t>
        </is>
      </c>
      <c r="D197" s="4" t="inlineStr">
        <is>
          <t>SKU093</t>
        </is>
      </c>
      <c r="E197" s="4" t="inlineStr">
        <is>
          <t>Antacid Syrup 200ml</t>
        </is>
      </c>
      <c r="F197" s="4" t="inlineStr">
        <is>
          <t>OTC Pharma &amp; Wellness</t>
        </is>
      </c>
      <c r="G197" s="4" t="inlineStr">
        <is>
          <t>A</t>
        </is>
      </c>
      <c r="H197" s="4" t="inlineStr">
        <is>
          <t>LOW</t>
        </is>
      </c>
      <c r="I197" s="13" t="n">
        <v>0.88</v>
      </c>
      <c r="J197" s="11" t="n">
        <v>359</v>
      </c>
      <c r="K197" s="13" t="n">
        <v>406.3</v>
      </c>
      <c r="L197" s="11" t="n">
        <v>852</v>
      </c>
      <c r="M197" s="4" t="inlineStr">
        <is>
          <t>PO0031932</t>
        </is>
      </c>
      <c r="N197" s="4" t="inlineStr">
        <is>
          <t>2026-10-17</t>
        </is>
      </c>
      <c r="O197" s="4" t="inlineStr">
        <is>
          <t>GAP BEFORE ARRIVAL</t>
        </is>
      </c>
      <c r="P197" s="11" t="n">
        <v>34531</v>
      </c>
    </row>
    <row r="198">
      <c r="A198" s="4" t="inlineStr">
        <is>
          <t>WH09</t>
        </is>
      </c>
      <c r="B198" s="4" t="inlineStr">
        <is>
          <t>Hyderabad DC</t>
        </is>
      </c>
      <c r="C198" s="4" t="inlineStr">
        <is>
          <t>South</t>
        </is>
      </c>
      <c r="D198" s="4" t="inlineStr">
        <is>
          <t>SKU052</t>
        </is>
      </c>
      <c r="E198" s="4" t="inlineStr">
        <is>
          <t>Deodorant 150ml</t>
        </is>
      </c>
      <c r="F198" s="4" t="inlineStr">
        <is>
          <t>Personal Care</t>
        </is>
      </c>
      <c r="G198" s="4" t="inlineStr">
        <is>
          <t>B</t>
        </is>
      </c>
      <c r="H198" s="4" t="inlineStr">
        <is>
          <t>LOW</t>
        </is>
      </c>
      <c r="I198" s="13" t="n">
        <v>0.61</v>
      </c>
      <c r="J198" s="11" t="n">
        <v>442</v>
      </c>
      <c r="K198" s="13" t="n">
        <v>725.8</v>
      </c>
      <c r="L198" s="11" t="n">
        <v>2184</v>
      </c>
      <c r="M198" s="4" t="inlineStr">
        <is>
          <t>PO0031782</t>
        </is>
      </c>
      <c r="N198" s="4" t="inlineStr">
        <is>
          <t>2026-10-10</t>
        </is>
      </c>
      <c r="O198" s="4" t="inlineStr">
        <is>
          <t>GAP BEFORE ARRIVAL</t>
        </is>
      </c>
      <c r="P198" s="11" t="n">
        <v>33385</v>
      </c>
    </row>
    <row r="199">
      <c r="A199" s="4" t="inlineStr">
        <is>
          <t>WH08</t>
        </is>
      </c>
      <c r="B199" s="4" t="inlineStr">
        <is>
          <t>Chennai DC</t>
        </is>
      </c>
      <c r="C199" s="4" t="inlineStr">
        <is>
          <t>South</t>
        </is>
      </c>
      <c r="D199" s="4" t="inlineStr">
        <is>
          <t>SKU062</t>
        </is>
      </c>
      <c r="E199" s="4" t="inlineStr">
        <is>
          <t>Dishwash Liquid 750ml</t>
        </is>
      </c>
      <c r="F199" s="4" t="inlineStr">
        <is>
          <t>Home Care</t>
        </is>
      </c>
      <c r="G199" s="4" t="inlineStr">
        <is>
          <t>A</t>
        </is>
      </c>
      <c r="H199" s="4" t="inlineStr">
        <is>
          <t>LOW</t>
        </is>
      </c>
      <c r="I199" s="13" t="n">
        <v>0.85</v>
      </c>
      <c r="J199" s="11" t="n">
        <v>1044</v>
      </c>
      <c r="K199" s="13" t="n">
        <v>1229.5</v>
      </c>
      <c r="L199" s="11" t="n">
        <v>2676</v>
      </c>
      <c r="M199" s="4" t="inlineStr">
        <is>
          <t>PO0031928</t>
        </is>
      </c>
      <c r="N199" s="4" t="inlineStr">
        <is>
          <t>2026-10-09</t>
        </is>
      </c>
      <c r="O199" s="4" t="inlineStr">
        <is>
          <t>COVERED BY INBOUND</t>
        </is>
      </c>
      <c r="P199" s="11" t="n">
        <v>31967</v>
      </c>
    </row>
    <row r="200">
      <c r="A200" s="4" t="inlineStr">
        <is>
          <t>WH12</t>
        </is>
      </c>
      <c r="B200" s="4" t="inlineStr">
        <is>
          <t>Nagpur DC</t>
        </is>
      </c>
      <c r="C200" s="4" t="inlineStr">
        <is>
          <t>Central</t>
        </is>
      </c>
      <c r="D200" s="4" t="inlineStr">
        <is>
          <t>SKU005</t>
        </is>
      </c>
      <c r="E200" s="4" t="inlineStr">
        <is>
          <t>Sunflower Oil 1L</t>
        </is>
      </c>
      <c r="F200" s="4" t="inlineStr">
        <is>
          <t>Packaged Staples</t>
        </is>
      </c>
      <c r="G200" s="4" t="inlineStr">
        <is>
          <t>A</t>
        </is>
      </c>
      <c r="H200" s="4" t="inlineStr">
        <is>
          <t>LOW</t>
        </is>
      </c>
      <c r="I200" s="13" t="n">
        <v>0.58</v>
      </c>
      <c r="J200" s="11" t="n">
        <v>663</v>
      </c>
      <c r="K200" s="13" t="n">
        <v>1138.5</v>
      </c>
      <c r="L200" s="11" t="n">
        <v>3468</v>
      </c>
      <c r="M200" s="4" t="inlineStr">
        <is>
          <t>PO0031816</t>
        </is>
      </c>
      <c r="N200" s="4" t="inlineStr">
        <is>
          <t>2026-10-05</t>
        </is>
      </c>
      <c r="O200" s="4" t="inlineStr">
        <is>
          <t>COVERED BY INBOUND</t>
        </is>
      </c>
      <c r="P200" s="11" t="n">
        <v>31878</v>
      </c>
    </row>
    <row r="201">
      <c r="A201" s="4" t="inlineStr">
        <is>
          <t>WH09</t>
        </is>
      </c>
      <c r="B201" s="4" t="inlineStr">
        <is>
          <t>Hyderabad DC</t>
        </is>
      </c>
      <c r="C201" s="4" t="inlineStr">
        <is>
          <t>South</t>
        </is>
      </c>
      <c r="D201" s="4" t="inlineStr">
        <is>
          <t>SKU088</t>
        </is>
      </c>
      <c r="E201" s="4" t="inlineStr">
        <is>
          <t>Wireless Mouse</t>
        </is>
      </c>
      <c r="F201" s="4" t="inlineStr">
        <is>
          <t>Electronics Accessories</t>
        </is>
      </c>
      <c r="G201" s="4" t="inlineStr">
        <is>
          <t>A</t>
        </is>
      </c>
      <c r="H201" s="4" t="inlineStr">
        <is>
          <t>LOW</t>
        </is>
      </c>
      <c r="I201" s="13" t="n">
        <v>0.93</v>
      </c>
      <c r="J201" s="11" t="n">
        <v>280</v>
      </c>
      <c r="K201" s="13" t="n">
        <v>300.5</v>
      </c>
      <c r="L201" s="11" t="n">
        <v>1150</v>
      </c>
      <c r="M201" s="4" t="inlineStr">
        <is>
          <t>PO0031443</t>
        </is>
      </c>
      <c r="N201" s="4" t="inlineStr">
        <is>
          <t>2026-10-11</t>
        </is>
      </c>
      <c r="O201" s="4" t="inlineStr">
        <is>
          <t>GAP BEFORE ARRIVAL</t>
        </is>
      </c>
      <c r="P201" s="11" t="n">
        <v>31553</v>
      </c>
    </row>
    <row r="202">
      <c r="A202" s="4" t="inlineStr">
        <is>
          <t>WH08</t>
        </is>
      </c>
      <c r="B202" s="4" t="inlineStr">
        <is>
          <t>Chennai DC</t>
        </is>
      </c>
      <c r="C202" s="4" t="inlineStr">
        <is>
          <t>South</t>
        </is>
      </c>
      <c r="D202" s="4" t="inlineStr">
        <is>
          <t>SKU051</t>
        </is>
      </c>
      <c r="E202" s="4" t="inlineStr">
        <is>
          <t>Hair Oil 200ml</t>
        </is>
      </c>
      <c r="F202" s="4" t="inlineStr">
        <is>
          <t>Personal Care</t>
        </is>
      </c>
      <c r="G202" s="4" t="inlineStr">
        <is>
          <t>B</t>
        </is>
      </c>
      <c r="H202" s="4" t="inlineStr">
        <is>
          <t>LOW</t>
        </is>
      </c>
      <c r="I202" s="13" t="n">
        <v>0.76</v>
      </c>
      <c r="J202" s="11" t="n">
        <v>495</v>
      </c>
      <c r="K202" s="13" t="n">
        <v>652.8</v>
      </c>
      <c r="L202" s="11" t="n">
        <v>1596</v>
      </c>
      <c r="M202" s="4" t="inlineStr">
        <is>
          <t>PO0031924</t>
        </is>
      </c>
      <c r="N202" s="4" t="inlineStr">
        <is>
          <t>2026-10-12</t>
        </is>
      </c>
      <c r="O202" s="4" t="inlineStr">
        <is>
          <t>GAP BEFORE ARRIVAL</t>
        </is>
      </c>
      <c r="P202" s="11" t="n">
        <v>30679</v>
      </c>
    </row>
    <row r="203">
      <c r="A203" s="4" t="inlineStr">
        <is>
          <t>WH05</t>
        </is>
      </c>
      <c r="B203" s="4" t="inlineStr">
        <is>
          <t>Pune DC</t>
        </is>
      </c>
      <c r="C203" s="4" t="inlineStr">
        <is>
          <t>West</t>
        </is>
      </c>
      <c r="D203" s="4" t="inlineStr">
        <is>
          <t>SKU108</t>
        </is>
      </c>
      <c r="E203" s="4" t="inlineStr">
        <is>
          <t>BOPP Tape 48mm</t>
        </is>
      </c>
      <c r="F203" s="4" t="inlineStr">
        <is>
          <t>Packaging &amp; Supplies</t>
        </is>
      </c>
      <c r="G203" s="4" t="inlineStr">
        <is>
          <t>A</t>
        </is>
      </c>
      <c r="H203" s="4" t="inlineStr">
        <is>
          <t>LOW</t>
        </is>
      </c>
      <c r="I203" s="13" t="n">
        <v>0.55</v>
      </c>
      <c r="J203" s="11" t="n">
        <v>135</v>
      </c>
      <c r="K203" s="13" t="n">
        <v>243.8</v>
      </c>
      <c r="L203" s="11" t="n">
        <v>880</v>
      </c>
      <c r="M203" s="4" t="inlineStr">
        <is>
          <t>PO0031223</t>
        </is>
      </c>
      <c r="N203" s="4" t="inlineStr">
        <is>
          <t>2026-10-01</t>
        </is>
      </c>
      <c r="O203" s="4" t="inlineStr">
        <is>
          <t>INBOUND OVERDUE</t>
        </is>
      </c>
      <c r="P203" s="11" t="n">
        <v>29981</v>
      </c>
    </row>
    <row r="204">
      <c r="A204" s="4" t="inlineStr">
        <is>
          <t>WH08</t>
        </is>
      </c>
      <c r="B204" s="4" t="inlineStr">
        <is>
          <t>Chennai DC</t>
        </is>
      </c>
      <c r="C204" s="4" t="inlineStr">
        <is>
          <t>South</t>
        </is>
      </c>
      <c r="D204" s="4" t="inlineStr">
        <is>
          <t>SKU028</t>
        </is>
      </c>
      <c r="E204" s="4" t="inlineStr">
        <is>
          <t>Sports Drink 500ml</t>
        </is>
      </c>
      <c r="F204" s="4" t="inlineStr">
        <is>
          <t>Beverages</t>
        </is>
      </c>
      <c r="G204" s="4" t="inlineStr">
        <is>
          <t>A</t>
        </is>
      </c>
      <c r="H204" s="4" t="inlineStr">
        <is>
          <t>LOW</t>
        </is>
      </c>
      <c r="I204" s="13" t="n">
        <v>1.36</v>
      </c>
      <c r="J204" s="11" t="n">
        <v>1938</v>
      </c>
      <c r="K204" s="13" t="n">
        <v>1425.5</v>
      </c>
      <c r="L204" s="11" t="n">
        <v>3336</v>
      </c>
      <c r="M204" s="4" t="inlineStr">
        <is>
          <t>PO0031920</t>
        </is>
      </c>
      <c r="N204" s="4" t="inlineStr">
        <is>
          <t>2026-10-08</t>
        </is>
      </c>
      <c r="O204" s="4" t="inlineStr">
        <is>
          <t>COVERED BY INBOUND</t>
        </is>
      </c>
      <c r="P204" s="11" t="n">
        <v>29936</v>
      </c>
    </row>
    <row r="205">
      <c r="A205" s="4" t="inlineStr">
        <is>
          <t>WH08</t>
        </is>
      </c>
      <c r="B205" s="4" t="inlineStr">
        <is>
          <t>Chennai DC</t>
        </is>
      </c>
      <c r="C205" s="4" t="inlineStr">
        <is>
          <t>South</t>
        </is>
      </c>
      <c r="D205" s="4" t="inlineStr">
        <is>
          <t>SKU119</t>
        </is>
      </c>
      <c r="E205" s="4" t="inlineStr">
        <is>
          <t>Safety Gloves 12pk</t>
        </is>
      </c>
      <c r="F205" s="4" t="inlineStr">
        <is>
          <t>Packaging &amp; Supplies</t>
        </is>
      </c>
      <c r="G205" s="4" t="inlineStr">
        <is>
          <t>A</t>
        </is>
      </c>
      <c r="H205" s="4" t="inlineStr">
        <is>
          <t>LOW</t>
        </is>
      </c>
      <c r="I205" s="13" t="n">
        <v>1.08</v>
      </c>
      <c r="J205" s="11" t="n">
        <v>353</v>
      </c>
      <c r="K205" s="13" t="n">
        <v>326.5</v>
      </c>
      <c r="L205" s="11" t="n">
        <v>700</v>
      </c>
      <c r="M205" s="4" t="inlineStr">
        <is>
          <t>PO0031775</t>
        </is>
      </c>
      <c r="N205" s="4" t="inlineStr">
        <is>
          <t>2026-10-13</t>
        </is>
      </c>
      <c r="O205" s="4" t="inlineStr">
        <is>
          <t>GAP BEFORE ARRIVAL</t>
        </is>
      </c>
      <c r="P205" s="11" t="n">
        <v>29712</v>
      </c>
    </row>
    <row r="206">
      <c r="A206" s="4" t="inlineStr">
        <is>
          <t>WH06</t>
        </is>
      </c>
      <c r="B206" s="4" t="inlineStr">
        <is>
          <t>Ahmedabad DC</t>
        </is>
      </c>
      <c r="C206" s="4" t="inlineStr">
        <is>
          <t>West</t>
        </is>
      </c>
      <c r="D206" s="4" t="inlineStr">
        <is>
          <t>SKU093</t>
        </is>
      </c>
      <c r="E206" s="4" t="inlineStr">
        <is>
          <t>Antacid Syrup 200ml</t>
        </is>
      </c>
      <c r="F206" s="4" t="inlineStr">
        <is>
          <t>OTC Pharma &amp; Wellness</t>
        </is>
      </c>
      <c r="G206" s="4" t="inlineStr">
        <is>
          <t>A</t>
        </is>
      </c>
      <c r="H206" s="4" t="inlineStr">
        <is>
          <t>LOW</t>
        </is>
      </c>
      <c r="I206" s="13" t="n">
        <v>1.22</v>
      </c>
      <c r="J206" s="11" t="n">
        <v>413</v>
      </c>
      <c r="K206" s="13" t="n">
        <v>339.8</v>
      </c>
      <c r="L206" s="11" t="n">
        <v>1140</v>
      </c>
      <c r="M206" s="4" t="inlineStr">
        <is>
          <t>PO0031736</t>
        </is>
      </c>
      <c r="N206" s="4" t="inlineStr">
        <is>
          <t>2026-10-19</t>
        </is>
      </c>
      <c r="O206" s="4" t="inlineStr">
        <is>
          <t>GAP BEFORE ARRIVAL</t>
        </is>
      </c>
      <c r="P206" s="11" t="n">
        <v>28879</v>
      </c>
    </row>
    <row r="207">
      <c r="A207" s="4" t="inlineStr">
        <is>
          <t>WH10</t>
        </is>
      </c>
      <c r="B207" s="4" t="inlineStr">
        <is>
          <t>Kolkata DC</t>
        </is>
      </c>
      <c r="C207" s="4" t="inlineStr">
        <is>
          <t>East</t>
        </is>
      </c>
      <c r="D207" s="4" t="inlineStr">
        <is>
          <t>SKU040</t>
        </is>
      </c>
      <c r="E207" s="4" t="inlineStr">
        <is>
          <t>Wafers 75g</t>
        </is>
      </c>
      <c r="F207" s="4" t="inlineStr">
        <is>
          <t>Snacks &amp; Confectionery</t>
        </is>
      </c>
      <c r="G207" s="4" t="inlineStr">
        <is>
          <t>A</t>
        </is>
      </c>
      <c r="H207" s="4" t="inlineStr">
        <is>
          <t>LOW</t>
        </is>
      </c>
      <c r="I207" s="13" t="n">
        <v>1.23</v>
      </c>
      <c r="J207" s="11" t="n">
        <v>1846</v>
      </c>
      <c r="K207" s="13" t="n">
        <v>1498.5</v>
      </c>
      <c r="L207" s="11" t="n">
        <v>4404</v>
      </c>
      <c r="M207" s="4" t="inlineStr">
        <is>
          <t>PO0031966</t>
        </is>
      </c>
      <c r="N207" s="4" t="inlineStr">
        <is>
          <t>2026-10-07</t>
        </is>
      </c>
      <c r="O207" s="4" t="inlineStr">
        <is>
          <t>COVERED BY INBOUND</t>
        </is>
      </c>
      <c r="P207" s="11" t="n">
        <v>28472</v>
      </c>
    </row>
    <row r="208">
      <c r="A208" s="4" t="inlineStr">
        <is>
          <t>WH05</t>
        </is>
      </c>
      <c r="B208" s="4" t="inlineStr">
        <is>
          <t>Pune DC</t>
        </is>
      </c>
      <c r="C208" s="4" t="inlineStr">
        <is>
          <t>West</t>
        </is>
      </c>
      <c r="D208" s="4" t="inlineStr">
        <is>
          <t>SKU039</t>
        </is>
      </c>
      <c r="E208" s="4" t="inlineStr">
        <is>
          <t>Cookies 200g</t>
        </is>
      </c>
      <c r="F208" s="4" t="inlineStr">
        <is>
          <t>Snacks &amp; Confectionery</t>
        </is>
      </c>
      <c r="G208" s="4" t="inlineStr">
        <is>
          <t>A</t>
        </is>
      </c>
      <c r="H208" s="4" t="inlineStr">
        <is>
          <t>LOW</t>
        </is>
      </c>
      <c r="I208" s="13" t="n">
        <v>1.14</v>
      </c>
      <c r="J208" s="11" t="n">
        <v>1298</v>
      </c>
      <c r="K208" s="13" t="n">
        <v>1140.3</v>
      </c>
      <c r="L208" s="11" t="n">
        <v>0</v>
      </c>
      <c r="M208" s="4" t="n"/>
      <c r="N208" s="4" t="n"/>
      <c r="O208" s="4" t="inlineStr">
        <is>
          <t>NO INBOUND PO</t>
        </is>
      </c>
      <c r="P208" s="11" t="n">
        <v>27366</v>
      </c>
    </row>
    <row r="209">
      <c r="A209" s="4" t="inlineStr">
        <is>
          <t>WH10</t>
        </is>
      </c>
      <c r="B209" s="4" t="inlineStr">
        <is>
          <t>Kolkata DC</t>
        </is>
      </c>
      <c r="C209" s="4" t="inlineStr">
        <is>
          <t>East</t>
        </is>
      </c>
      <c r="D209" s="4" t="inlineStr">
        <is>
          <t>SKU077</t>
        </is>
      </c>
      <c r="E209" s="4" t="inlineStr">
        <is>
          <t>Fast Charger 25W</t>
        </is>
      </c>
      <c r="F209" s="4" t="inlineStr">
        <is>
          <t>Electronics Accessories</t>
        </is>
      </c>
      <c r="G209" s="4" t="inlineStr">
        <is>
          <t>B</t>
        </is>
      </c>
      <c r="H209" s="4" t="inlineStr">
        <is>
          <t>LOW</t>
        </is>
      </c>
      <c r="I209" s="13" t="n">
        <v>0.55</v>
      </c>
      <c r="J209" s="11" t="n">
        <v>147</v>
      </c>
      <c r="K209" s="13" t="n">
        <v>268.5</v>
      </c>
      <c r="L209" s="11" t="n">
        <v>620</v>
      </c>
      <c r="M209" s="4" t="inlineStr">
        <is>
          <t>PO0031142</t>
        </is>
      </c>
      <c r="N209" s="4" t="inlineStr">
        <is>
          <t>2026-10-07</t>
        </is>
      </c>
      <c r="O209" s="4" t="inlineStr">
        <is>
          <t>COVERED BY INBOUND</t>
        </is>
      </c>
      <c r="P209" s="11" t="n">
        <v>27119</v>
      </c>
    </row>
    <row r="210">
      <c r="A210" s="4" t="inlineStr">
        <is>
          <t>WH09</t>
        </is>
      </c>
      <c r="B210" s="4" t="inlineStr">
        <is>
          <t>Hyderabad DC</t>
        </is>
      </c>
      <c r="C210" s="4" t="inlineStr">
        <is>
          <t>South</t>
        </is>
      </c>
      <c r="D210" s="4" t="inlineStr">
        <is>
          <t>SKU059</t>
        </is>
      </c>
      <c r="E210" s="4" t="inlineStr">
        <is>
          <t>Lip Balm</t>
        </is>
      </c>
      <c r="F210" s="4" t="inlineStr">
        <is>
          <t>Personal Care</t>
        </is>
      </c>
      <c r="G210" s="4" t="inlineStr">
        <is>
          <t>B</t>
        </is>
      </c>
      <c r="H210" s="4" t="inlineStr">
        <is>
          <t>LOW</t>
        </is>
      </c>
      <c r="I210" s="13" t="n">
        <v>1</v>
      </c>
      <c r="J210" s="11" t="n">
        <v>563</v>
      </c>
      <c r="K210" s="13" t="n">
        <v>564.3</v>
      </c>
      <c r="L210" s="11" t="n">
        <v>1884</v>
      </c>
      <c r="M210" s="4" t="inlineStr">
        <is>
          <t>PO0031440</t>
        </is>
      </c>
      <c r="N210" s="4" t="inlineStr">
        <is>
          <t>2026-10-01</t>
        </is>
      </c>
      <c r="O210" s="4" t="inlineStr">
        <is>
          <t>INBOUND OVERDUE</t>
        </is>
      </c>
      <c r="P210" s="11" t="n">
        <v>27084</v>
      </c>
    </row>
    <row r="211">
      <c r="A211" s="4" t="inlineStr">
        <is>
          <t>WH06</t>
        </is>
      </c>
      <c r="B211" s="4" t="inlineStr">
        <is>
          <t>Ahmedabad DC</t>
        </is>
      </c>
      <c r="C211" s="4" t="inlineStr">
        <is>
          <t>West</t>
        </is>
      </c>
      <c r="D211" s="4" t="inlineStr">
        <is>
          <t>SKU119</t>
        </is>
      </c>
      <c r="E211" s="4" t="inlineStr">
        <is>
          <t>Safety Gloves 12pk</t>
        </is>
      </c>
      <c r="F211" s="4" t="inlineStr">
        <is>
          <t>Packaging &amp; Supplies</t>
        </is>
      </c>
      <c r="G211" s="4" t="inlineStr">
        <is>
          <t>A</t>
        </is>
      </c>
      <c r="H211" s="4" t="inlineStr">
        <is>
          <t>LOW</t>
        </is>
      </c>
      <c r="I211" s="13" t="n">
        <v>0.96</v>
      </c>
      <c r="J211" s="11" t="n">
        <v>271</v>
      </c>
      <c r="K211" s="13" t="n">
        <v>281.3</v>
      </c>
      <c r="L211" s="11" t="n">
        <v>1020</v>
      </c>
      <c r="M211" s="4" t="inlineStr">
        <is>
          <t>PO0031742</t>
        </is>
      </c>
      <c r="N211" s="4" t="inlineStr">
        <is>
          <t>2026-10-13</t>
        </is>
      </c>
      <c r="O211" s="4" t="inlineStr">
        <is>
          <t>GAP BEFORE ARRIVAL</t>
        </is>
      </c>
      <c r="P211" s="11" t="n">
        <v>25594</v>
      </c>
    </row>
    <row r="212">
      <c r="A212" s="4" t="inlineStr">
        <is>
          <t>WH09</t>
        </is>
      </c>
      <c r="B212" s="4" t="inlineStr">
        <is>
          <t>Hyderabad DC</t>
        </is>
      </c>
      <c r="C212" s="4" t="inlineStr">
        <is>
          <t>South</t>
        </is>
      </c>
      <c r="D212" s="4" t="inlineStr">
        <is>
          <t>SKU061</t>
        </is>
      </c>
      <c r="E212" s="4" t="inlineStr">
        <is>
          <t>Detergent Powder 2kg</t>
        </is>
      </c>
      <c r="F212" s="4" t="inlineStr">
        <is>
          <t>Home Care</t>
        </is>
      </c>
      <c r="G212" s="4" t="inlineStr">
        <is>
          <t>B</t>
        </is>
      </c>
      <c r="H212" s="4" t="inlineStr">
        <is>
          <t>LOW</t>
        </is>
      </c>
      <c r="I212" s="13" t="n">
        <v>0.59</v>
      </c>
      <c r="J212" s="11" t="n">
        <v>526</v>
      </c>
      <c r="K212" s="13" t="n">
        <v>885.8</v>
      </c>
      <c r="L212" s="11" t="n">
        <v>3228</v>
      </c>
      <c r="M212" s="4" t="inlineStr">
        <is>
          <t>PO0031610</t>
        </is>
      </c>
      <c r="N212" s="4" t="inlineStr">
        <is>
          <t>2026-10-06</t>
        </is>
      </c>
      <c r="O212" s="4" t="inlineStr">
        <is>
          <t>COVERED BY INBOUND</t>
        </is>
      </c>
      <c r="P212" s="11" t="n">
        <v>24801</v>
      </c>
    </row>
    <row r="213">
      <c r="A213" s="4" t="inlineStr">
        <is>
          <t>WH08</t>
        </is>
      </c>
      <c r="B213" s="4" t="inlineStr">
        <is>
          <t>Chennai DC</t>
        </is>
      </c>
      <c r="C213" s="4" t="inlineStr">
        <is>
          <t>South</t>
        </is>
      </c>
      <c r="D213" s="4" t="inlineStr">
        <is>
          <t>SKU018</t>
        </is>
      </c>
      <c r="E213" s="4" t="inlineStr">
        <is>
          <t>Mango Drink 1L</t>
        </is>
      </c>
      <c r="F213" s="4" t="inlineStr">
        <is>
          <t>Beverages</t>
        </is>
      </c>
      <c r="G213" s="4" t="inlineStr">
        <is>
          <t>A</t>
        </is>
      </c>
      <c r="H213" s="4" t="inlineStr">
        <is>
          <t>LOW</t>
        </is>
      </c>
      <c r="I213" s="13" t="n">
        <v>1.43</v>
      </c>
      <c r="J213" s="11" t="n">
        <v>2172</v>
      </c>
      <c r="K213" s="13" t="n">
        <v>1514.5</v>
      </c>
      <c r="L213" s="11" t="n">
        <v>0</v>
      </c>
      <c r="M213" s="4" t="n"/>
      <c r="N213" s="4" t="n"/>
      <c r="O213" s="4" t="inlineStr">
        <is>
          <t>NO INBOUND PO</t>
        </is>
      </c>
      <c r="P213" s="11" t="n">
        <v>24232</v>
      </c>
    </row>
    <row r="214">
      <c r="A214" s="4" t="inlineStr">
        <is>
          <t>WH02</t>
        </is>
      </c>
      <c r="B214" s="4" t="inlineStr">
        <is>
          <t>Jaipur DC</t>
        </is>
      </c>
      <c r="C214" s="4" t="inlineStr">
        <is>
          <t>North</t>
        </is>
      </c>
      <c r="D214" s="4" t="inlineStr">
        <is>
          <t>SKU119</t>
        </is>
      </c>
      <c r="E214" s="4" t="inlineStr">
        <is>
          <t>Safety Gloves 12pk</t>
        </is>
      </c>
      <c r="F214" s="4" t="inlineStr">
        <is>
          <t>Packaging &amp; Supplies</t>
        </is>
      </c>
      <c r="G214" s="4" t="inlineStr">
        <is>
          <t>A</t>
        </is>
      </c>
      <c r="H214" s="4" t="inlineStr">
        <is>
          <t>LOW</t>
        </is>
      </c>
      <c r="I214" s="13" t="n">
        <v>1.42</v>
      </c>
      <c r="J214" s="11" t="n">
        <v>371</v>
      </c>
      <c r="K214" s="13" t="n">
        <v>260.5</v>
      </c>
      <c r="L214" s="11" t="n">
        <v>1000</v>
      </c>
      <c r="M214" s="4" t="inlineStr">
        <is>
          <t>PO0031681</t>
        </is>
      </c>
      <c r="N214" s="4" t="inlineStr">
        <is>
          <t>2026-10-10</t>
        </is>
      </c>
      <c r="O214" s="4" t="inlineStr">
        <is>
          <t>COVERED BY INBOUND</t>
        </is>
      </c>
      <c r="P214" s="11" t="n">
        <v>23706</v>
      </c>
    </row>
    <row r="215">
      <c r="A215" s="4" t="inlineStr">
        <is>
          <t>WH09</t>
        </is>
      </c>
      <c r="B215" s="4" t="inlineStr">
        <is>
          <t>Hyderabad DC</t>
        </is>
      </c>
      <c r="C215" s="4" t="inlineStr">
        <is>
          <t>South</t>
        </is>
      </c>
      <c r="D215" s="4" t="inlineStr">
        <is>
          <t>SKU094</t>
        </is>
      </c>
      <c r="E215" s="4" t="inlineStr">
        <is>
          <t>Cough Syrup 100ml</t>
        </is>
      </c>
      <c r="F215" s="4" t="inlineStr">
        <is>
          <t>OTC Pharma &amp; Wellness</t>
        </is>
      </c>
      <c r="G215" s="4" t="inlineStr">
        <is>
          <t>B</t>
        </is>
      </c>
      <c r="H215" s="4" t="inlineStr">
        <is>
          <t>LOW</t>
        </is>
      </c>
      <c r="I215" s="13" t="n">
        <v>1.21</v>
      </c>
      <c r="J215" s="11" t="n">
        <v>432</v>
      </c>
      <c r="K215" s="13" t="n">
        <v>357.3</v>
      </c>
      <c r="L215" s="11" t="n">
        <v>1308</v>
      </c>
      <c r="M215" s="4" t="inlineStr">
        <is>
          <t>PO0031615</t>
        </is>
      </c>
      <c r="N215" s="4" t="inlineStr">
        <is>
          <t>2026-10-08</t>
        </is>
      </c>
      <c r="O215" s="4" t="inlineStr">
        <is>
          <t>COVERED BY INBOUND</t>
        </is>
      </c>
      <c r="P215" s="11" t="n">
        <v>22864</v>
      </c>
    </row>
    <row r="216">
      <c r="A216" s="4" t="inlineStr">
        <is>
          <t>WH04</t>
        </is>
      </c>
      <c r="B216" s="4" t="inlineStr">
        <is>
          <t>Bhiwandi DC</t>
        </is>
      </c>
      <c r="C216" s="4" t="inlineStr">
        <is>
          <t>West</t>
        </is>
      </c>
      <c r="D216" s="4" t="inlineStr">
        <is>
          <t>SKU019</t>
        </is>
      </c>
      <c r="E216" s="4" t="inlineStr">
        <is>
          <t>Packaged Water 1L</t>
        </is>
      </c>
      <c r="F216" s="4" t="inlineStr">
        <is>
          <t>Beverages</t>
        </is>
      </c>
      <c r="G216" s="4" t="inlineStr">
        <is>
          <t>A</t>
        </is>
      </c>
      <c r="H216" s="4" t="inlineStr">
        <is>
          <t>LOW</t>
        </is>
      </c>
      <c r="I216" s="13" t="n">
        <v>1.05</v>
      </c>
      <c r="J216" s="11" t="n">
        <v>2163</v>
      </c>
      <c r="K216" s="13" t="n">
        <v>2067.8</v>
      </c>
      <c r="L216" s="11" t="n">
        <v>13248</v>
      </c>
      <c r="M216" s="4" t="inlineStr">
        <is>
          <t>PO0031702</t>
        </is>
      </c>
      <c r="N216" s="4" t="inlineStr">
        <is>
          <t>2026-10-05</t>
        </is>
      </c>
      <c r="O216" s="4" t="inlineStr">
        <is>
          <t>COVERED BY INBOUND</t>
        </is>
      </c>
      <c r="P216" s="11" t="n">
        <v>22745</v>
      </c>
    </row>
    <row r="217">
      <c r="A217" s="4" t="inlineStr">
        <is>
          <t>WH05</t>
        </is>
      </c>
      <c r="B217" s="4" t="inlineStr">
        <is>
          <t>Pune DC</t>
        </is>
      </c>
      <c r="C217" s="4" t="inlineStr">
        <is>
          <t>West</t>
        </is>
      </c>
      <c r="D217" s="4" t="inlineStr">
        <is>
          <t>SKU058</t>
        </is>
      </c>
      <c r="E217" s="4" t="inlineStr">
        <is>
          <t>Kajal Pack</t>
        </is>
      </c>
      <c r="F217" s="4" t="inlineStr">
        <is>
          <t>Personal Care</t>
        </is>
      </c>
      <c r="G217" s="4" t="inlineStr">
        <is>
          <t>A</t>
        </is>
      </c>
      <c r="H217" s="4" t="inlineStr">
        <is>
          <t>LOW</t>
        </is>
      </c>
      <c r="I217" s="13" t="n">
        <v>1.22</v>
      </c>
      <c r="J217" s="11" t="n">
        <v>260</v>
      </c>
      <c r="K217" s="13" t="n">
        <v>212.8</v>
      </c>
      <c r="L217" s="11" t="n">
        <v>996</v>
      </c>
      <c r="M217" s="4" t="inlineStr">
        <is>
          <t>PO0031879</t>
        </is>
      </c>
      <c r="N217" s="4" t="inlineStr">
        <is>
          <t>2026-10-09</t>
        </is>
      </c>
      <c r="O217" s="4" t="inlineStr">
        <is>
          <t>COVERED BY INBOUND</t>
        </is>
      </c>
      <c r="P217" s="11" t="n">
        <v>22552</v>
      </c>
    </row>
    <row r="218">
      <c r="A218" s="4" t="inlineStr">
        <is>
          <t>WH10</t>
        </is>
      </c>
      <c r="B218" s="4" t="inlineStr">
        <is>
          <t>Kolkata DC</t>
        </is>
      </c>
      <c r="C218" s="4" t="inlineStr">
        <is>
          <t>East</t>
        </is>
      </c>
      <c r="D218" s="4" t="inlineStr">
        <is>
          <t>SKU072</t>
        </is>
      </c>
      <c r="E218" s="4" t="inlineStr">
        <is>
          <t>Phenyl 1L</t>
        </is>
      </c>
      <c r="F218" s="4" t="inlineStr">
        <is>
          <t>Home Care</t>
        </is>
      </c>
      <c r="G218" s="4" t="inlineStr">
        <is>
          <t>B</t>
        </is>
      </c>
      <c r="H218" s="4" t="inlineStr">
        <is>
          <t>LOW</t>
        </is>
      </c>
      <c r="I218" s="13" t="n">
        <v>0.53</v>
      </c>
      <c r="J218" s="11" t="n">
        <v>359</v>
      </c>
      <c r="K218" s="13" t="n">
        <v>677.3</v>
      </c>
      <c r="L218" s="11" t="n">
        <v>2292</v>
      </c>
      <c r="M218" s="4" t="inlineStr">
        <is>
          <t>PO0031801</t>
        </is>
      </c>
      <c r="N218" s="4" t="inlineStr">
        <is>
          <t>2026-10-08</t>
        </is>
      </c>
      <c r="O218" s="4" t="inlineStr">
        <is>
          <t>GAP BEFORE ARRIVAL</t>
        </is>
      </c>
      <c r="P218" s="11" t="n">
        <v>22349</v>
      </c>
    </row>
    <row r="219">
      <c r="A219" s="4" t="inlineStr">
        <is>
          <t>WH07</t>
        </is>
      </c>
      <c r="B219" s="4" t="inlineStr">
        <is>
          <t>Bengaluru DC</t>
        </is>
      </c>
      <c r="C219" s="4" t="inlineStr">
        <is>
          <t>South</t>
        </is>
      </c>
      <c r="D219" s="4" t="inlineStr">
        <is>
          <t>SKU081</t>
        </is>
      </c>
      <c r="E219" s="4" t="inlineStr">
        <is>
          <t>Bluetooth Speaker</t>
        </is>
      </c>
      <c r="F219" s="4" t="inlineStr">
        <is>
          <t>Electronics Accessories</t>
        </is>
      </c>
      <c r="G219" s="4" t="inlineStr">
        <is>
          <t>B</t>
        </is>
      </c>
      <c r="H219" s="4" t="inlineStr">
        <is>
          <t>LOW</t>
        </is>
      </c>
      <c r="I219" s="13" t="n">
        <v>1.11</v>
      </c>
      <c r="J219" s="11" t="n">
        <v>376</v>
      </c>
      <c r="K219" s="13" t="n">
        <v>337.5</v>
      </c>
      <c r="L219" s="11" t="n">
        <v>1090</v>
      </c>
      <c r="M219" s="4" t="inlineStr">
        <is>
          <t>PO0031090</t>
        </is>
      </c>
      <c r="N219" s="4" t="inlineStr">
        <is>
          <t>2026-10-11</t>
        </is>
      </c>
      <c r="O219" s="4" t="inlineStr">
        <is>
          <t>COVERED BY INBOUND</t>
        </is>
      </c>
      <c r="P219" s="11" t="n">
        <v>22275</v>
      </c>
    </row>
    <row r="220">
      <c r="A220" s="4" t="inlineStr">
        <is>
          <t>WH08</t>
        </is>
      </c>
      <c r="B220" s="4" t="inlineStr">
        <is>
          <t>Chennai DC</t>
        </is>
      </c>
      <c r="C220" s="4" t="inlineStr">
        <is>
          <t>South</t>
        </is>
      </c>
      <c r="D220" s="4" t="inlineStr">
        <is>
          <t>SKU040</t>
        </is>
      </c>
      <c r="E220" s="4" t="inlineStr">
        <is>
          <t>Wafers 75g</t>
        </is>
      </c>
      <c r="F220" s="4" t="inlineStr">
        <is>
          <t>Snacks &amp; Confectionery</t>
        </is>
      </c>
      <c r="G220" s="4" t="inlineStr">
        <is>
          <t>A</t>
        </is>
      </c>
      <c r="H220" s="4" t="inlineStr">
        <is>
          <t>LOW</t>
        </is>
      </c>
      <c r="I220" s="13" t="n">
        <v>0.72</v>
      </c>
      <c r="J220" s="11" t="n">
        <v>815</v>
      </c>
      <c r="K220" s="13" t="n">
        <v>1138.5</v>
      </c>
      <c r="L220" s="11" t="n">
        <v>2808</v>
      </c>
      <c r="M220" s="4" t="inlineStr">
        <is>
          <t>PO0031921</t>
        </is>
      </c>
      <c r="N220" s="4" t="inlineStr">
        <is>
          <t>2026-10-07</t>
        </is>
      </c>
      <c r="O220" s="4" t="inlineStr">
        <is>
          <t>COVERED BY INBOUND</t>
        </is>
      </c>
      <c r="P220" s="11" t="n">
        <v>21632</v>
      </c>
    </row>
    <row r="221">
      <c r="A221" s="4" t="inlineStr">
        <is>
          <t>WH05</t>
        </is>
      </c>
      <c r="B221" s="4" t="inlineStr">
        <is>
          <t>Pune DC</t>
        </is>
      </c>
      <c r="C221" s="4" t="inlineStr">
        <is>
          <t>West</t>
        </is>
      </c>
      <c r="D221" s="4" t="inlineStr">
        <is>
          <t>SKU081</t>
        </is>
      </c>
      <c r="E221" s="4" t="inlineStr">
        <is>
          <t>Bluetooth Speaker</t>
        </is>
      </c>
      <c r="F221" s="4" t="inlineStr">
        <is>
          <t>Electronics Accessories</t>
        </is>
      </c>
      <c r="G221" s="4" t="inlineStr">
        <is>
          <t>B</t>
        </is>
      </c>
      <c r="H221" s="4" t="inlineStr">
        <is>
          <t>LOW</t>
        </is>
      </c>
      <c r="I221" s="13" t="n">
        <v>1.09</v>
      </c>
      <c r="J221" s="11" t="n">
        <v>355</v>
      </c>
      <c r="K221" s="13" t="n">
        <v>325</v>
      </c>
      <c r="L221" s="11" t="n">
        <v>2090</v>
      </c>
      <c r="M221" s="4" t="inlineStr">
        <is>
          <t>PO0031057</t>
        </is>
      </c>
      <c r="N221" s="4" t="inlineStr">
        <is>
          <t>2026-10-14</t>
        </is>
      </c>
      <c r="O221" s="4" t="inlineStr">
        <is>
          <t>GAP BEFORE ARRIVAL</t>
        </is>
      </c>
      <c r="P221" s="11" t="n">
        <v>21450</v>
      </c>
    </row>
    <row r="222">
      <c r="A222" s="4" t="inlineStr">
        <is>
          <t>WH06</t>
        </is>
      </c>
      <c r="B222" s="4" t="inlineStr">
        <is>
          <t>Ahmedabad DC</t>
        </is>
      </c>
      <c r="C222" s="4" t="inlineStr">
        <is>
          <t>West</t>
        </is>
      </c>
      <c r="D222" s="4" t="inlineStr">
        <is>
          <t>SKU052</t>
        </is>
      </c>
      <c r="E222" s="4" t="inlineStr">
        <is>
          <t>Deodorant 150ml</t>
        </is>
      </c>
      <c r="F222" s="4" t="inlineStr">
        <is>
          <t>Personal Care</t>
        </is>
      </c>
      <c r="G222" s="4" t="inlineStr">
        <is>
          <t>B</t>
        </is>
      </c>
      <c r="H222" s="4" t="inlineStr">
        <is>
          <t>LOW</t>
        </is>
      </c>
      <c r="I222" s="13" t="n">
        <v>1</v>
      </c>
      <c r="J222" s="11" t="n">
        <v>457</v>
      </c>
      <c r="K222" s="13" t="n">
        <v>458.3</v>
      </c>
      <c r="L222" s="11" t="n">
        <v>1368</v>
      </c>
      <c r="M222" s="4" t="inlineStr">
        <is>
          <t>PO0031730</t>
        </is>
      </c>
      <c r="N222" s="4" t="inlineStr">
        <is>
          <t>2026-10-10</t>
        </is>
      </c>
      <c r="O222" s="4" t="inlineStr">
        <is>
          <t>COVERED BY INBOUND</t>
        </is>
      </c>
      <c r="P222" s="11" t="n">
        <v>21080</v>
      </c>
    </row>
    <row r="223">
      <c r="A223" s="4" t="inlineStr">
        <is>
          <t>WH07</t>
        </is>
      </c>
      <c r="B223" s="4" t="inlineStr">
        <is>
          <t>Bengaluru DC</t>
        </is>
      </c>
      <c r="C223" s="4" t="inlineStr">
        <is>
          <t>South</t>
        </is>
      </c>
      <c r="D223" s="4" t="inlineStr">
        <is>
          <t>SKU013</t>
        </is>
      </c>
      <c r="E223" s="4" t="inlineStr">
        <is>
          <t>Jaggery 1kg</t>
        </is>
      </c>
      <c r="F223" s="4" t="inlineStr">
        <is>
          <t>Packaged Staples</t>
        </is>
      </c>
      <c r="G223" s="4" t="inlineStr">
        <is>
          <t>A</t>
        </is>
      </c>
      <c r="H223" s="4" t="inlineStr">
        <is>
          <t>LOW</t>
        </is>
      </c>
      <c r="I223" s="13" t="n">
        <v>0.9</v>
      </c>
      <c r="J223" s="11" t="n">
        <v>1234</v>
      </c>
      <c r="K223" s="13" t="n">
        <v>1371.5</v>
      </c>
      <c r="L223" s="11" t="n">
        <v>4608</v>
      </c>
      <c r="M223" s="4" t="inlineStr">
        <is>
          <t>PO0031563</t>
        </is>
      </c>
      <c r="N223" s="4" t="inlineStr">
        <is>
          <t>2026-10-03</t>
        </is>
      </c>
      <c r="O223" s="4" t="inlineStr">
        <is>
          <t>INBOUND OVERDUE</t>
        </is>
      </c>
      <c r="P223" s="11" t="n">
        <v>20573</v>
      </c>
    </row>
    <row r="224">
      <c r="A224" s="4" t="inlineStr">
        <is>
          <t>WH03</t>
        </is>
      </c>
      <c r="B224" s="4" t="inlineStr">
        <is>
          <t>Lucknow DC</t>
        </is>
      </c>
      <c r="C224" s="4" t="inlineStr">
        <is>
          <t>North</t>
        </is>
      </c>
      <c r="D224" s="4" t="inlineStr">
        <is>
          <t>SKU039</t>
        </is>
      </c>
      <c r="E224" s="4" t="inlineStr">
        <is>
          <t>Cookies 200g</t>
        </is>
      </c>
      <c r="F224" s="4" t="inlineStr">
        <is>
          <t>Snacks &amp; Confectionery</t>
        </is>
      </c>
      <c r="G224" s="4" t="inlineStr">
        <is>
          <t>A</t>
        </is>
      </c>
      <c r="H224" s="4" t="inlineStr">
        <is>
          <t>LOW</t>
        </is>
      </c>
      <c r="I224" s="13" t="n">
        <v>1.2</v>
      </c>
      <c r="J224" s="11" t="n">
        <v>1020</v>
      </c>
      <c r="K224" s="13" t="n">
        <v>849.5</v>
      </c>
      <c r="L224" s="11" t="n">
        <v>2700</v>
      </c>
      <c r="M224" s="4" t="inlineStr">
        <is>
          <t>PO0031683</t>
        </is>
      </c>
      <c r="N224" s="4" t="inlineStr">
        <is>
          <t>2026-10-07</t>
        </is>
      </c>
      <c r="O224" s="4" t="inlineStr">
        <is>
          <t>COVERED BY INBOUND</t>
        </is>
      </c>
      <c r="P224" s="11" t="n">
        <v>20388</v>
      </c>
    </row>
    <row r="225">
      <c r="A225" s="4" t="inlineStr">
        <is>
          <t>WH09</t>
        </is>
      </c>
      <c r="B225" s="4" t="inlineStr">
        <is>
          <t>Hyderabad DC</t>
        </is>
      </c>
      <c r="C225" s="4" t="inlineStr">
        <is>
          <t>South</t>
        </is>
      </c>
      <c r="D225" s="4" t="inlineStr">
        <is>
          <t>SKU044</t>
        </is>
      </c>
      <c r="E225" s="4" t="inlineStr">
        <is>
          <t>Rusk 300g</t>
        </is>
      </c>
      <c r="F225" s="4" t="inlineStr">
        <is>
          <t>Snacks &amp; Confectionery</t>
        </is>
      </c>
      <c r="G225" s="4" t="inlineStr">
        <is>
          <t>A</t>
        </is>
      </c>
      <c r="H225" s="4" t="inlineStr">
        <is>
          <t>LOW</t>
        </is>
      </c>
      <c r="I225" s="13" t="n">
        <v>1</v>
      </c>
      <c r="J225" s="11" t="n">
        <v>1553</v>
      </c>
      <c r="K225" s="13" t="n">
        <v>1548.8</v>
      </c>
      <c r="L225" s="11" t="n">
        <v>4980</v>
      </c>
      <c r="M225" s="4" t="inlineStr">
        <is>
          <t>PO0031947</t>
        </is>
      </c>
      <c r="N225" s="4" t="inlineStr">
        <is>
          <t>2026-10-09</t>
        </is>
      </c>
      <c r="O225" s="4" t="inlineStr">
        <is>
          <t>COVERED BY INBOUND</t>
        </is>
      </c>
      <c r="P225" s="11" t="n">
        <v>20134</v>
      </c>
    </row>
    <row r="226">
      <c r="A226" s="4" t="inlineStr">
        <is>
          <t>WH10</t>
        </is>
      </c>
      <c r="B226" s="4" t="inlineStr">
        <is>
          <t>Kolkata DC</t>
        </is>
      </c>
      <c r="C226" s="4" t="inlineStr">
        <is>
          <t>East</t>
        </is>
      </c>
      <c r="D226" s="4" t="inlineStr">
        <is>
          <t>SKU033</t>
        </is>
      </c>
      <c r="E226" s="4" t="inlineStr">
        <is>
          <t>Glucose Biscuits 300g</t>
        </is>
      </c>
      <c r="F226" s="4" t="inlineStr">
        <is>
          <t>Snacks &amp; Confectionery</t>
        </is>
      </c>
      <c r="G226" s="4" t="inlineStr">
        <is>
          <t>A</t>
        </is>
      </c>
      <c r="H226" s="4" t="inlineStr">
        <is>
          <t>LOW</t>
        </is>
      </c>
      <c r="I226" s="13" t="n">
        <v>0.7</v>
      </c>
      <c r="J226" s="11" t="n">
        <v>554</v>
      </c>
      <c r="K226" s="13" t="n">
        <v>788.3</v>
      </c>
      <c r="L226" s="11" t="n">
        <v>2628</v>
      </c>
      <c r="M226" s="4" t="inlineStr">
        <is>
          <t>PO0031965</t>
        </is>
      </c>
      <c r="N226" s="4" t="inlineStr">
        <is>
          <t>2026-10-08</t>
        </is>
      </c>
      <c r="O226" s="4" t="inlineStr">
        <is>
          <t>COVERED BY INBOUND</t>
        </is>
      </c>
      <c r="P226" s="11" t="n">
        <v>19706</v>
      </c>
    </row>
    <row r="227">
      <c r="A227" s="4" t="inlineStr">
        <is>
          <t>WH07</t>
        </is>
      </c>
      <c r="B227" s="4" t="inlineStr">
        <is>
          <t>Bengaluru DC</t>
        </is>
      </c>
      <c r="C227" s="4" t="inlineStr">
        <is>
          <t>South</t>
        </is>
      </c>
      <c r="D227" s="4" t="inlineStr">
        <is>
          <t>SKU070</t>
        </is>
      </c>
      <c r="E227" s="4" t="inlineStr">
        <is>
          <t>Scrub Pad 3pk</t>
        </is>
      </c>
      <c r="F227" s="4" t="inlineStr">
        <is>
          <t>Home Care</t>
        </is>
      </c>
      <c r="G227" s="4" t="inlineStr">
        <is>
          <t>A</t>
        </is>
      </c>
      <c r="H227" s="4" t="inlineStr">
        <is>
          <t>LOW</t>
        </is>
      </c>
      <c r="I227" s="13" t="n">
        <v>0.6</v>
      </c>
      <c r="J227" s="11" t="n">
        <v>370</v>
      </c>
      <c r="K227" s="13" t="n">
        <v>615.5</v>
      </c>
      <c r="L227" s="11" t="n">
        <v>1872</v>
      </c>
      <c r="M227" s="4" t="inlineStr">
        <is>
          <t>PO0031750</t>
        </is>
      </c>
      <c r="N227" s="4" t="inlineStr">
        <is>
          <t>2026-10-10</t>
        </is>
      </c>
      <c r="O227" s="4" t="inlineStr">
        <is>
          <t>GAP BEFORE ARRIVAL</t>
        </is>
      </c>
      <c r="P227" s="11" t="n">
        <v>19696</v>
      </c>
    </row>
    <row r="228">
      <c r="A228" s="4" t="inlineStr">
        <is>
          <t>WH08</t>
        </is>
      </c>
      <c r="B228" s="4" t="inlineStr">
        <is>
          <t>Chennai DC</t>
        </is>
      </c>
      <c r="C228" s="4" t="inlineStr">
        <is>
          <t>South</t>
        </is>
      </c>
      <c r="D228" s="4" t="inlineStr">
        <is>
          <t>SKU061</t>
        </is>
      </c>
      <c r="E228" s="4" t="inlineStr">
        <is>
          <t>Detergent Powder 2kg</t>
        </is>
      </c>
      <c r="F228" s="4" t="inlineStr">
        <is>
          <t>Home Care</t>
        </is>
      </c>
      <c r="G228" s="4" t="inlineStr">
        <is>
          <t>B</t>
        </is>
      </c>
      <c r="H228" s="4" t="inlineStr">
        <is>
          <t>LOW</t>
        </is>
      </c>
      <c r="I228" s="13" t="n">
        <v>1.12</v>
      </c>
      <c r="J228" s="11" t="n">
        <v>767</v>
      </c>
      <c r="K228" s="13" t="n">
        <v>686.8</v>
      </c>
      <c r="L228" s="11" t="n">
        <v>0</v>
      </c>
      <c r="M228" s="4" t="n"/>
      <c r="N228" s="4" t="n"/>
      <c r="O228" s="4" t="inlineStr">
        <is>
          <t>NO INBOUND PO</t>
        </is>
      </c>
      <c r="P228" s="11" t="n">
        <v>19229</v>
      </c>
    </row>
    <row r="229">
      <c r="A229" s="4" t="inlineStr">
        <is>
          <t>WH08</t>
        </is>
      </c>
      <c r="B229" s="4" t="inlineStr">
        <is>
          <t>Chennai DC</t>
        </is>
      </c>
      <c r="C229" s="4" t="inlineStr">
        <is>
          <t>South</t>
        </is>
      </c>
      <c r="D229" s="4" t="inlineStr">
        <is>
          <t>SKU042</t>
        </is>
      </c>
      <c r="E229" s="4" t="inlineStr">
        <is>
          <t>Dry Fruit Mix 250g</t>
        </is>
      </c>
      <c r="F229" s="4" t="inlineStr">
        <is>
          <t>Snacks &amp; Confectionery</t>
        </is>
      </c>
      <c r="G229" s="4" t="inlineStr">
        <is>
          <t>A</t>
        </is>
      </c>
      <c r="H229" s="4" t="inlineStr">
        <is>
          <t>LOW</t>
        </is>
      </c>
      <c r="I229" s="13" t="n">
        <v>0.62</v>
      </c>
      <c r="J229" s="11" t="n">
        <v>818</v>
      </c>
      <c r="K229" s="13" t="n">
        <v>1323</v>
      </c>
      <c r="L229" s="11" t="n">
        <v>3252</v>
      </c>
      <c r="M229" s="4" t="inlineStr">
        <is>
          <t>PO0031922</t>
        </is>
      </c>
      <c r="N229" s="4" t="inlineStr">
        <is>
          <t>2026-10-09</t>
        </is>
      </c>
      <c r="O229" s="4" t="inlineStr">
        <is>
          <t>GAP BEFORE ARRIVAL</t>
        </is>
      </c>
      <c r="P229" s="11" t="n">
        <v>18522</v>
      </c>
    </row>
    <row r="230">
      <c r="A230" s="4" t="inlineStr">
        <is>
          <t>WH09</t>
        </is>
      </c>
      <c r="B230" s="4" t="inlineStr">
        <is>
          <t>Hyderabad DC</t>
        </is>
      </c>
      <c r="C230" s="4" t="inlineStr">
        <is>
          <t>South</t>
        </is>
      </c>
      <c r="D230" s="4" t="inlineStr">
        <is>
          <t>SKU119</t>
        </is>
      </c>
      <c r="E230" s="4" t="inlineStr">
        <is>
          <t>Safety Gloves 12pk</t>
        </is>
      </c>
      <c r="F230" s="4" t="inlineStr">
        <is>
          <t>Packaging &amp; Supplies</t>
        </is>
      </c>
      <c r="G230" s="4" t="inlineStr">
        <is>
          <t>A</t>
        </is>
      </c>
      <c r="H230" s="4" t="inlineStr">
        <is>
          <t>LOW</t>
        </is>
      </c>
      <c r="I230" s="13" t="n">
        <v>1.29</v>
      </c>
      <c r="J230" s="11" t="n">
        <v>258</v>
      </c>
      <c r="K230" s="13" t="n">
        <v>200.8</v>
      </c>
      <c r="L230" s="11" t="n">
        <v>660</v>
      </c>
      <c r="M230" s="4" t="inlineStr">
        <is>
          <t>PO0031960</t>
        </is>
      </c>
      <c r="N230" s="4" t="inlineStr">
        <is>
          <t>2026-10-14</t>
        </is>
      </c>
      <c r="O230" s="4" t="inlineStr">
        <is>
          <t>GAP BEFORE ARRIVAL</t>
        </is>
      </c>
      <c r="P230" s="11" t="n">
        <v>18268</v>
      </c>
    </row>
    <row r="231">
      <c r="A231" s="4" t="inlineStr">
        <is>
          <t>WH07</t>
        </is>
      </c>
      <c r="B231" s="4" t="inlineStr">
        <is>
          <t>Bengaluru DC</t>
        </is>
      </c>
      <c r="C231" s="4" t="inlineStr">
        <is>
          <t>South</t>
        </is>
      </c>
      <c r="D231" s="4" t="inlineStr">
        <is>
          <t>SKU037</t>
        </is>
      </c>
      <c r="E231" s="4" t="inlineStr">
        <is>
          <t>Popcorn 60g</t>
        </is>
      </c>
      <c r="F231" s="4" t="inlineStr">
        <is>
          <t>Snacks &amp; Confectionery</t>
        </is>
      </c>
      <c r="G231" s="4" t="inlineStr">
        <is>
          <t>A</t>
        </is>
      </c>
      <c r="H231" s="4" t="inlineStr">
        <is>
          <t>LOW</t>
        </is>
      </c>
      <c r="I231" s="13" t="n">
        <v>1</v>
      </c>
      <c r="J231" s="11" t="n">
        <v>697</v>
      </c>
      <c r="K231" s="13" t="n">
        <v>697.5</v>
      </c>
      <c r="L231" s="11" t="n">
        <v>2436</v>
      </c>
      <c r="M231" s="4" t="inlineStr">
        <is>
          <t>PO0031749</t>
        </is>
      </c>
      <c r="N231" s="4" t="inlineStr">
        <is>
          <t>2026-10-09</t>
        </is>
      </c>
      <c r="O231" s="4" t="inlineStr">
        <is>
          <t>COVERED BY INBOUND</t>
        </is>
      </c>
      <c r="P231" s="11" t="n">
        <v>18135</v>
      </c>
    </row>
    <row r="232">
      <c r="A232" s="4" t="inlineStr">
        <is>
          <t>WH08</t>
        </is>
      </c>
      <c r="B232" s="4" t="inlineStr">
        <is>
          <t>Chennai DC</t>
        </is>
      </c>
      <c r="C232" s="4" t="inlineStr">
        <is>
          <t>South</t>
        </is>
      </c>
      <c r="D232" s="4" t="inlineStr">
        <is>
          <t>SKU022</t>
        </is>
      </c>
      <c r="E232" s="4" t="inlineStr">
        <is>
          <t>Iced Tea 500ml</t>
        </is>
      </c>
      <c r="F232" s="4" t="inlineStr">
        <is>
          <t>Beverages</t>
        </is>
      </c>
      <c r="G232" s="4" t="inlineStr">
        <is>
          <t>A</t>
        </is>
      </c>
      <c r="H232" s="4" t="inlineStr">
        <is>
          <t>LOW</t>
        </is>
      </c>
      <c r="I232" s="13" t="n">
        <v>0.5</v>
      </c>
      <c r="J232" s="11" t="n">
        <v>823</v>
      </c>
      <c r="K232" s="13" t="n">
        <v>1639.3</v>
      </c>
      <c r="L232" s="11" t="n">
        <v>3672</v>
      </c>
      <c r="M232" s="4" t="inlineStr">
        <is>
          <t>PO0031761</t>
        </is>
      </c>
      <c r="N232" s="4" t="inlineStr">
        <is>
          <t>2026-10-06</t>
        </is>
      </c>
      <c r="O232" s="4" t="inlineStr">
        <is>
          <t>COVERED BY INBOUND</t>
        </is>
      </c>
      <c r="P232" s="11" t="n">
        <v>18032</v>
      </c>
    </row>
    <row r="233">
      <c r="A233" s="4" t="inlineStr">
        <is>
          <t>WH03</t>
        </is>
      </c>
      <c r="B233" s="4" t="inlineStr">
        <is>
          <t>Lucknow DC</t>
        </is>
      </c>
      <c r="C233" s="4" t="inlineStr">
        <is>
          <t>North</t>
        </is>
      </c>
      <c r="D233" s="4" t="inlineStr">
        <is>
          <t>SKU111</t>
        </is>
      </c>
      <c r="E233" s="4" t="inlineStr">
        <is>
          <t>Shipping Labels 1000</t>
        </is>
      </c>
      <c r="F233" s="4" t="inlineStr">
        <is>
          <t>Packaging &amp; Supplies</t>
        </is>
      </c>
      <c r="G233" s="4" t="inlineStr">
        <is>
          <t>A</t>
        </is>
      </c>
      <c r="H233" s="4" t="inlineStr">
        <is>
          <t>LOW</t>
        </is>
      </c>
      <c r="I233" s="13" t="n">
        <v>1.06</v>
      </c>
      <c r="J233" s="11" t="n">
        <v>152</v>
      </c>
      <c r="K233" s="13" t="n">
        <v>144</v>
      </c>
      <c r="L233" s="11" t="n">
        <v>640</v>
      </c>
      <c r="M233" s="4" t="inlineStr">
        <is>
          <t>PO0031365</t>
        </is>
      </c>
      <c r="N233" s="4" t="inlineStr">
        <is>
          <t>2026-10-11</t>
        </is>
      </c>
      <c r="O233" s="4" t="inlineStr">
        <is>
          <t>COVERED BY INBOUND</t>
        </is>
      </c>
      <c r="P233" s="11" t="n">
        <v>17856</v>
      </c>
    </row>
    <row r="234">
      <c r="A234" s="4" t="inlineStr">
        <is>
          <t>WH08</t>
        </is>
      </c>
      <c r="B234" s="4" t="inlineStr">
        <is>
          <t>Chennai DC</t>
        </is>
      </c>
      <c r="C234" s="4" t="inlineStr">
        <is>
          <t>South</t>
        </is>
      </c>
      <c r="D234" s="4" t="inlineStr">
        <is>
          <t>SKU070</t>
        </is>
      </c>
      <c r="E234" s="4" t="inlineStr">
        <is>
          <t>Scrub Pad 3pk</t>
        </is>
      </c>
      <c r="F234" s="4" t="inlineStr">
        <is>
          <t>Home Care</t>
        </is>
      </c>
      <c r="G234" s="4" t="inlineStr">
        <is>
          <t>A</t>
        </is>
      </c>
      <c r="H234" s="4" t="inlineStr">
        <is>
          <t>LOW</t>
        </is>
      </c>
      <c r="I234" s="13" t="n">
        <v>1.42</v>
      </c>
      <c r="J234" s="11" t="n">
        <v>743</v>
      </c>
      <c r="K234" s="13" t="n">
        <v>522.8</v>
      </c>
      <c r="L234" s="11" t="n">
        <v>0</v>
      </c>
      <c r="M234" s="4" t="n"/>
      <c r="N234" s="4" t="n"/>
      <c r="O234" s="4" t="inlineStr">
        <is>
          <t>NO INBOUND PO</t>
        </is>
      </c>
      <c r="P234" s="11" t="n">
        <v>16728</v>
      </c>
    </row>
    <row r="235">
      <c r="A235" s="4" t="inlineStr">
        <is>
          <t>WH06</t>
        </is>
      </c>
      <c r="B235" s="4" t="inlineStr">
        <is>
          <t>Ahmedabad DC</t>
        </is>
      </c>
      <c r="C235" s="4" t="inlineStr">
        <is>
          <t>West</t>
        </is>
      </c>
      <c r="D235" s="4" t="inlineStr">
        <is>
          <t>SKU076</t>
        </is>
      </c>
      <c r="E235" s="4" t="inlineStr">
        <is>
          <t>USB-C Cable 1m</t>
        </is>
      </c>
      <c r="F235" s="4" t="inlineStr">
        <is>
          <t>Electronics Accessories</t>
        </is>
      </c>
      <c r="G235" s="4" t="inlineStr">
        <is>
          <t>A</t>
        </is>
      </c>
      <c r="H235" s="4" t="inlineStr">
        <is>
          <t>LOW</t>
        </is>
      </c>
      <c r="I235" s="13" t="n">
        <v>0.64</v>
      </c>
      <c r="J235" s="11" t="n">
        <v>80</v>
      </c>
      <c r="K235" s="13" t="n">
        <v>125.5</v>
      </c>
      <c r="L235" s="11" t="n">
        <v>600</v>
      </c>
      <c r="M235" s="4" t="inlineStr">
        <is>
          <t>PO0031074</t>
        </is>
      </c>
      <c r="N235" s="4" t="inlineStr">
        <is>
          <t>2026-09-29</t>
        </is>
      </c>
      <c r="O235" s="4" t="inlineStr">
        <is>
          <t>INBOUND OVERDUE</t>
        </is>
      </c>
      <c r="P235" s="11" t="n">
        <v>16441</v>
      </c>
    </row>
    <row r="236">
      <c r="A236" s="4" t="inlineStr">
        <is>
          <t>WH03</t>
        </is>
      </c>
      <c r="B236" s="4" t="inlineStr">
        <is>
          <t>Lucknow DC</t>
        </is>
      </c>
      <c r="C236" s="4" t="inlineStr">
        <is>
          <t>North</t>
        </is>
      </c>
      <c r="D236" s="4" t="inlineStr">
        <is>
          <t>SKU119</t>
        </is>
      </c>
      <c r="E236" s="4" t="inlineStr">
        <is>
          <t>Safety Gloves 12pk</t>
        </is>
      </c>
      <c r="F236" s="4" t="inlineStr">
        <is>
          <t>Packaging &amp; Supplies</t>
        </is>
      </c>
      <c r="G236" s="4" t="inlineStr">
        <is>
          <t>A</t>
        </is>
      </c>
      <c r="H236" s="4" t="inlineStr">
        <is>
          <t>LOW</t>
        </is>
      </c>
      <c r="I236" s="13" t="n">
        <v>1.21</v>
      </c>
      <c r="J236" s="11" t="n">
        <v>214</v>
      </c>
      <c r="K236" s="13" t="n">
        <v>177.5</v>
      </c>
      <c r="L236" s="11" t="n">
        <v>640</v>
      </c>
      <c r="M236" s="4" t="inlineStr">
        <is>
          <t>PO0031864</t>
        </is>
      </c>
      <c r="N236" s="4" t="inlineStr">
        <is>
          <t>2026-10-11</t>
        </is>
      </c>
      <c r="O236" s="4" t="inlineStr">
        <is>
          <t>COVERED BY INBOUND</t>
        </is>
      </c>
      <c r="P236" s="11" t="n">
        <v>16153</v>
      </c>
    </row>
    <row r="237">
      <c r="A237" s="4" t="inlineStr">
        <is>
          <t>WH12</t>
        </is>
      </c>
      <c r="B237" s="4" t="inlineStr">
        <is>
          <t>Nagpur DC</t>
        </is>
      </c>
      <c r="C237" s="4" t="inlineStr">
        <is>
          <t>Central</t>
        </is>
      </c>
      <c r="D237" s="4" t="inlineStr">
        <is>
          <t>SKU108</t>
        </is>
      </c>
      <c r="E237" s="4" t="inlineStr">
        <is>
          <t>BOPP Tape 48mm</t>
        </is>
      </c>
      <c r="F237" s="4" t="inlineStr">
        <is>
          <t>Packaging &amp; Supplies</t>
        </is>
      </c>
      <c r="G237" s="4" t="inlineStr">
        <is>
          <t>A</t>
        </is>
      </c>
      <c r="H237" s="4" t="inlineStr">
        <is>
          <t>LOW</t>
        </is>
      </c>
      <c r="I237" s="13" t="n">
        <v>1.06</v>
      </c>
      <c r="J237" s="11" t="n">
        <v>139</v>
      </c>
      <c r="K237" s="13" t="n">
        <v>130.8</v>
      </c>
      <c r="L237" s="11" t="n">
        <v>400</v>
      </c>
      <c r="M237" s="4" t="inlineStr">
        <is>
          <t>PO0031477</t>
        </is>
      </c>
      <c r="N237" s="4" t="inlineStr">
        <is>
          <t>2026-10-07</t>
        </is>
      </c>
      <c r="O237" s="4" t="inlineStr">
        <is>
          <t>COVERED BY INBOUND</t>
        </is>
      </c>
      <c r="P237" s="11" t="n">
        <v>16082</v>
      </c>
    </row>
    <row r="238">
      <c r="A238" s="4" t="inlineStr">
        <is>
          <t>WH09</t>
        </is>
      </c>
      <c r="B238" s="4" t="inlineStr">
        <is>
          <t>Hyderabad DC</t>
        </is>
      </c>
      <c r="C238" s="4" t="inlineStr">
        <is>
          <t>South</t>
        </is>
      </c>
      <c r="D238" s="4" t="inlineStr">
        <is>
          <t>SKU111</t>
        </is>
      </c>
      <c r="E238" s="4" t="inlineStr">
        <is>
          <t>Shipping Labels 1000</t>
        </is>
      </c>
      <c r="F238" s="4" t="inlineStr">
        <is>
          <t>Packaging &amp; Supplies</t>
        </is>
      </c>
      <c r="G238" s="4" t="inlineStr">
        <is>
          <t>A</t>
        </is>
      </c>
      <c r="H238" s="4" t="inlineStr">
        <is>
          <t>LOW</t>
        </is>
      </c>
      <c r="I238" s="13" t="n">
        <v>0.59</v>
      </c>
      <c r="J238" s="11" t="n">
        <v>76</v>
      </c>
      <c r="K238" s="13" t="n">
        <v>129</v>
      </c>
      <c r="L238" s="11" t="n">
        <v>420</v>
      </c>
      <c r="M238" s="4" t="inlineStr">
        <is>
          <t>PO0030764</t>
        </is>
      </c>
      <c r="N238" s="4" t="inlineStr">
        <is>
          <t>2026-09-30</t>
        </is>
      </c>
      <c r="O238" s="4" t="inlineStr">
        <is>
          <t>INBOUND OVERDUE</t>
        </is>
      </c>
      <c r="P238" s="11" t="n">
        <v>15996</v>
      </c>
    </row>
    <row r="239">
      <c r="A239" s="4" t="inlineStr">
        <is>
          <t>WH02</t>
        </is>
      </c>
      <c r="B239" s="4" t="inlineStr">
        <is>
          <t>Jaipur DC</t>
        </is>
      </c>
      <c r="C239" s="4" t="inlineStr">
        <is>
          <t>North</t>
        </is>
      </c>
      <c r="D239" s="4" t="inlineStr">
        <is>
          <t>SKU059</t>
        </is>
      </c>
      <c r="E239" s="4" t="inlineStr">
        <is>
          <t>Lip Balm</t>
        </is>
      </c>
      <c r="F239" s="4" t="inlineStr">
        <is>
          <t>Personal Care</t>
        </is>
      </c>
      <c r="G239" s="4" t="inlineStr">
        <is>
          <t>B</t>
        </is>
      </c>
      <c r="H239" s="4" t="inlineStr">
        <is>
          <t>LOW</t>
        </is>
      </c>
      <c r="I239" s="13" t="n">
        <v>1.14</v>
      </c>
      <c r="J239" s="11" t="n">
        <v>378</v>
      </c>
      <c r="K239" s="13" t="n">
        <v>331.8</v>
      </c>
      <c r="L239" s="11" t="n">
        <v>0</v>
      </c>
      <c r="M239" s="4" t="n"/>
      <c r="N239" s="4" t="n"/>
      <c r="O239" s="4" t="inlineStr">
        <is>
          <t>NO INBOUND PO</t>
        </is>
      </c>
      <c r="P239" s="11" t="n">
        <v>15924</v>
      </c>
    </row>
    <row r="240">
      <c r="A240" s="4" t="inlineStr">
        <is>
          <t>WH08</t>
        </is>
      </c>
      <c r="B240" s="4" t="inlineStr">
        <is>
          <t>Chennai DC</t>
        </is>
      </c>
      <c r="C240" s="4" t="inlineStr">
        <is>
          <t>South</t>
        </is>
      </c>
      <c r="D240" s="4" t="inlineStr">
        <is>
          <t>SKU044</t>
        </is>
      </c>
      <c r="E240" s="4" t="inlineStr">
        <is>
          <t>Rusk 300g</t>
        </is>
      </c>
      <c r="F240" s="4" t="inlineStr">
        <is>
          <t>Snacks &amp; Confectionery</t>
        </is>
      </c>
      <c r="G240" s="4" t="inlineStr">
        <is>
          <t>A</t>
        </is>
      </c>
      <c r="H240" s="4" t="inlineStr">
        <is>
          <t>LOW</t>
        </is>
      </c>
      <c r="I240" s="13" t="n">
        <v>0.52</v>
      </c>
      <c r="J240" s="11" t="n">
        <v>622</v>
      </c>
      <c r="K240" s="13" t="n">
        <v>1206.5</v>
      </c>
      <c r="L240" s="11" t="n">
        <v>2832</v>
      </c>
      <c r="M240" s="4" t="inlineStr">
        <is>
          <t>PO0031923</t>
        </is>
      </c>
      <c r="N240" s="4" t="inlineStr">
        <is>
          <t>2026-10-09</t>
        </is>
      </c>
      <c r="O240" s="4" t="inlineStr">
        <is>
          <t>GAP BEFORE ARRIVAL</t>
        </is>
      </c>
      <c r="P240" s="11" t="n">
        <v>15685</v>
      </c>
    </row>
    <row r="241">
      <c r="A241" s="4" t="inlineStr">
        <is>
          <t>WH10</t>
        </is>
      </c>
      <c r="B241" s="4" t="inlineStr">
        <is>
          <t>Kolkata DC</t>
        </is>
      </c>
      <c r="C241" s="4" t="inlineStr">
        <is>
          <t>East</t>
        </is>
      </c>
      <c r="D241" s="4" t="inlineStr">
        <is>
          <t>SKU034</t>
        </is>
      </c>
      <c r="E241" s="4" t="inlineStr">
        <is>
          <t>Cream Biscuits 120g</t>
        </is>
      </c>
      <c r="F241" s="4" t="inlineStr">
        <is>
          <t>Snacks &amp; Confectionery</t>
        </is>
      </c>
      <c r="G241" s="4" t="inlineStr">
        <is>
          <t>B</t>
        </is>
      </c>
      <c r="H241" s="4" t="inlineStr">
        <is>
          <t>LOW</t>
        </is>
      </c>
      <c r="I241" s="13" t="n">
        <v>0.77</v>
      </c>
      <c r="J241" s="11" t="n">
        <v>979</v>
      </c>
      <c r="K241" s="13" t="n">
        <v>1277.5</v>
      </c>
      <c r="L241" s="11" t="n">
        <v>3756</v>
      </c>
      <c r="M241" s="4" t="inlineStr">
        <is>
          <t>PO0031797</t>
        </is>
      </c>
      <c r="N241" s="4" t="inlineStr">
        <is>
          <t>2026-10-07</t>
        </is>
      </c>
      <c r="O241" s="4" t="inlineStr">
        <is>
          <t>COVERED BY INBOUND</t>
        </is>
      </c>
      <c r="P241" s="11" t="n">
        <v>15330</v>
      </c>
    </row>
    <row r="242">
      <c r="A242" s="4" t="inlineStr">
        <is>
          <t>WH08</t>
        </is>
      </c>
      <c r="B242" s="4" t="inlineStr">
        <is>
          <t>Chennai DC</t>
        </is>
      </c>
      <c r="C242" s="4" t="inlineStr">
        <is>
          <t>South</t>
        </is>
      </c>
      <c r="D242" s="4" t="inlineStr">
        <is>
          <t>SKU046</t>
        </is>
      </c>
      <c r="E242" s="4" t="inlineStr">
        <is>
          <t>Shampoo 340ml</t>
        </is>
      </c>
      <c r="F242" s="4" t="inlineStr">
        <is>
          <t>Personal Care</t>
        </is>
      </c>
      <c r="G242" s="4" t="inlineStr">
        <is>
          <t>C</t>
        </is>
      </c>
      <c r="H242" s="4" t="inlineStr">
        <is>
          <t>LOW</t>
        </is>
      </c>
      <c r="I242" s="13" t="n">
        <v>0.6899999999999999</v>
      </c>
      <c r="J242" s="11" t="n">
        <v>653</v>
      </c>
      <c r="K242" s="13" t="n">
        <v>943.3</v>
      </c>
      <c r="L242" s="11" t="n">
        <v>1728</v>
      </c>
      <c r="M242" s="4" t="inlineStr">
        <is>
          <t>PO0031427</t>
        </is>
      </c>
      <c r="N242" s="4" t="inlineStr">
        <is>
          <t>2026-10-06</t>
        </is>
      </c>
      <c r="O242" s="4" t="inlineStr">
        <is>
          <t>COVERED BY INBOUND</t>
        </is>
      </c>
      <c r="P242" s="11" t="n">
        <v>15092</v>
      </c>
    </row>
    <row r="243">
      <c r="A243" s="4" t="inlineStr">
        <is>
          <t>WH03</t>
        </is>
      </c>
      <c r="B243" s="4" t="inlineStr">
        <is>
          <t>Lucknow DC</t>
        </is>
      </c>
      <c r="C243" s="4" t="inlineStr">
        <is>
          <t>North</t>
        </is>
      </c>
      <c r="D243" s="4" t="inlineStr">
        <is>
          <t>SKU040</t>
        </is>
      </c>
      <c r="E243" s="4" t="inlineStr">
        <is>
          <t>Wafers 75g</t>
        </is>
      </c>
      <c r="F243" s="4" t="inlineStr">
        <is>
          <t>Snacks &amp; Confectionery</t>
        </is>
      </c>
      <c r="G243" s="4" t="inlineStr">
        <is>
          <t>A</t>
        </is>
      </c>
      <c r="H243" s="4" t="inlineStr">
        <is>
          <t>LOW</t>
        </is>
      </c>
      <c r="I243" s="13" t="n">
        <v>1.18</v>
      </c>
      <c r="J243" s="11" t="n">
        <v>926</v>
      </c>
      <c r="K243" s="13" t="n">
        <v>782.8</v>
      </c>
      <c r="L243" s="11" t="n">
        <v>0</v>
      </c>
      <c r="M243" s="4" t="n"/>
      <c r="N243" s="4" t="n"/>
      <c r="O243" s="4" t="inlineStr">
        <is>
          <t>NO INBOUND PO</t>
        </is>
      </c>
      <c r="P243" s="11" t="n">
        <v>14872</v>
      </c>
    </row>
    <row r="244">
      <c r="A244" s="4" t="inlineStr">
        <is>
          <t>WH02</t>
        </is>
      </c>
      <c r="B244" s="4" t="inlineStr">
        <is>
          <t>Jaipur DC</t>
        </is>
      </c>
      <c r="C244" s="4" t="inlineStr">
        <is>
          <t>North</t>
        </is>
      </c>
      <c r="D244" s="4" t="inlineStr">
        <is>
          <t>SKU106</t>
        </is>
      </c>
      <c r="E244" s="4" t="inlineStr">
        <is>
          <t>Corrugated Box 12x12</t>
        </is>
      </c>
      <c r="F244" s="4" t="inlineStr">
        <is>
          <t>Packaging &amp; Supplies</t>
        </is>
      </c>
      <c r="G244" s="4" t="inlineStr">
        <is>
          <t>B</t>
        </is>
      </c>
      <c r="H244" s="4" t="inlineStr">
        <is>
          <t>LOW</t>
        </is>
      </c>
      <c r="I244" s="13" t="n">
        <v>1.27</v>
      </c>
      <c r="J244" s="11" t="n">
        <v>234</v>
      </c>
      <c r="K244" s="13" t="n">
        <v>184.5</v>
      </c>
      <c r="L244" s="11" t="n">
        <v>780</v>
      </c>
      <c r="M244" s="4" t="inlineStr">
        <is>
          <t>PO0031349</t>
        </is>
      </c>
      <c r="N244" s="4" t="inlineStr">
        <is>
          <t>2026-10-11</t>
        </is>
      </c>
      <c r="O244" s="4" t="inlineStr">
        <is>
          <t>COVERED BY INBOUND</t>
        </is>
      </c>
      <c r="P244" s="11" t="n">
        <v>14760</v>
      </c>
    </row>
    <row r="245">
      <c r="A245" s="4" t="inlineStr">
        <is>
          <t>WH09</t>
        </is>
      </c>
      <c r="B245" s="4" t="inlineStr">
        <is>
          <t>Hyderabad DC</t>
        </is>
      </c>
      <c r="C245" s="4" t="inlineStr">
        <is>
          <t>South</t>
        </is>
      </c>
      <c r="D245" s="4" t="inlineStr">
        <is>
          <t>SKU013</t>
        </is>
      </c>
      <c r="E245" s="4" t="inlineStr">
        <is>
          <t>Jaggery 1kg</t>
        </is>
      </c>
      <c r="F245" s="4" t="inlineStr">
        <is>
          <t>Packaged Staples</t>
        </is>
      </c>
      <c r="G245" s="4" t="inlineStr">
        <is>
          <t>A</t>
        </is>
      </c>
      <c r="H245" s="4" t="inlineStr">
        <is>
          <t>LOW</t>
        </is>
      </c>
      <c r="I245" s="13" t="n">
        <v>1</v>
      </c>
      <c r="J245" s="11" t="n">
        <v>979</v>
      </c>
      <c r="K245" s="13" t="n">
        <v>977</v>
      </c>
      <c r="L245" s="11" t="n">
        <v>4104</v>
      </c>
      <c r="M245" s="4" t="inlineStr">
        <is>
          <t>PO0031940</t>
        </is>
      </c>
      <c r="N245" s="4" t="inlineStr">
        <is>
          <t>2026-10-10</t>
        </is>
      </c>
      <c r="O245" s="4" t="inlineStr">
        <is>
          <t>COVERED BY INBOUND</t>
        </is>
      </c>
      <c r="P245" s="11" t="n">
        <v>14655</v>
      </c>
    </row>
    <row r="246">
      <c r="A246" s="4" t="inlineStr">
        <is>
          <t>WH10</t>
        </is>
      </c>
      <c r="B246" s="4" t="inlineStr">
        <is>
          <t>Kolkata DC</t>
        </is>
      </c>
      <c r="C246" s="4" t="inlineStr">
        <is>
          <t>East</t>
        </is>
      </c>
      <c r="D246" s="4" t="inlineStr">
        <is>
          <t>SKU037</t>
        </is>
      </c>
      <c r="E246" s="4" t="inlineStr">
        <is>
          <t>Popcorn 60g</t>
        </is>
      </c>
      <c r="F246" s="4" t="inlineStr">
        <is>
          <t>Snacks &amp; Confectionery</t>
        </is>
      </c>
      <c r="G246" s="4" t="inlineStr">
        <is>
          <t>A</t>
        </is>
      </c>
      <c r="H246" s="4" t="inlineStr">
        <is>
          <t>LOW</t>
        </is>
      </c>
      <c r="I246" s="13" t="n">
        <v>0.8100000000000001</v>
      </c>
      <c r="J246" s="11" t="n">
        <v>456</v>
      </c>
      <c r="K246" s="13" t="n">
        <v>560</v>
      </c>
      <c r="L246" s="11" t="n">
        <v>1788</v>
      </c>
      <c r="M246" s="4" t="inlineStr">
        <is>
          <t>PO0031798</t>
        </is>
      </c>
      <c r="N246" s="4" t="inlineStr">
        <is>
          <t>2026-10-09</t>
        </is>
      </c>
      <c r="O246" s="4" t="inlineStr">
        <is>
          <t>COVERED BY INBOUND</t>
        </is>
      </c>
      <c r="P246" s="11" t="n">
        <v>14560</v>
      </c>
    </row>
    <row r="247">
      <c r="A247" s="4" t="inlineStr">
        <is>
          <t>WH11</t>
        </is>
      </c>
      <c r="B247" s="4" t="inlineStr">
        <is>
          <t>Guwahati DC</t>
        </is>
      </c>
      <c r="C247" s="4" t="inlineStr">
        <is>
          <t>East</t>
        </is>
      </c>
      <c r="D247" s="4" t="inlineStr">
        <is>
          <t>SKU005</t>
        </is>
      </c>
      <c r="E247" s="4" t="inlineStr">
        <is>
          <t>Sunflower Oil 1L</t>
        </is>
      </c>
      <c r="F247" s="4" t="inlineStr">
        <is>
          <t>Packaged Staples</t>
        </is>
      </c>
      <c r="G247" s="4" t="inlineStr">
        <is>
          <t>A</t>
        </is>
      </c>
      <c r="H247" s="4" t="inlineStr">
        <is>
          <t>LOW</t>
        </is>
      </c>
      <c r="I247" s="13" t="n">
        <v>0.68</v>
      </c>
      <c r="J247" s="11" t="n">
        <v>352</v>
      </c>
      <c r="K247" s="13" t="n">
        <v>518</v>
      </c>
      <c r="L247" s="11" t="n">
        <v>0</v>
      </c>
      <c r="M247" s="4" t="n"/>
      <c r="N247" s="4" t="n"/>
      <c r="O247" s="4" t="inlineStr">
        <is>
          <t>NO INBOUND PO</t>
        </is>
      </c>
      <c r="P247" s="11" t="n">
        <v>14504</v>
      </c>
    </row>
    <row r="248">
      <c r="A248" s="4" t="inlineStr">
        <is>
          <t>WH08</t>
        </is>
      </c>
      <c r="B248" s="4" t="inlineStr">
        <is>
          <t>Chennai DC</t>
        </is>
      </c>
      <c r="C248" s="4" t="inlineStr">
        <is>
          <t>South</t>
        </is>
      </c>
      <c r="D248" s="4" t="inlineStr">
        <is>
          <t>SKU088</t>
        </is>
      </c>
      <c r="E248" s="4" t="inlineStr">
        <is>
          <t>Wireless Mouse</t>
        </is>
      </c>
      <c r="F248" s="4" t="inlineStr">
        <is>
          <t>Electronics Accessories</t>
        </is>
      </c>
      <c r="G248" s="4" t="inlineStr">
        <is>
          <t>A</t>
        </is>
      </c>
      <c r="H248" s="4" t="inlineStr">
        <is>
          <t>LOW</t>
        </is>
      </c>
      <c r="I248" s="13" t="n">
        <v>1.04</v>
      </c>
      <c r="J248" s="11" t="n">
        <v>142</v>
      </c>
      <c r="K248" s="13" t="n">
        <v>136.3</v>
      </c>
      <c r="L248" s="11" t="n">
        <v>420</v>
      </c>
      <c r="M248" s="4" t="inlineStr">
        <is>
          <t>PO0031931</t>
        </is>
      </c>
      <c r="N248" s="4" t="inlineStr">
        <is>
          <t>2026-10-19</t>
        </is>
      </c>
      <c r="O248" s="4" t="inlineStr">
        <is>
          <t>GAP BEFORE ARRIVAL</t>
        </is>
      </c>
      <c r="P248" s="11" t="n">
        <v>14306</v>
      </c>
    </row>
    <row r="249">
      <c r="A249" s="4" t="inlineStr">
        <is>
          <t>WH05</t>
        </is>
      </c>
      <c r="B249" s="4" t="inlineStr">
        <is>
          <t>Pune DC</t>
        </is>
      </c>
      <c r="C249" s="4" t="inlineStr">
        <is>
          <t>West</t>
        </is>
      </c>
      <c r="D249" s="4" t="inlineStr">
        <is>
          <t>SKU106</t>
        </is>
      </c>
      <c r="E249" s="4" t="inlineStr">
        <is>
          <t>Corrugated Box 12x12</t>
        </is>
      </c>
      <c r="F249" s="4" t="inlineStr">
        <is>
          <t>Packaging &amp; Supplies</t>
        </is>
      </c>
      <c r="G249" s="4" t="inlineStr">
        <is>
          <t>B</t>
        </is>
      </c>
      <c r="H249" s="4" t="inlineStr">
        <is>
          <t>LOW</t>
        </is>
      </c>
      <c r="I249" s="13" t="n">
        <v>0.88</v>
      </c>
      <c r="J249" s="11" t="n">
        <v>156</v>
      </c>
      <c r="K249" s="13" t="n">
        <v>176.5</v>
      </c>
      <c r="L249" s="11" t="n">
        <v>620</v>
      </c>
      <c r="M249" s="4" t="inlineStr">
        <is>
          <t>PO0031222</t>
        </is>
      </c>
      <c r="N249" s="4" t="inlineStr">
        <is>
          <t>2026-10-08</t>
        </is>
      </c>
      <c r="O249" s="4" t="inlineStr">
        <is>
          <t>COVERED BY INBOUND</t>
        </is>
      </c>
      <c r="P249" s="11" t="n">
        <v>14120</v>
      </c>
    </row>
    <row r="250">
      <c r="A250" s="4" t="inlineStr">
        <is>
          <t>WH07</t>
        </is>
      </c>
      <c r="B250" s="4" t="inlineStr">
        <is>
          <t>Bengaluru DC</t>
        </is>
      </c>
      <c r="C250" s="4" t="inlineStr">
        <is>
          <t>South</t>
        </is>
      </c>
      <c r="D250" s="4" t="inlineStr">
        <is>
          <t>SKU105</t>
        </is>
      </c>
      <c r="E250" s="4" t="inlineStr">
        <is>
          <t>Face Masks 50pk</t>
        </is>
      </c>
      <c r="F250" s="4" t="inlineStr">
        <is>
          <t>OTC Pharma &amp; Wellness</t>
        </is>
      </c>
      <c r="G250" s="4" t="inlineStr">
        <is>
          <t>C</t>
        </is>
      </c>
      <c r="H250" s="4" t="inlineStr">
        <is>
          <t>LOW</t>
        </is>
      </c>
      <c r="I250" s="13" t="n">
        <v>0.86</v>
      </c>
      <c r="J250" s="11" t="n">
        <v>401</v>
      </c>
      <c r="K250" s="13" t="n">
        <v>467.3</v>
      </c>
      <c r="L250" s="11" t="n">
        <v>1488</v>
      </c>
      <c r="M250" s="4" t="inlineStr">
        <is>
          <t>PO0031578</t>
        </is>
      </c>
      <c r="N250" s="4" t="inlineStr">
        <is>
          <t>2026-10-06</t>
        </is>
      </c>
      <c r="O250" s="4" t="inlineStr">
        <is>
          <t>COVERED BY INBOUND</t>
        </is>
      </c>
      <c r="P250" s="11" t="n">
        <v>13550</v>
      </c>
    </row>
    <row r="251">
      <c r="A251" s="4" t="inlineStr">
        <is>
          <t>WH08</t>
        </is>
      </c>
      <c r="B251" s="4" t="inlineStr">
        <is>
          <t>Chennai DC</t>
        </is>
      </c>
      <c r="C251" s="4" t="inlineStr">
        <is>
          <t>South</t>
        </is>
      </c>
      <c r="D251" s="4" t="inlineStr">
        <is>
          <t>SKU066</t>
        </is>
      </c>
      <c r="E251" s="4" t="inlineStr">
        <is>
          <t>Fabric Softener 1L</t>
        </is>
      </c>
      <c r="F251" s="4" t="inlineStr">
        <is>
          <t>Home Care</t>
        </is>
      </c>
      <c r="G251" s="4" t="inlineStr">
        <is>
          <t>B</t>
        </is>
      </c>
      <c r="H251" s="4" t="inlineStr">
        <is>
          <t>LOW</t>
        </is>
      </c>
      <c r="I251" s="13" t="n">
        <v>1.49</v>
      </c>
      <c r="J251" s="11" t="n">
        <v>1431</v>
      </c>
      <c r="K251" s="13" t="n">
        <v>962.8</v>
      </c>
      <c r="L251" s="11" t="n">
        <v>0</v>
      </c>
      <c r="M251" s="4" t="n"/>
      <c r="N251" s="4" t="n"/>
      <c r="O251" s="4" t="inlineStr">
        <is>
          <t>NO INBOUND PO</t>
        </is>
      </c>
      <c r="P251" s="11" t="n">
        <v>13479</v>
      </c>
    </row>
    <row r="252">
      <c r="A252" s="4" t="inlineStr">
        <is>
          <t>WH07</t>
        </is>
      </c>
      <c r="B252" s="4" t="inlineStr">
        <is>
          <t>Bengaluru DC</t>
        </is>
      </c>
      <c r="C252" s="4" t="inlineStr">
        <is>
          <t>South</t>
        </is>
      </c>
      <c r="D252" s="4" t="inlineStr">
        <is>
          <t>SKU011</t>
        </is>
      </c>
      <c r="E252" s="4" t="inlineStr">
        <is>
          <t>Besan 1kg</t>
        </is>
      </c>
      <c r="F252" s="4" t="inlineStr">
        <is>
          <t>Packaged Staples</t>
        </is>
      </c>
      <c r="G252" s="4" t="inlineStr">
        <is>
          <t>A</t>
        </is>
      </c>
      <c r="H252" s="4" t="inlineStr">
        <is>
          <t>LOW</t>
        </is>
      </c>
      <c r="I252" s="13" t="n">
        <v>0.92</v>
      </c>
      <c r="J252" s="11" t="n">
        <v>1009</v>
      </c>
      <c r="K252" s="13" t="n">
        <v>1099.8</v>
      </c>
      <c r="L252" s="11" t="n">
        <v>3336</v>
      </c>
      <c r="M252" s="4" t="inlineStr">
        <is>
          <t>PO0031746</t>
        </is>
      </c>
      <c r="N252" s="4" t="inlineStr">
        <is>
          <t>2026-10-08</t>
        </is>
      </c>
      <c r="O252" s="4" t="inlineStr">
        <is>
          <t>COVERED BY INBOUND</t>
        </is>
      </c>
      <c r="P252" s="11" t="n">
        <v>13197</v>
      </c>
    </row>
    <row r="253">
      <c r="A253" s="4" t="inlineStr">
        <is>
          <t>WH08</t>
        </is>
      </c>
      <c r="B253" s="4" t="inlineStr">
        <is>
          <t>Chennai DC</t>
        </is>
      </c>
      <c r="C253" s="4" t="inlineStr">
        <is>
          <t>South</t>
        </is>
      </c>
      <c r="D253" s="4" t="inlineStr">
        <is>
          <t>SKU094</t>
        </is>
      </c>
      <c r="E253" s="4" t="inlineStr">
        <is>
          <t>Cough Syrup 100ml</t>
        </is>
      </c>
      <c r="F253" s="4" t="inlineStr">
        <is>
          <t>OTC Pharma &amp; Wellness</t>
        </is>
      </c>
      <c r="G253" s="4" t="inlineStr">
        <is>
          <t>B</t>
        </is>
      </c>
      <c r="H253" s="4" t="inlineStr">
        <is>
          <t>LOW</t>
        </is>
      </c>
      <c r="I253" s="13" t="n">
        <v>0.5600000000000001</v>
      </c>
      <c r="J253" s="11" t="n">
        <v>110</v>
      </c>
      <c r="K253" s="13" t="n">
        <v>198</v>
      </c>
      <c r="L253" s="11" t="n">
        <v>468</v>
      </c>
      <c r="M253" s="4" t="inlineStr">
        <is>
          <t>PO0031431</t>
        </is>
      </c>
      <c r="N253" s="4" t="inlineStr">
        <is>
          <t>2026-10-07</t>
        </is>
      </c>
      <c r="O253" s="4" t="inlineStr">
        <is>
          <t>COVERED BY INBOUND</t>
        </is>
      </c>
      <c r="P253" s="11" t="n">
        <v>12672</v>
      </c>
    </row>
    <row r="254">
      <c r="A254" s="4" t="inlineStr">
        <is>
          <t>WH08</t>
        </is>
      </c>
      <c r="B254" s="4" t="inlineStr">
        <is>
          <t>Chennai DC</t>
        </is>
      </c>
      <c r="C254" s="4" t="inlineStr">
        <is>
          <t>South</t>
        </is>
      </c>
      <c r="D254" s="4" t="inlineStr">
        <is>
          <t>SKU099</t>
        </is>
      </c>
      <c r="E254" s="4" t="inlineStr">
        <is>
          <t>Digital Thermometer</t>
        </is>
      </c>
      <c r="F254" s="4" t="inlineStr">
        <is>
          <t>OTC Pharma &amp; Wellness</t>
        </is>
      </c>
      <c r="G254" s="4" t="inlineStr">
        <is>
          <t>B</t>
        </is>
      </c>
      <c r="H254" s="4" t="inlineStr">
        <is>
          <t>LOW</t>
        </is>
      </c>
      <c r="I254" s="13" t="n">
        <v>1.46</v>
      </c>
      <c r="J254" s="11" t="n">
        <v>768</v>
      </c>
      <c r="K254" s="13" t="n">
        <v>526.5</v>
      </c>
      <c r="L254" s="11" t="n">
        <v>1428</v>
      </c>
      <c r="M254" s="4" t="inlineStr">
        <is>
          <t>PO0031935</t>
        </is>
      </c>
      <c r="N254" s="4" t="inlineStr">
        <is>
          <t>2026-10-17</t>
        </is>
      </c>
      <c r="O254" s="4" t="inlineStr">
        <is>
          <t>GAP BEFORE ARRIVAL</t>
        </is>
      </c>
      <c r="P254" s="11" t="n">
        <v>12636</v>
      </c>
    </row>
    <row r="255">
      <c r="A255" s="4" t="inlineStr">
        <is>
          <t>WH09</t>
        </is>
      </c>
      <c r="B255" s="4" t="inlineStr">
        <is>
          <t>Hyderabad DC</t>
        </is>
      </c>
      <c r="C255" s="4" t="inlineStr">
        <is>
          <t>South</t>
        </is>
      </c>
      <c r="D255" s="4" t="inlineStr">
        <is>
          <t>SKU037</t>
        </is>
      </c>
      <c r="E255" s="4" t="inlineStr">
        <is>
          <t>Popcorn 60g</t>
        </is>
      </c>
      <c r="F255" s="4" t="inlineStr">
        <is>
          <t>Snacks &amp; Confectionery</t>
        </is>
      </c>
      <c r="G255" s="4" t="inlineStr">
        <is>
          <t>A</t>
        </is>
      </c>
      <c r="H255" s="4" t="inlineStr">
        <is>
          <t>LOW</t>
        </is>
      </c>
      <c r="I255" s="13" t="n">
        <v>1.46</v>
      </c>
      <c r="J255" s="11" t="n">
        <v>706</v>
      </c>
      <c r="K255" s="13" t="n">
        <v>483.8</v>
      </c>
      <c r="L255" s="11" t="n">
        <v>1500</v>
      </c>
      <c r="M255" s="4" t="inlineStr">
        <is>
          <t>PO0031780</t>
        </is>
      </c>
      <c r="N255" s="4" t="inlineStr">
        <is>
          <t>2026-10-09</t>
        </is>
      </c>
      <c r="O255" s="4" t="inlineStr">
        <is>
          <t>COVERED BY INBOUND</t>
        </is>
      </c>
      <c r="P255" s="11" t="n">
        <v>12578</v>
      </c>
    </row>
    <row r="256">
      <c r="A256" s="4" t="inlineStr">
        <is>
          <t>WH10</t>
        </is>
      </c>
      <c r="B256" s="4" t="inlineStr">
        <is>
          <t>Kolkata DC</t>
        </is>
      </c>
      <c r="C256" s="4" t="inlineStr">
        <is>
          <t>East</t>
        </is>
      </c>
      <c r="D256" s="4" t="inlineStr">
        <is>
          <t>SKU065</t>
        </is>
      </c>
      <c r="E256" s="4" t="inlineStr">
        <is>
          <t>Glass Cleaner 500ml</t>
        </is>
      </c>
      <c r="F256" s="4" t="inlineStr">
        <is>
          <t>Home Care</t>
        </is>
      </c>
      <c r="G256" s="4" t="inlineStr">
        <is>
          <t>B</t>
        </is>
      </c>
      <c r="H256" s="4" t="inlineStr">
        <is>
          <t>LOW</t>
        </is>
      </c>
      <c r="I256" s="13" t="n">
        <v>0.9</v>
      </c>
      <c r="J256" s="11" t="n">
        <v>562</v>
      </c>
      <c r="K256" s="13" t="n">
        <v>622.3</v>
      </c>
      <c r="L256" s="11" t="n">
        <v>2064</v>
      </c>
      <c r="M256" s="4" t="inlineStr">
        <is>
          <t>PO0031624</t>
        </is>
      </c>
      <c r="N256" s="4" t="inlineStr">
        <is>
          <t>2026-10-07</t>
        </is>
      </c>
      <c r="O256" s="4" t="inlineStr">
        <is>
          <t>COVERED BY INBOUND</t>
        </is>
      </c>
      <c r="P256" s="11" t="n">
        <v>12445</v>
      </c>
    </row>
    <row r="257">
      <c r="A257" s="4" t="inlineStr">
        <is>
          <t>WH08</t>
        </is>
      </c>
      <c r="B257" s="4" t="inlineStr">
        <is>
          <t>Chennai DC</t>
        </is>
      </c>
      <c r="C257" s="4" t="inlineStr">
        <is>
          <t>South</t>
        </is>
      </c>
      <c r="D257" s="4" t="inlineStr">
        <is>
          <t>SKU019</t>
        </is>
      </c>
      <c r="E257" s="4" t="inlineStr">
        <is>
          <t>Packaged Water 1L</t>
        </is>
      </c>
      <c r="F257" s="4" t="inlineStr">
        <is>
          <t>Beverages</t>
        </is>
      </c>
      <c r="G257" s="4" t="inlineStr">
        <is>
          <t>A</t>
        </is>
      </c>
      <c r="H257" s="4" t="inlineStr">
        <is>
          <t>LOW</t>
        </is>
      </c>
      <c r="I257" s="13" t="n">
        <v>0.71</v>
      </c>
      <c r="J257" s="11" t="n">
        <v>806</v>
      </c>
      <c r="K257" s="13" t="n">
        <v>1130.5</v>
      </c>
      <c r="L257" s="11" t="n">
        <v>2520</v>
      </c>
      <c r="M257" s="4" t="inlineStr">
        <is>
          <t>PO0031917</t>
        </is>
      </c>
      <c r="N257" s="4" t="inlineStr">
        <is>
          <t>2026-10-09</t>
        </is>
      </c>
      <c r="O257" s="4" t="inlineStr">
        <is>
          <t>GAP BEFORE ARRIVAL</t>
        </is>
      </c>
      <c r="P257" s="11" t="n">
        <v>12436</v>
      </c>
    </row>
    <row r="258">
      <c r="A258" s="4" t="inlineStr">
        <is>
          <t>WH10</t>
        </is>
      </c>
      <c r="B258" s="4" t="inlineStr">
        <is>
          <t>Kolkata DC</t>
        </is>
      </c>
      <c r="C258" s="4" t="inlineStr">
        <is>
          <t>East</t>
        </is>
      </c>
      <c r="D258" s="4" t="inlineStr">
        <is>
          <t>SKU017</t>
        </is>
      </c>
      <c r="E258" s="4" t="inlineStr">
        <is>
          <t>Lemon Soda 600ml</t>
        </is>
      </c>
      <c r="F258" s="4" t="inlineStr">
        <is>
          <t>Beverages</t>
        </is>
      </c>
      <c r="G258" s="4" t="inlineStr">
        <is>
          <t>B</t>
        </is>
      </c>
      <c r="H258" s="4" t="inlineStr">
        <is>
          <t>LOW</t>
        </is>
      </c>
      <c r="I258" s="13" t="n">
        <v>0.87</v>
      </c>
      <c r="J258" s="11" t="n">
        <v>1343</v>
      </c>
      <c r="K258" s="13" t="n">
        <v>1541.8</v>
      </c>
      <c r="L258" s="11" t="n">
        <v>4560</v>
      </c>
      <c r="M258" s="4" t="inlineStr">
        <is>
          <t>PO0031963</t>
        </is>
      </c>
      <c r="N258" s="4" t="inlineStr">
        <is>
          <t>2026-10-08</t>
        </is>
      </c>
      <c r="O258" s="4" t="inlineStr">
        <is>
          <t>COVERED BY INBOUND</t>
        </is>
      </c>
      <c r="P258" s="11" t="n">
        <v>12334</v>
      </c>
    </row>
    <row r="259">
      <c r="A259" s="4" t="inlineStr">
        <is>
          <t>WH05</t>
        </is>
      </c>
      <c r="B259" s="4" t="inlineStr">
        <is>
          <t>Pune DC</t>
        </is>
      </c>
      <c r="C259" s="4" t="inlineStr">
        <is>
          <t>West</t>
        </is>
      </c>
      <c r="D259" s="4" t="inlineStr">
        <is>
          <t>SKU101</t>
        </is>
      </c>
      <c r="E259" s="4" t="inlineStr">
        <is>
          <t>Vitamin C 30s</t>
        </is>
      </c>
      <c r="F259" s="4" t="inlineStr">
        <is>
          <t>OTC Pharma &amp; Wellness</t>
        </is>
      </c>
      <c r="G259" s="4" t="inlineStr">
        <is>
          <t>B</t>
        </is>
      </c>
      <c r="H259" s="4" t="inlineStr">
        <is>
          <t>LOW</t>
        </is>
      </c>
      <c r="I259" s="13" t="n">
        <v>1.16</v>
      </c>
      <c r="J259" s="11" t="n">
        <v>231</v>
      </c>
      <c r="K259" s="13" t="n">
        <v>199.8</v>
      </c>
      <c r="L259" s="11" t="n">
        <v>828</v>
      </c>
      <c r="M259" s="4" t="inlineStr">
        <is>
          <t>PO0031544</t>
        </is>
      </c>
      <c r="N259" s="4" t="inlineStr">
        <is>
          <t>2026-10-10</t>
        </is>
      </c>
      <c r="O259" s="4" t="inlineStr">
        <is>
          <t>COVERED BY INBOUND</t>
        </is>
      </c>
      <c r="P259" s="11" t="n">
        <v>12185</v>
      </c>
    </row>
    <row r="260">
      <c r="A260" s="4" t="inlineStr">
        <is>
          <t>WH07</t>
        </is>
      </c>
      <c r="B260" s="4" t="inlineStr">
        <is>
          <t>Bengaluru DC</t>
        </is>
      </c>
      <c r="C260" s="4" t="inlineStr">
        <is>
          <t>South</t>
        </is>
      </c>
      <c r="D260" s="4" t="inlineStr">
        <is>
          <t>SKU007</t>
        </is>
      </c>
      <c r="E260" s="4" t="inlineStr">
        <is>
          <t>Sugar 1kg</t>
        </is>
      </c>
      <c r="F260" s="4" t="inlineStr">
        <is>
          <t>Packaged Staples</t>
        </is>
      </c>
      <c r="G260" s="4" t="inlineStr">
        <is>
          <t>A</t>
        </is>
      </c>
      <c r="H260" s="4" t="inlineStr">
        <is>
          <t>LOW</t>
        </is>
      </c>
      <c r="I260" s="13" t="n">
        <v>1.34</v>
      </c>
      <c r="J260" s="11" t="n">
        <v>1162</v>
      </c>
      <c r="K260" s="13" t="n">
        <v>865.8</v>
      </c>
      <c r="L260" s="11" t="n">
        <v>2784</v>
      </c>
      <c r="M260" s="4" t="inlineStr">
        <is>
          <t>PO0031562</t>
        </is>
      </c>
      <c r="N260" s="4" t="inlineStr">
        <is>
          <t>2026-10-05</t>
        </is>
      </c>
      <c r="O260" s="4" t="inlineStr">
        <is>
          <t>COVERED BY INBOUND</t>
        </is>
      </c>
      <c r="P260" s="11" t="n">
        <v>12121</v>
      </c>
    </row>
    <row r="261">
      <c r="A261" s="4" t="inlineStr">
        <is>
          <t>WH06</t>
        </is>
      </c>
      <c r="B261" s="4" t="inlineStr">
        <is>
          <t>Ahmedabad DC</t>
        </is>
      </c>
      <c r="C261" s="4" t="inlineStr">
        <is>
          <t>West</t>
        </is>
      </c>
      <c r="D261" s="4" t="inlineStr">
        <is>
          <t>SKU007</t>
        </is>
      </c>
      <c r="E261" s="4" t="inlineStr">
        <is>
          <t>Sugar 1kg</t>
        </is>
      </c>
      <c r="F261" s="4" t="inlineStr">
        <is>
          <t>Packaged Staples</t>
        </is>
      </c>
      <c r="G261" s="4" t="inlineStr">
        <is>
          <t>A</t>
        </is>
      </c>
      <c r="H261" s="4" t="inlineStr">
        <is>
          <t>LOW</t>
        </is>
      </c>
      <c r="I261" s="13" t="n">
        <v>0.64</v>
      </c>
      <c r="J261" s="11" t="n">
        <v>550</v>
      </c>
      <c r="K261" s="13" t="n">
        <v>857.5</v>
      </c>
      <c r="L261" s="11" t="n">
        <v>3684</v>
      </c>
      <c r="M261" s="4" t="inlineStr">
        <is>
          <t>PO0031548</t>
        </is>
      </c>
      <c r="N261" s="4" t="inlineStr">
        <is>
          <t>2026-10-05</t>
        </is>
      </c>
      <c r="O261" s="4" t="inlineStr">
        <is>
          <t>COVERED BY INBOUND</t>
        </is>
      </c>
      <c r="P261" s="11" t="n">
        <v>12005</v>
      </c>
    </row>
    <row r="262">
      <c r="A262" s="4" t="inlineStr">
        <is>
          <t>WH10</t>
        </is>
      </c>
      <c r="B262" s="4" t="inlineStr">
        <is>
          <t>Kolkata DC</t>
        </is>
      </c>
      <c r="C262" s="4" t="inlineStr">
        <is>
          <t>East</t>
        </is>
      </c>
      <c r="D262" s="4" t="inlineStr">
        <is>
          <t>SKU062</t>
        </is>
      </c>
      <c r="E262" s="4" t="inlineStr">
        <is>
          <t>Dishwash Liquid 750ml</t>
        </is>
      </c>
      <c r="F262" s="4" t="inlineStr">
        <is>
          <t>Home Care</t>
        </is>
      </c>
      <c r="G262" s="4" t="inlineStr">
        <is>
          <t>A</t>
        </is>
      </c>
      <c r="H262" s="4" t="inlineStr">
        <is>
          <t>LOW</t>
        </is>
      </c>
      <c r="I262" s="13" t="n">
        <v>1.27</v>
      </c>
      <c r="J262" s="11" t="n">
        <v>582</v>
      </c>
      <c r="K262" s="13" t="n">
        <v>458.5</v>
      </c>
      <c r="L262" s="11" t="n">
        <v>1716</v>
      </c>
      <c r="M262" s="4" t="inlineStr">
        <is>
          <t>PO0031969</t>
        </is>
      </c>
      <c r="N262" s="4" t="inlineStr">
        <is>
          <t>2026-10-09</t>
        </is>
      </c>
      <c r="O262" s="4" t="inlineStr">
        <is>
          <t>COVERED BY INBOUND</t>
        </is>
      </c>
      <c r="P262" s="11" t="n">
        <v>11921</v>
      </c>
    </row>
    <row r="263">
      <c r="A263" s="4" t="inlineStr">
        <is>
          <t>WH11</t>
        </is>
      </c>
      <c r="B263" s="4" t="inlineStr">
        <is>
          <t>Guwahati DC</t>
        </is>
      </c>
      <c r="C263" s="4" t="inlineStr">
        <is>
          <t>East</t>
        </is>
      </c>
      <c r="D263" s="4" t="inlineStr">
        <is>
          <t>SKU050</t>
        </is>
      </c>
      <c r="E263" s="4" t="inlineStr">
        <is>
          <t>Body Lotion 400ml</t>
        </is>
      </c>
      <c r="F263" s="4" t="inlineStr">
        <is>
          <t>Personal Care</t>
        </is>
      </c>
      <c r="G263" s="4" t="inlineStr">
        <is>
          <t>B</t>
        </is>
      </c>
      <c r="H263" s="4" t="inlineStr">
        <is>
          <t>LOW</t>
        </is>
      </c>
      <c r="I263" s="13" t="n">
        <v>1</v>
      </c>
      <c r="J263" s="11" t="n">
        <v>311</v>
      </c>
      <c r="K263" s="13" t="n">
        <v>311</v>
      </c>
      <c r="L263" s="11" t="n">
        <v>0</v>
      </c>
      <c r="M263" s="4" t="n"/>
      <c r="N263" s="4" t="n"/>
      <c r="O263" s="4" t="inlineStr">
        <is>
          <t>NO INBOUND PO</t>
        </is>
      </c>
      <c r="P263" s="11" t="n">
        <v>11507</v>
      </c>
    </row>
    <row r="264">
      <c r="A264" s="4" t="inlineStr">
        <is>
          <t>WH12</t>
        </is>
      </c>
      <c r="B264" s="4" t="inlineStr">
        <is>
          <t>Nagpur DC</t>
        </is>
      </c>
      <c r="C264" s="4" t="inlineStr">
        <is>
          <t>Central</t>
        </is>
      </c>
      <c r="D264" s="4" t="inlineStr">
        <is>
          <t>SKU085</t>
        </is>
      </c>
      <c r="E264" s="4" t="inlineStr">
        <is>
          <t>Extension Board 4-socket</t>
        </is>
      </c>
      <c r="F264" s="4" t="inlineStr">
        <is>
          <t>Electronics Accessories</t>
        </is>
      </c>
      <c r="G264" s="4" t="inlineStr">
        <is>
          <t>B</t>
        </is>
      </c>
      <c r="H264" s="4" t="inlineStr">
        <is>
          <t>LOW</t>
        </is>
      </c>
      <c r="I264" s="13" t="n">
        <v>1.25</v>
      </c>
      <c r="J264" s="11" t="n">
        <v>151</v>
      </c>
      <c r="K264" s="13" t="n">
        <v>120.8</v>
      </c>
      <c r="L264" s="11" t="n">
        <v>700</v>
      </c>
      <c r="M264" s="4" t="inlineStr">
        <is>
          <t>PO0031832</t>
        </is>
      </c>
      <c r="N264" s="4" t="inlineStr">
        <is>
          <t>2026-10-19</t>
        </is>
      </c>
      <c r="O264" s="4" t="inlineStr">
        <is>
          <t>GAP BEFORE ARRIVAL</t>
        </is>
      </c>
      <c r="P264" s="11" t="n">
        <v>11471</v>
      </c>
    </row>
    <row r="265">
      <c r="A265" s="4" t="inlineStr">
        <is>
          <t>WH03</t>
        </is>
      </c>
      <c r="B265" s="4" t="inlineStr">
        <is>
          <t>Lucknow DC</t>
        </is>
      </c>
      <c r="C265" s="4" t="inlineStr">
        <is>
          <t>North</t>
        </is>
      </c>
      <c r="D265" s="4" t="inlineStr">
        <is>
          <t>SKU004</t>
        </is>
      </c>
      <c r="E265" s="4" t="inlineStr">
        <is>
          <t>Moong Dal 1kg</t>
        </is>
      </c>
      <c r="F265" s="4" t="inlineStr">
        <is>
          <t>Packaged Staples</t>
        </is>
      </c>
      <c r="G265" s="4" t="inlineStr">
        <is>
          <t>B</t>
        </is>
      </c>
      <c r="H265" s="4" t="inlineStr">
        <is>
          <t>LOW</t>
        </is>
      </c>
      <c r="I265" s="13" t="n">
        <v>0.65</v>
      </c>
      <c r="J265" s="11" t="n">
        <v>672</v>
      </c>
      <c r="K265" s="13" t="n">
        <v>1033.3</v>
      </c>
      <c r="L265" s="11" t="n">
        <v>3564</v>
      </c>
      <c r="M265" s="4" t="inlineStr">
        <is>
          <t>PO0031353</t>
        </is>
      </c>
      <c r="N265" s="4" t="inlineStr">
        <is>
          <t>2026-09-29</t>
        </is>
      </c>
      <c r="O265" s="4" t="inlineStr">
        <is>
          <t>INBOUND OVERDUE</t>
        </is>
      </c>
      <c r="P265" s="11" t="n">
        <v>11366</v>
      </c>
    </row>
    <row r="266">
      <c r="A266" s="4" t="inlineStr">
        <is>
          <t>WH12</t>
        </is>
      </c>
      <c r="B266" s="4" t="inlineStr">
        <is>
          <t>Nagpur DC</t>
        </is>
      </c>
      <c r="C266" s="4" t="inlineStr">
        <is>
          <t>Central</t>
        </is>
      </c>
      <c r="D266" s="4" t="inlineStr">
        <is>
          <t>SKU059</t>
        </is>
      </c>
      <c r="E266" s="4" t="inlineStr">
        <is>
          <t>Lip Balm</t>
        </is>
      </c>
      <c r="F266" s="4" t="inlineStr">
        <is>
          <t>Personal Care</t>
        </is>
      </c>
      <c r="G266" s="4" t="inlineStr">
        <is>
          <t>B</t>
        </is>
      </c>
      <c r="H266" s="4" t="inlineStr">
        <is>
          <t>LOW</t>
        </is>
      </c>
      <c r="I266" s="13" t="n">
        <v>1.17</v>
      </c>
      <c r="J266" s="11" t="n">
        <v>274</v>
      </c>
      <c r="K266" s="13" t="n">
        <v>233.5</v>
      </c>
      <c r="L266" s="11" t="n">
        <v>828</v>
      </c>
      <c r="M266" s="4" t="inlineStr">
        <is>
          <t>PO0031826</t>
        </is>
      </c>
      <c r="N266" s="4" t="inlineStr">
        <is>
          <t>2026-10-08</t>
        </is>
      </c>
      <c r="O266" s="4" t="inlineStr">
        <is>
          <t>COVERED BY INBOUND</t>
        </is>
      </c>
      <c r="P266" s="11" t="n">
        <v>11208</v>
      </c>
    </row>
    <row r="267">
      <c r="A267" s="4" t="inlineStr">
        <is>
          <t>WH09</t>
        </is>
      </c>
      <c r="B267" s="4" t="inlineStr">
        <is>
          <t>Hyderabad DC</t>
        </is>
      </c>
      <c r="C267" s="4" t="inlineStr">
        <is>
          <t>South</t>
        </is>
      </c>
      <c r="D267" s="4" t="inlineStr">
        <is>
          <t>SKU008</t>
        </is>
      </c>
      <c r="E267" s="4" t="inlineStr">
        <is>
          <t>Iodized Salt 1kg</t>
        </is>
      </c>
      <c r="F267" s="4" t="inlineStr">
        <is>
          <t>Packaged Staples</t>
        </is>
      </c>
      <c r="G267" s="4" t="inlineStr">
        <is>
          <t>A</t>
        </is>
      </c>
      <c r="H267" s="4" t="inlineStr">
        <is>
          <t>LOW</t>
        </is>
      </c>
      <c r="I267" s="13" t="n">
        <v>1.31</v>
      </c>
      <c r="J267" s="11" t="n">
        <v>916</v>
      </c>
      <c r="K267" s="13" t="n">
        <v>697.5</v>
      </c>
      <c r="L267" s="11" t="n">
        <v>2652</v>
      </c>
      <c r="M267" s="4" t="inlineStr">
        <is>
          <t>PO0031776</t>
        </is>
      </c>
      <c r="N267" s="4" t="inlineStr">
        <is>
          <t>2026-10-10</t>
        </is>
      </c>
      <c r="O267" s="4" t="inlineStr">
        <is>
          <t>COVERED BY INBOUND</t>
        </is>
      </c>
      <c r="P267" s="11" t="n">
        <v>11160</v>
      </c>
    </row>
    <row r="268">
      <c r="A268" s="4" t="inlineStr">
        <is>
          <t>WH07</t>
        </is>
      </c>
      <c r="B268" s="4" t="inlineStr">
        <is>
          <t>Bengaluru DC</t>
        </is>
      </c>
      <c r="C268" s="4" t="inlineStr">
        <is>
          <t>South</t>
        </is>
      </c>
      <c r="D268" s="4" t="inlineStr">
        <is>
          <t>SKU045</t>
        </is>
      </c>
      <c r="E268" s="4" t="inlineStr">
        <is>
          <t>Candy Pack 150g</t>
        </is>
      </c>
      <c r="F268" s="4" t="inlineStr">
        <is>
          <t>Snacks &amp; Confectionery</t>
        </is>
      </c>
      <c r="G268" s="4" t="inlineStr">
        <is>
          <t>C</t>
        </is>
      </c>
      <c r="H268" s="4" t="inlineStr">
        <is>
          <t>LOW</t>
        </is>
      </c>
      <c r="I268" s="13" t="n">
        <v>1.2</v>
      </c>
      <c r="J268" s="11" t="n">
        <v>2628</v>
      </c>
      <c r="K268" s="13" t="n">
        <v>2194.5</v>
      </c>
      <c r="L268" s="11" t="n">
        <v>8196</v>
      </c>
      <c r="M268" s="4" t="inlineStr">
        <is>
          <t>PO0031903</t>
        </is>
      </c>
      <c r="N268" s="4" t="inlineStr">
        <is>
          <t>2026-10-10</t>
        </is>
      </c>
      <c r="O268" s="4" t="inlineStr">
        <is>
          <t>COVERED BY INBOUND</t>
        </is>
      </c>
      <c r="P268" s="11" t="n">
        <v>10973</v>
      </c>
    </row>
    <row r="269">
      <c r="A269" s="4" t="inlineStr">
        <is>
          <t>WH10</t>
        </is>
      </c>
      <c r="B269" s="4" t="inlineStr">
        <is>
          <t>Kolkata DC</t>
        </is>
      </c>
      <c r="C269" s="4" t="inlineStr">
        <is>
          <t>East</t>
        </is>
      </c>
      <c r="D269" s="4" t="inlineStr">
        <is>
          <t>SKU091</t>
        </is>
      </c>
      <c r="E269" s="4" t="inlineStr">
        <is>
          <t>Paracetamol 500mg 15s</t>
        </is>
      </c>
      <c r="F269" s="4" t="inlineStr">
        <is>
          <t>OTC Pharma &amp; Wellness</t>
        </is>
      </c>
      <c r="G269" s="4" t="inlineStr">
        <is>
          <t>C</t>
        </is>
      </c>
      <c r="H269" s="4" t="inlineStr">
        <is>
          <t>LOW</t>
        </is>
      </c>
      <c r="I269" s="13" t="n">
        <v>0.62</v>
      </c>
      <c r="J269" s="11" t="n">
        <v>220</v>
      </c>
      <c r="K269" s="13" t="n">
        <v>353.3</v>
      </c>
      <c r="L269" s="11" t="n">
        <v>1224</v>
      </c>
      <c r="M269" s="4" t="inlineStr">
        <is>
          <t>PO0031626</t>
        </is>
      </c>
      <c r="N269" s="4" t="inlineStr">
        <is>
          <t>2026-10-08</t>
        </is>
      </c>
      <c r="O269" s="4" t="inlineStr">
        <is>
          <t>COVERED BY INBOUND</t>
        </is>
      </c>
      <c r="P269" s="11" t="n">
        <v>10951</v>
      </c>
    </row>
    <row r="270">
      <c r="A270" s="4" t="inlineStr">
        <is>
          <t>WH10</t>
        </is>
      </c>
      <c r="B270" s="4" t="inlineStr">
        <is>
          <t>Kolkata DC</t>
        </is>
      </c>
      <c r="C270" s="4" t="inlineStr">
        <is>
          <t>East</t>
        </is>
      </c>
      <c r="D270" s="4" t="inlineStr">
        <is>
          <t>SKU023</t>
        </is>
      </c>
      <c r="E270" s="4" t="inlineStr">
        <is>
          <t>Coconut Water 200ml</t>
        </is>
      </c>
      <c r="F270" s="4" t="inlineStr">
        <is>
          <t>Beverages</t>
        </is>
      </c>
      <c r="G270" s="4" t="inlineStr">
        <is>
          <t>A</t>
        </is>
      </c>
      <c r="H270" s="4" t="inlineStr">
        <is>
          <t>LOW</t>
        </is>
      </c>
      <c r="I270" s="13" t="n">
        <v>1.41</v>
      </c>
      <c r="J270" s="11" t="n">
        <v>1546</v>
      </c>
      <c r="K270" s="13" t="n">
        <v>1094</v>
      </c>
      <c r="L270" s="11" t="n">
        <v>4704</v>
      </c>
      <c r="M270" s="4" t="inlineStr">
        <is>
          <t>PO0031791</t>
        </is>
      </c>
      <c r="N270" s="4" t="inlineStr">
        <is>
          <t>2026-10-09</t>
        </is>
      </c>
      <c r="O270" s="4" t="inlineStr">
        <is>
          <t>COVERED BY INBOUND</t>
        </is>
      </c>
      <c r="P270" s="11" t="n">
        <v>10940</v>
      </c>
    </row>
    <row r="271">
      <c r="A271" s="4" t="inlineStr">
        <is>
          <t>WH05</t>
        </is>
      </c>
      <c r="B271" s="4" t="inlineStr">
        <is>
          <t>Pune DC</t>
        </is>
      </c>
      <c r="C271" s="4" t="inlineStr">
        <is>
          <t>West</t>
        </is>
      </c>
      <c r="D271" s="4" t="inlineStr">
        <is>
          <t>SKU019</t>
        </is>
      </c>
      <c r="E271" s="4" t="inlineStr">
        <is>
          <t>Packaged Water 1L</t>
        </is>
      </c>
      <c r="F271" s="4" t="inlineStr">
        <is>
          <t>Beverages</t>
        </is>
      </c>
      <c r="G271" s="4" t="inlineStr">
        <is>
          <t>A</t>
        </is>
      </c>
      <c r="H271" s="4" t="inlineStr">
        <is>
          <t>LOW</t>
        </is>
      </c>
      <c r="I271" s="13" t="n">
        <v>0.93</v>
      </c>
      <c r="J271" s="11" t="n">
        <v>921</v>
      </c>
      <c r="K271" s="13" t="n">
        <v>987.3</v>
      </c>
      <c r="L271" s="11" t="n">
        <v>3024</v>
      </c>
      <c r="M271" s="4" t="inlineStr">
        <is>
          <t>PO0031714</t>
        </is>
      </c>
      <c r="N271" s="4" t="inlineStr">
        <is>
          <t>2026-10-05</t>
        </is>
      </c>
      <c r="O271" s="4" t="inlineStr">
        <is>
          <t>COVERED BY INBOUND</t>
        </is>
      </c>
      <c r="P271" s="11" t="n">
        <v>10860</v>
      </c>
    </row>
    <row r="272">
      <c r="A272" s="4" t="inlineStr">
        <is>
          <t>WH05</t>
        </is>
      </c>
      <c r="B272" s="4" t="inlineStr">
        <is>
          <t>Pune DC</t>
        </is>
      </c>
      <c r="C272" s="4" t="inlineStr">
        <is>
          <t>West</t>
        </is>
      </c>
      <c r="D272" s="4" t="inlineStr">
        <is>
          <t>SKU072</t>
        </is>
      </c>
      <c r="E272" s="4" t="inlineStr">
        <is>
          <t>Phenyl 1L</t>
        </is>
      </c>
      <c r="F272" s="4" t="inlineStr">
        <is>
          <t>Home Care</t>
        </is>
      </c>
      <c r="G272" s="4" t="inlineStr">
        <is>
          <t>B</t>
        </is>
      </c>
      <c r="H272" s="4" t="inlineStr">
        <is>
          <t>LOW</t>
        </is>
      </c>
      <c r="I272" s="13" t="n">
        <v>0.58</v>
      </c>
      <c r="J272" s="11" t="n">
        <v>189</v>
      </c>
      <c r="K272" s="13" t="n">
        <v>327.8</v>
      </c>
      <c r="L272" s="11" t="n">
        <v>1212</v>
      </c>
      <c r="M272" s="4" t="inlineStr">
        <is>
          <t>PO0031882</t>
        </is>
      </c>
      <c r="N272" s="4" t="inlineStr">
        <is>
          <t>2026-10-06</t>
        </is>
      </c>
      <c r="O272" s="4" t="inlineStr">
        <is>
          <t>COVERED BY INBOUND</t>
        </is>
      </c>
      <c r="P272" s="11" t="n">
        <v>10816</v>
      </c>
    </row>
    <row r="273">
      <c r="A273" s="4" t="inlineStr">
        <is>
          <t>WH06</t>
        </is>
      </c>
      <c r="B273" s="4" t="inlineStr">
        <is>
          <t>Ahmedabad DC</t>
        </is>
      </c>
      <c r="C273" s="4" t="inlineStr">
        <is>
          <t>West</t>
        </is>
      </c>
      <c r="D273" s="4" t="inlineStr">
        <is>
          <t>SKU003</t>
        </is>
      </c>
      <c r="E273" s="4" t="inlineStr">
        <is>
          <t>Toor Dal 1kg</t>
        </is>
      </c>
      <c r="F273" s="4" t="inlineStr">
        <is>
          <t>Packaged Staples</t>
        </is>
      </c>
      <c r="G273" s="4" t="inlineStr">
        <is>
          <t>A</t>
        </is>
      </c>
      <c r="H273" s="4" t="inlineStr">
        <is>
          <t>LOW</t>
        </is>
      </c>
      <c r="I273" s="13" t="n">
        <v>0.84</v>
      </c>
      <c r="J273" s="11" t="n">
        <v>1106</v>
      </c>
      <c r="K273" s="13" t="n">
        <v>1318.8</v>
      </c>
      <c r="L273" s="11" t="n">
        <v>0</v>
      </c>
      <c r="M273" s="4" t="n"/>
      <c r="N273" s="4" t="n"/>
      <c r="O273" s="4" t="inlineStr">
        <is>
          <t>NO INBOUND PO</t>
        </is>
      </c>
      <c r="P273" s="11" t="n">
        <v>10550</v>
      </c>
    </row>
    <row r="274">
      <c r="A274" s="4" t="inlineStr">
        <is>
          <t>WH11</t>
        </is>
      </c>
      <c r="B274" s="4" t="inlineStr">
        <is>
          <t>Guwahati DC</t>
        </is>
      </c>
      <c r="C274" s="4" t="inlineStr">
        <is>
          <t>East</t>
        </is>
      </c>
      <c r="D274" s="4" t="inlineStr">
        <is>
          <t>SKU088</t>
        </is>
      </c>
      <c r="E274" s="4" t="inlineStr">
        <is>
          <t>Wireless Mouse</t>
        </is>
      </c>
      <c r="F274" s="4" t="inlineStr">
        <is>
          <t>Electronics Accessories</t>
        </is>
      </c>
      <c r="G274" s="4" t="inlineStr">
        <is>
          <t>A</t>
        </is>
      </c>
      <c r="H274" s="4" t="inlineStr">
        <is>
          <t>LOW</t>
        </is>
      </c>
      <c r="I274" s="13" t="n">
        <v>1.15</v>
      </c>
      <c r="J274" s="11" t="n">
        <v>115</v>
      </c>
      <c r="K274" s="13" t="n">
        <v>100.3</v>
      </c>
      <c r="L274" s="11" t="n">
        <v>420</v>
      </c>
      <c r="M274" s="4" t="inlineStr">
        <is>
          <t>PO0031814</t>
        </is>
      </c>
      <c r="N274" s="4" t="inlineStr">
        <is>
          <t>2026-10-24</t>
        </is>
      </c>
      <c r="O274" s="4" t="inlineStr">
        <is>
          <t>GAP BEFORE ARRIVAL</t>
        </is>
      </c>
      <c r="P274" s="11" t="n">
        <v>10526</v>
      </c>
    </row>
    <row r="275">
      <c r="A275" s="4" t="inlineStr">
        <is>
          <t>WH03</t>
        </is>
      </c>
      <c r="B275" s="4" t="inlineStr">
        <is>
          <t>Lucknow DC</t>
        </is>
      </c>
      <c r="C275" s="4" t="inlineStr">
        <is>
          <t>North</t>
        </is>
      </c>
      <c r="D275" s="4" t="inlineStr">
        <is>
          <t>SKU077</t>
        </is>
      </c>
      <c r="E275" s="4" t="inlineStr">
        <is>
          <t>Fast Charger 25W</t>
        </is>
      </c>
      <c r="F275" s="4" t="inlineStr">
        <is>
          <t>Electronics Accessories</t>
        </is>
      </c>
      <c r="G275" s="4" t="inlineStr">
        <is>
          <t>B</t>
        </is>
      </c>
      <c r="H275" s="4" t="inlineStr">
        <is>
          <t>LOW</t>
        </is>
      </c>
      <c r="I275" s="13" t="n">
        <v>1.47</v>
      </c>
      <c r="J275" s="11" t="n">
        <v>152</v>
      </c>
      <c r="K275" s="13" t="n">
        <v>103.5</v>
      </c>
      <c r="L275" s="11" t="n">
        <v>450</v>
      </c>
      <c r="M275" s="4" t="inlineStr">
        <is>
          <t>PO0031023</t>
        </is>
      </c>
      <c r="N275" s="4" t="inlineStr">
        <is>
          <t>2026-10-07</t>
        </is>
      </c>
      <c r="O275" s="4" t="inlineStr">
        <is>
          <t>COVERED BY INBOUND</t>
        </is>
      </c>
      <c r="P275" s="11" t="n">
        <v>10454</v>
      </c>
    </row>
    <row r="276">
      <c r="A276" s="4" t="inlineStr">
        <is>
          <t>WH05</t>
        </is>
      </c>
      <c r="B276" s="4" t="inlineStr">
        <is>
          <t>Pune DC</t>
        </is>
      </c>
      <c r="C276" s="4" t="inlineStr">
        <is>
          <t>West</t>
        </is>
      </c>
      <c r="D276" s="4" t="inlineStr">
        <is>
          <t>SKU009</t>
        </is>
      </c>
      <c r="E276" s="4" t="inlineStr">
        <is>
          <t>Tea Leaves 500g</t>
        </is>
      </c>
      <c r="F276" s="4" t="inlineStr">
        <is>
          <t>Packaged Staples</t>
        </is>
      </c>
      <c r="G276" s="4" t="inlineStr">
        <is>
          <t>A</t>
        </is>
      </c>
      <c r="H276" s="4" t="inlineStr">
        <is>
          <t>LOW</t>
        </is>
      </c>
      <c r="I276" s="13" t="n">
        <v>1.25</v>
      </c>
      <c r="J276" s="11" t="n">
        <v>993</v>
      </c>
      <c r="K276" s="13" t="n">
        <v>795.3</v>
      </c>
      <c r="L276" s="11" t="n">
        <v>2136</v>
      </c>
      <c r="M276" s="4" t="inlineStr">
        <is>
          <t>PO0031871</t>
        </is>
      </c>
      <c r="N276" s="4" t="inlineStr">
        <is>
          <t>2026-10-12</t>
        </is>
      </c>
      <c r="O276" s="4" t="inlineStr">
        <is>
          <t>COVERED BY INBOUND</t>
        </is>
      </c>
      <c r="P276" s="11" t="n">
        <v>10338</v>
      </c>
    </row>
    <row r="277">
      <c r="A277" s="4" t="inlineStr">
        <is>
          <t>WH11</t>
        </is>
      </c>
      <c r="B277" s="4" t="inlineStr">
        <is>
          <t>Guwahati DC</t>
        </is>
      </c>
      <c r="C277" s="4" t="inlineStr">
        <is>
          <t>East</t>
        </is>
      </c>
      <c r="D277" s="4" t="inlineStr">
        <is>
          <t>SKU027</t>
        </is>
      </c>
      <c r="E277" s="4" t="inlineStr">
        <is>
          <t>Lassi 200ml</t>
        </is>
      </c>
      <c r="F277" s="4" t="inlineStr">
        <is>
          <t>Beverages</t>
        </is>
      </c>
      <c r="G277" s="4" t="inlineStr">
        <is>
          <t>A</t>
        </is>
      </c>
      <c r="H277" s="4" t="inlineStr">
        <is>
          <t>LOW</t>
        </is>
      </c>
      <c r="I277" s="13" t="n">
        <v>0.83</v>
      </c>
      <c r="J277" s="11" t="n">
        <v>705</v>
      </c>
      <c r="K277" s="13" t="n">
        <v>853.8</v>
      </c>
      <c r="L277" s="11" t="n">
        <v>0</v>
      </c>
      <c r="M277" s="4" t="n"/>
      <c r="N277" s="4" t="n"/>
      <c r="O277" s="4" t="inlineStr">
        <is>
          <t>NO INBOUND PO</t>
        </is>
      </c>
      <c r="P277" s="11" t="n">
        <v>10245</v>
      </c>
    </row>
    <row r="278">
      <c r="A278" s="4" t="inlineStr">
        <is>
          <t>WH02</t>
        </is>
      </c>
      <c r="B278" s="4" t="inlineStr">
        <is>
          <t>Jaipur DC</t>
        </is>
      </c>
      <c r="C278" s="4" t="inlineStr">
        <is>
          <t>North</t>
        </is>
      </c>
      <c r="D278" s="4" t="inlineStr">
        <is>
          <t>SKU108</t>
        </is>
      </c>
      <c r="E278" s="4" t="inlineStr">
        <is>
          <t>BOPP Tape 48mm</t>
        </is>
      </c>
      <c r="F278" s="4" t="inlineStr">
        <is>
          <t>Packaging &amp; Supplies</t>
        </is>
      </c>
      <c r="G278" s="4" t="inlineStr">
        <is>
          <t>A</t>
        </is>
      </c>
      <c r="H278" s="4" t="inlineStr">
        <is>
          <t>LOW</t>
        </is>
      </c>
      <c r="I278" s="13" t="n">
        <v>0.8</v>
      </c>
      <c r="J278" s="11" t="n">
        <v>67</v>
      </c>
      <c r="K278" s="13" t="n">
        <v>83.3</v>
      </c>
      <c r="L278" s="11" t="n">
        <v>300</v>
      </c>
      <c r="M278" s="4" t="inlineStr">
        <is>
          <t>PO0031505</t>
        </is>
      </c>
      <c r="N278" s="4" t="inlineStr">
        <is>
          <t>2026-10-08</t>
        </is>
      </c>
      <c r="O278" s="4" t="inlineStr">
        <is>
          <t>COVERED BY INBOUND</t>
        </is>
      </c>
      <c r="P278" s="11" t="n">
        <v>10240</v>
      </c>
    </row>
    <row r="279">
      <c r="A279" s="4" t="inlineStr">
        <is>
          <t>WH03</t>
        </is>
      </c>
      <c r="B279" s="4" t="inlineStr">
        <is>
          <t>Lucknow DC</t>
        </is>
      </c>
      <c r="C279" s="4" t="inlineStr">
        <is>
          <t>North</t>
        </is>
      </c>
      <c r="D279" s="4" t="inlineStr">
        <is>
          <t>SKU042</t>
        </is>
      </c>
      <c r="E279" s="4" t="inlineStr">
        <is>
          <t>Dry Fruit Mix 250g</t>
        </is>
      </c>
      <c r="F279" s="4" t="inlineStr">
        <is>
          <t>Snacks &amp; Confectionery</t>
        </is>
      </c>
      <c r="G279" s="4" t="inlineStr">
        <is>
          <t>A</t>
        </is>
      </c>
      <c r="H279" s="4" t="inlineStr">
        <is>
          <t>LOW</t>
        </is>
      </c>
      <c r="I279" s="13" t="n">
        <v>1.08</v>
      </c>
      <c r="J279" s="11" t="n">
        <v>776</v>
      </c>
      <c r="K279" s="13" t="n">
        <v>715.5</v>
      </c>
      <c r="L279" s="11" t="n">
        <v>2712</v>
      </c>
      <c r="M279" s="4" t="inlineStr">
        <is>
          <t>PO0031858</t>
        </is>
      </c>
      <c r="N279" s="4" t="inlineStr">
        <is>
          <t>2026-10-09</t>
        </is>
      </c>
      <c r="O279" s="4" t="inlineStr">
        <is>
          <t>COVERED BY INBOUND</t>
        </is>
      </c>
      <c r="P279" s="11" t="n">
        <v>10017</v>
      </c>
    </row>
    <row r="280">
      <c r="A280" s="4" t="inlineStr">
        <is>
          <t>WH06</t>
        </is>
      </c>
      <c r="B280" s="4" t="inlineStr">
        <is>
          <t>Ahmedabad DC</t>
        </is>
      </c>
      <c r="C280" s="4" t="inlineStr">
        <is>
          <t>West</t>
        </is>
      </c>
      <c r="D280" s="4" t="inlineStr">
        <is>
          <t>SKU027</t>
        </is>
      </c>
      <c r="E280" s="4" t="inlineStr">
        <is>
          <t>Lassi 200ml</t>
        </is>
      </c>
      <c r="F280" s="4" t="inlineStr">
        <is>
          <t>Beverages</t>
        </is>
      </c>
      <c r="G280" s="4" t="inlineStr">
        <is>
          <t>A</t>
        </is>
      </c>
      <c r="H280" s="4" t="inlineStr">
        <is>
          <t>LOW</t>
        </is>
      </c>
      <c r="I280" s="13" t="n">
        <v>0.6</v>
      </c>
      <c r="J280" s="11" t="n">
        <v>499</v>
      </c>
      <c r="K280" s="13" t="n">
        <v>826.8</v>
      </c>
      <c r="L280" s="11" t="n">
        <v>2784</v>
      </c>
      <c r="M280" s="4" t="inlineStr">
        <is>
          <t>PO0031890</t>
        </is>
      </c>
      <c r="N280" s="4" t="inlineStr">
        <is>
          <t>2026-10-07</t>
        </is>
      </c>
      <c r="O280" s="4" t="inlineStr">
        <is>
          <t>COVERED BY INBOUND</t>
        </is>
      </c>
      <c r="P280" s="11" t="n">
        <v>9921</v>
      </c>
    </row>
    <row r="281">
      <c r="A281" s="4" t="inlineStr">
        <is>
          <t>WH05</t>
        </is>
      </c>
      <c r="B281" s="4" t="inlineStr">
        <is>
          <t>Pune DC</t>
        </is>
      </c>
      <c r="C281" s="4" t="inlineStr">
        <is>
          <t>West</t>
        </is>
      </c>
      <c r="D281" s="4" t="inlineStr">
        <is>
          <t>SKU059</t>
        </is>
      </c>
      <c r="E281" s="4" t="inlineStr">
        <is>
          <t>Lip Balm</t>
        </is>
      </c>
      <c r="F281" s="4" t="inlineStr">
        <is>
          <t>Personal Care</t>
        </is>
      </c>
      <c r="G281" s="4" t="inlineStr">
        <is>
          <t>B</t>
        </is>
      </c>
      <c r="H281" s="4" t="inlineStr">
        <is>
          <t>LOW</t>
        </is>
      </c>
      <c r="I281" s="13" t="n">
        <v>1.14</v>
      </c>
      <c r="J281" s="11" t="n">
        <v>235</v>
      </c>
      <c r="K281" s="13" t="n">
        <v>205.3</v>
      </c>
      <c r="L281" s="11" t="n">
        <v>828</v>
      </c>
      <c r="M281" s="4" t="inlineStr">
        <is>
          <t>PO0031541</t>
        </is>
      </c>
      <c r="N281" s="4" t="inlineStr">
        <is>
          <t>2026-10-02</t>
        </is>
      </c>
      <c r="O281" s="4" t="inlineStr">
        <is>
          <t>INBOUND OVERDUE</t>
        </is>
      </c>
      <c r="P281" s="11" t="n">
        <v>9852</v>
      </c>
    </row>
    <row r="282">
      <c r="A282" s="4" t="inlineStr">
        <is>
          <t>WH03</t>
        </is>
      </c>
      <c r="B282" s="4" t="inlineStr">
        <is>
          <t>Lucknow DC</t>
        </is>
      </c>
      <c r="C282" s="4" t="inlineStr">
        <is>
          <t>North</t>
        </is>
      </c>
      <c r="D282" s="4" t="inlineStr">
        <is>
          <t>SKU022</t>
        </is>
      </c>
      <c r="E282" s="4" t="inlineStr">
        <is>
          <t>Iced Tea 500ml</t>
        </is>
      </c>
      <c r="F282" s="4" t="inlineStr">
        <is>
          <t>Beverages</t>
        </is>
      </c>
      <c r="G282" s="4" t="inlineStr">
        <is>
          <t>A</t>
        </is>
      </c>
      <c r="H282" s="4" t="inlineStr">
        <is>
          <t>LOW</t>
        </is>
      </c>
      <c r="I282" s="13" t="n">
        <v>1.26</v>
      </c>
      <c r="J282" s="11" t="n">
        <v>1131</v>
      </c>
      <c r="K282" s="13" t="n">
        <v>894.3</v>
      </c>
      <c r="L282" s="11" t="n">
        <v>3000</v>
      </c>
      <c r="M282" s="4" t="inlineStr">
        <is>
          <t>PO0031856</t>
        </is>
      </c>
      <c r="N282" s="4" t="inlineStr">
        <is>
          <t>2026-10-10</t>
        </is>
      </c>
      <c r="O282" s="4" t="inlineStr">
        <is>
          <t>COVERED BY INBOUND</t>
        </is>
      </c>
      <c r="P282" s="11" t="n">
        <v>9837</v>
      </c>
    </row>
    <row r="283">
      <c r="A283" s="4" t="inlineStr">
        <is>
          <t>WH07</t>
        </is>
      </c>
      <c r="B283" s="4" t="inlineStr">
        <is>
          <t>Bengaluru DC</t>
        </is>
      </c>
      <c r="C283" s="4" t="inlineStr">
        <is>
          <t>South</t>
        </is>
      </c>
      <c r="D283" s="4" t="inlineStr">
        <is>
          <t>SKU073</t>
        </is>
      </c>
      <c r="E283" s="4" t="inlineStr">
        <is>
          <t>Agarbatti 100pk</t>
        </is>
      </c>
      <c r="F283" s="4" t="inlineStr">
        <is>
          <t>Home Care</t>
        </is>
      </c>
      <c r="G283" s="4" t="inlineStr">
        <is>
          <t>C</t>
        </is>
      </c>
      <c r="H283" s="4" t="inlineStr">
        <is>
          <t>LOW</t>
        </is>
      </c>
      <c r="I283" s="13" t="n">
        <v>0.64</v>
      </c>
      <c r="J283" s="11" t="n">
        <v>384</v>
      </c>
      <c r="K283" s="13" t="n">
        <v>599.5</v>
      </c>
      <c r="L283" s="11" t="n">
        <v>2172</v>
      </c>
      <c r="M283" s="4" t="inlineStr">
        <is>
          <t>PO0031909</t>
        </is>
      </c>
      <c r="N283" s="4" t="inlineStr">
        <is>
          <t>2026-10-11</t>
        </is>
      </c>
      <c r="O283" s="4" t="inlineStr">
        <is>
          <t>GAP BEFORE ARRIVAL</t>
        </is>
      </c>
      <c r="P283" s="11" t="n">
        <v>9592</v>
      </c>
    </row>
    <row r="284">
      <c r="A284" s="4" t="inlineStr">
        <is>
          <t>WH10</t>
        </is>
      </c>
      <c r="B284" s="4" t="inlineStr">
        <is>
          <t>Kolkata DC</t>
        </is>
      </c>
      <c r="C284" s="4" t="inlineStr">
        <is>
          <t>East</t>
        </is>
      </c>
      <c r="D284" s="4" t="inlineStr">
        <is>
          <t>SKU054</t>
        </is>
      </c>
      <c r="E284" s="4" t="inlineStr">
        <is>
          <t>Razor 5pk</t>
        </is>
      </c>
      <c r="F284" s="4" t="inlineStr">
        <is>
          <t>Personal Care</t>
        </is>
      </c>
      <c r="G284" s="4" t="inlineStr">
        <is>
          <t>B</t>
        </is>
      </c>
      <c r="H284" s="4" t="inlineStr">
        <is>
          <t>LOW</t>
        </is>
      </c>
      <c r="I284" s="13" t="n">
        <v>1.02</v>
      </c>
      <c r="J284" s="11" t="n">
        <v>315</v>
      </c>
      <c r="K284" s="13" t="n">
        <v>308</v>
      </c>
      <c r="L284" s="11" t="n">
        <v>1212</v>
      </c>
      <c r="M284" s="4" t="inlineStr">
        <is>
          <t>PO0031968</t>
        </is>
      </c>
      <c r="N284" s="4" t="inlineStr">
        <is>
          <t>2026-10-14</t>
        </is>
      </c>
      <c r="O284" s="4" t="inlineStr">
        <is>
          <t>GAP BEFORE ARRIVAL</t>
        </is>
      </c>
      <c r="P284" s="11" t="n">
        <v>9548</v>
      </c>
    </row>
    <row r="285">
      <c r="A285" s="4" t="inlineStr">
        <is>
          <t>WH09</t>
        </is>
      </c>
      <c r="B285" s="4" t="inlineStr">
        <is>
          <t>Hyderabad DC</t>
        </is>
      </c>
      <c r="C285" s="4" t="inlineStr">
        <is>
          <t>South</t>
        </is>
      </c>
      <c r="D285" s="4" t="inlineStr">
        <is>
          <t>SKU118</t>
        </is>
      </c>
      <c r="E285" s="4" t="inlineStr">
        <is>
          <t>Thermal Paper Roll 20pk</t>
        </is>
      </c>
      <c r="F285" s="4" t="inlineStr">
        <is>
          <t>Packaging &amp; Supplies</t>
        </is>
      </c>
      <c r="G285" s="4" t="inlineStr">
        <is>
          <t>B</t>
        </is>
      </c>
      <c r="H285" s="4" t="inlineStr">
        <is>
          <t>LOW</t>
        </is>
      </c>
      <c r="I285" s="13" t="n">
        <v>0.95</v>
      </c>
      <c r="J285" s="11" t="n">
        <v>238</v>
      </c>
      <c r="K285" s="13" t="n">
        <v>251</v>
      </c>
      <c r="L285" s="11" t="n">
        <v>940</v>
      </c>
      <c r="M285" s="4" t="inlineStr">
        <is>
          <t>PO0031616</t>
        </is>
      </c>
      <c r="N285" s="4" t="inlineStr">
        <is>
          <t>2026-10-12</t>
        </is>
      </c>
      <c r="O285" s="4" t="inlineStr">
        <is>
          <t>GAP BEFORE ARRIVAL</t>
        </is>
      </c>
      <c r="P285" s="11" t="n">
        <v>9287</v>
      </c>
    </row>
    <row r="286">
      <c r="A286" s="4" t="inlineStr">
        <is>
          <t>WH06</t>
        </is>
      </c>
      <c r="B286" s="4" t="inlineStr">
        <is>
          <t>Ahmedabad DC</t>
        </is>
      </c>
      <c r="C286" s="4" t="inlineStr">
        <is>
          <t>West</t>
        </is>
      </c>
      <c r="D286" s="4" t="inlineStr">
        <is>
          <t>SKU019</t>
        </is>
      </c>
      <c r="E286" s="4" t="inlineStr">
        <is>
          <t>Packaged Water 1L</t>
        </is>
      </c>
      <c r="F286" s="4" t="inlineStr">
        <is>
          <t>Beverages</t>
        </is>
      </c>
      <c r="G286" s="4" t="inlineStr">
        <is>
          <t>A</t>
        </is>
      </c>
      <c r="H286" s="4" t="inlineStr">
        <is>
          <t>LOW</t>
        </is>
      </c>
      <c r="I286" s="13" t="n">
        <v>0.7</v>
      </c>
      <c r="J286" s="11" t="n">
        <v>587</v>
      </c>
      <c r="K286" s="13" t="n">
        <v>838</v>
      </c>
      <c r="L286" s="11" t="n">
        <v>2976</v>
      </c>
      <c r="M286" s="4" t="inlineStr">
        <is>
          <t>PO0031888</t>
        </is>
      </c>
      <c r="N286" s="4" t="inlineStr">
        <is>
          <t>2026-10-06</t>
        </is>
      </c>
      <c r="O286" s="4" t="inlineStr">
        <is>
          <t>COVERED BY INBOUND</t>
        </is>
      </c>
      <c r="P286" s="11" t="n">
        <v>9218</v>
      </c>
    </row>
    <row r="287">
      <c r="A287" s="4" t="inlineStr">
        <is>
          <t>WH03</t>
        </is>
      </c>
      <c r="B287" s="4" t="inlineStr">
        <is>
          <t>Lucknow DC</t>
        </is>
      </c>
      <c r="C287" s="4" t="inlineStr">
        <is>
          <t>North</t>
        </is>
      </c>
      <c r="D287" s="4" t="inlineStr">
        <is>
          <t>SKU052</t>
        </is>
      </c>
      <c r="E287" s="4" t="inlineStr">
        <is>
          <t>Deodorant 150ml</t>
        </is>
      </c>
      <c r="F287" s="4" t="inlineStr">
        <is>
          <t>Personal Care</t>
        </is>
      </c>
      <c r="G287" s="4" t="inlineStr">
        <is>
          <t>B</t>
        </is>
      </c>
      <c r="H287" s="4" t="inlineStr">
        <is>
          <t>LOW</t>
        </is>
      </c>
      <c r="I287" s="13" t="n">
        <v>0.86</v>
      </c>
      <c r="J287" s="11" t="n">
        <v>171</v>
      </c>
      <c r="K287" s="13" t="n">
        <v>199.8</v>
      </c>
      <c r="L287" s="11" t="n">
        <v>1032</v>
      </c>
      <c r="M287" s="4" t="inlineStr">
        <is>
          <t>PO0031689</t>
        </is>
      </c>
      <c r="N287" s="4" t="inlineStr">
        <is>
          <t>2026-10-07</t>
        </is>
      </c>
      <c r="O287" s="4" t="inlineStr">
        <is>
          <t>COVERED BY INBOUND</t>
        </is>
      </c>
      <c r="P287" s="11" t="n">
        <v>9189</v>
      </c>
    </row>
    <row r="288">
      <c r="A288" s="4" t="inlineStr">
        <is>
          <t>WH05</t>
        </is>
      </c>
      <c r="B288" s="4" t="inlineStr">
        <is>
          <t>Pune DC</t>
        </is>
      </c>
      <c r="C288" s="4" t="inlineStr">
        <is>
          <t>West</t>
        </is>
      </c>
      <c r="D288" s="4" t="inlineStr">
        <is>
          <t>SKU055</t>
        </is>
      </c>
      <c r="E288" s="4" t="inlineStr">
        <is>
          <t>Talc 300g</t>
        </is>
      </c>
      <c r="F288" s="4" t="inlineStr">
        <is>
          <t>Personal Care</t>
        </is>
      </c>
      <c r="G288" s="4" t="inlineStr">
        <is>
          <t>B</t>
        </is>
      </c>
      <c r="H288" s="4" t="inlineStr">
        <is>
          <t>LOW</t>
        </is>
      </c>
      <c r="I288" s="13" t="n">
        <v>0.76</v>
      </c>
      <c r="J288" s="11" t="n">
        <v>305</v>
      </c>
      <c r="K288" s="13" t="n">
        <v>399</v>
      </c>
      <c r="L288" s="11" t="n">
        <v>1824</v>
      </c>
      <c r="M288" s="4" t="inlineStr">
        <is>
          <t>PO0031718</t>
        </is>
      </c>
      <c r="N288" s="4" t="inlineStr">
        <is>
          <t>2026-10-08</t>
        </is>
      </c>
      <c r="O288" s="4" t="inlineStr">
        <is>
          <t>COVERED BY INBOUND</t>
        </is>
      </c>
      <c r="P288" s="11" t="n">
        <v>9177</v>
      </c>
    </row>
    <row r="289">
      <c r="A289" s="4" t="inlineStr">
        <is>
          <t>WH06</t>
        </is>
      </c>
      <c r="B289" s="4" t="inlineStr">
        <is>
          <t>Ahmedabad DC</t>
        </is>
      </c>
      <c r="C289" s="4" t="inlineStr">
        <is>
          <t>West</t>
        </is>
      </c>
      <c r="D289" s="4" t="inlineStr">
        <is>
          <t>SKU062</t>
        </is>
      </c>
      <c r="E289" s="4" t="inlineStr">
        <is>
          <t>Dishwash Liquid 750ml</t>
        </is>
      </c>
      <c r="F289" s="4" t="inlineStr">
        <is>
          <t>Home Care</t>
        </is>
      </c>
      <c r="G289" s="4" t="inlineStr">
        <is>
          <t>A</t>
        </is>
      </c>
      <c r="H289" s="4" t="inlineStr">
        <is>
          <t>LOW</t>
        </is>
      </c>
      <c r="I289" s="13" t="n">
        <v>0.57</v>
      </c>
      <c r="J289" s="11" t="n">
        <v>201</v>
      </c>
      <c r="K289" s="13" t="n">
        <v>351.8</v>
      </c>
      <c r="L289" s="11" t="n">
        <v>1380</v>
      </c>
      <c r="M289" s="4" t="inlineStr">
        <is>
          <t>PO0031894</t>
        </is>
      </c>
      <c r="N289" s="4" t="inlineStr">
        <is>
          <t>2026-10-06</t>
        </is>
      </c>
      <c r="O289" s="4" t="inlineStr">
        <is>
          <t>COVERED BY INBOUND</t>
        </is>
      </c>
      <c r="P289" s="11" t="n">
        <v>9146</v>
      </c>
    </row>
    <row r="290">
      <c r="A290" s="4" t="inlineStr">
        <is>
          <t>WH06</t>
        </is>
      </c>
      <c r="B290" s="4" t="inlineStr">
        <is>
          <t>Ahmedabad DC</t>
        </is>
      </c>
      <c r="C290" s="4" t="inlineStr">
        <is>
          <t>West</t>
        </is>
      </c>
      <c r="D290" s="4" t="inlineStr">
        <is>
          <t>SKU021</t>
        </is>
      </c>
      <c r="E290" s="4" t="inlineStr">
        <is>
          <t>Fruit Juice 1L</t>
        </is>
      </c>
      <c r="F290" s="4" t="inlineStr">
        <is>
          <t>Beverages</t>
        </is>
      </c>
      <c r="G290" s="4" t="inlineStr">
        <is>
          <t>A</t>
        </is>
      </c>
      <c r="H290" s="4" t="inlineStr">
        <is>
          <t>LOW</t>
        </is>
      </c>
      <c r="I290" s="13" t="n">
        <v>0.78</v>
      </c>
      <c r="J290" s="11" t="n">
        <v>789</v>
      </c>
      <c r="K290" s="13" t="n">
        <v>1008.5</v>
      </c>
      <c r="L290" s="11" t="n">
        <v>3768</v>
      </c>
      <c r="M290" s="4" t="inlineStr">
        <is>
          <t>PO0031728</t>
        </is>
      </c>
      <c r="N290" s="4" t="inlineStr">
        <is>
          <t>2026-10-06</t>
        </is>
      </c>
      <c r="O290" s="4" t="inlineStr">
        <is>
          <t>COVERED BY INBOUND</t>
        </is>
      </c>
      <c r="P290" s="11" t="n">
        <v>9077</v>
      </c>
    </row>
    <row r="291">
      <c r="A291" s="4" t="inlineStr">
        <is>
          <t>WH05</t>
        </is>
      </c>
      <c r="B291" s="4" t="inlineStr">
        <is>
          <t>Pune DC</t>
        </is>
      </c>
      <c r="C291" s="4" t="inlineStr">
        <is>
          <t>West</t>
        </is>
      </c>
      <c r="D291" s="4" t="inlineStr">
        <is>
          <t>SKU091</t>
        </is>
      </c>
      <c r="E291" s="4" t="inlineStr">
        <is>
          <t>Paracetamol 500mg 15s</t>
        </is>
      </c>
      <c r="F291" s="4" t="inlineStr">
        <is>
          <t>OTC Pharma &amp; Wellness</t>
        </is>
      </c>
      <c r="G291" s="4" t="inlineStr">
        <is>
          <t>C</t>
        </is>
      </c>
      <c r="H291" s="4" t="inlineStr">
        <is>
          <t>LOW</t>
        </is>
      </c>
      <c r="I291" s="13" t="n">
        <v>1.25</v>
      </c>
      <c r="J291" s="11" t="n">
        <v>350</v>
      </c>
      <c r="K291" s="13" t="n">
        <v>280.5</v>
      </c>
      <c r="L291" s="11" t="n">
        <v>1548</v>
      </c>
      <c r="M291" s="4" t="inlineStr">
        <is>
          <t>PO0031219</t>
        </is>
      </c>
      <c r="N291" s="4" t="inlineStr">
        <is>
          <t>2026-09-28</t>
        </is>
      </c>
      <c r="O291" s="4" t="inlineStr">
        <is>
          <t>INBOUND OVERDUE</t>
        </is>
      </c>
      <c r="P291" s="11" t="n">
        <v>8696</v>
      </c>
    </row>
    <row r="292">
      <c r="A292" s="4" t="inlineStr">
        <is>
          <t>WH12</t>
        </is>
      </c>
      <c r="B292" s="4" t="inlineStr">
        <is>
          <t>Nagpur DC</t>
        </is>
      </c>
      <c r="C292" s="4" t="inlineStr">
        <is>
          <t>Central</t>
        </is>
      </c>
      <c r="D292" s="4" t="inlineStr">
        <is>
          <t>SKU001</t>
        </is>
      </c>
      <c r="E292" s="4" t="inlineStr">
        <is>
          <t>Atta 5kg</t>
        </is>
      </c>
      <c r="F292" s="4" t="inlineStr">
        <is>
          <t>Packaged Staples</t>
        </is>
      </c>
      <c r="G292" s="4" t="inlineStr">
        <is>
          <t>A</t>
        </is>
      </c>
      <c r="H292" s="4" t="inlineStr">
        <is>
          <t>LOW</t>
        </is>
      </c>
      <c r="I292" s="13" t="n">
        <v>0.76</v>
      </c>
      <c r="J292" s="11" t="n">
        <v>410</v>
      </c>
      <c r="K292" s="13" t="n">
        <v>543</v>
      </c>
      <c r="L292" s="11" t="n">
        <v>1860</v>
      </c>
      <c r="M292" s="4" t="inlineStr">
        <is>
          <t>PO0031646</t>
        </is>
      </c>
      <c r="N292" s="4" t="inlineStr">
        <is>
          <t>2026-10-05</t>
        </is>
      </c>
      <c r="O292" s="4" t="inlineStr">
        <is>
          <t>COVERED BY INBOUND</t>
        </is>
      </c>
      <c r="P292" s="11" t="n">
        <v>8688</v>
      </c>
    </row>
    <row r="293">
      <c r="A293" s="4" t="inlineStr">
        <is>
          <t>WH10</t>
        </is>
      </c>
      <c r="B293" s="4" t="inlineStr">
        <is>
          <t>Kolkata DC</t>
        </is>
      </c>
      <c r="C293" s="4" t="inlineStr">
        <is>
          <t>East</t>
        </is>
      </c>
      <c r="D293" s="4" t="inlineStr">
        <is>
          <t>SKU004</t>
        </is>
      </c>
      <c r="E293" s="4" t="inlineStr">
        <is>
          <t>Moong Dal 1kg</t>
        </is>
      </c>
      <c r="F293" s="4" t="inlineStr">
        <is>
          <t>Packaged Staples</t>
        </is>
      </c>
      <c r="G293" s="4" t="inlineStr">
        <is>
          <t>B</t>
        </is>
      </c>
      <c r="H293" s="4" t="inlineStr">
        <is>
          <t>LOW</t>
        </is>
      </c>
      <c r="I293" s="13" t="n">
        <v>0.92</v>
      </c>
      <c r="J293" s="11" t="n">
        <v>720</v>
      </c>
      <c r="K293" s="13" t="n">
        <v>780.3</v>
      </c>
      <c r="L293" s="11" t="n">
        <v>2136</v>
      </c>
      <c r="M293" s="4" t="inlineStr">
        <is>
          <t>PO0031788</t>
        </is>
      </c>
      <c r="N293" s="4" t="inlineStr">
        <is>
          <t>2026-10-09</t>
        </is>
      </c>
      <c r="O293" s="4" t="inlineStr">
        <is>
          <t>COVERED BY INBOUND</t>
        </is>
      </c>
      <c r="P293" s="11" t="n">
        <v>8583</v>
      </c>
    </row>
    <row r="294">
      <c r="A294" s="4" t="inlineStr">
        <is>
          <t>WH05</t>
        </is>
      </c>
      <c r="B294" s="4" t="inlineStr">
        <is>
          <t>Pune DC</t>
        </is>
      </c>
      <c r="C294" s="4" t="inlineStr">
        <is>
          <t>West</t>
        </is>
      </c>
      <c r="D294" s="4" t="inlineStr">
        <is>
          <t>SKU102</t>
        </is>
      </c>
      <c r="E294" s="4" t="inlineStr">
        <is>
          <t>Eye Drops 10ml</t>
        </is>
      </c>
      <c r="F294" s="4" t="inlineStr">
        <is>
          <t>OTC Pharma &amp; Wellness</t>
        </is>
      </c>
      <c r="G294" s="4" t="inlineStr">
        <is>
          <t>C</t>
        </is>
      </c>
      <c r="H294" s="4" t="inlineStr">
        <is>
          <t>LOW</t>
        </is>
      </c>
      <c r="I294" s="13" t="n">
        <v>0.63</v>
      </c>
      <c r="J294" s="11" t="n">
        <v>270</v>
      </c>
      <c r="K294" s="13" t="n">
        <v>427</v>
      </c>
      <c r="L294" s="11" t="n">
        <v>1476</v>
      </c>
      <c r="M294" s="4" t="inlineStr">
        <is>
          <t>PO0031545</t>
        </is>
      </c>
      <c r="N294" s="4" t="inlineStr">
        <is>
          <t>2026-10-06</t>
        </is>
      </c>
      <c r="O294" s="4" t="inlineStr">
        <is>
          <t>COVERED BY INBOUND</t>
        </is>
      </c>
      <c r="P294" s="11" t="n">
        <v>8540</v>
      </c>
    </row>
    <row r="295">
      <c r="A295" s="4" t="inlineStr">
        <is>
          <t>WH11</t>
        </is>
      </c>
      <c r="B295" s="4" t="inlineStr">
        <is>
          <t>Guwahati DC</t>
        </is>
      </c>
      <c r="C295" s="4" t="inlineStr">
        <is>
          <t>East</t>
        </is>
      </c>
      <c r="D295" s="4" t="inlineStr">
        <is>
          <t>SKU021</t>
        </is>
      </c>
      <c r="E295" s="4" t="inlineStr">
        <is>
          <t>Fruit Juice 1L</t>
        </is>
      </c>
      <c r="F295" s="4" t="inlineStr">
        <is>
          <t>Beverages</t>
        </is>
      </c>
      <c r="G295" s="4" t="inlineStr">
        <is>
          <t>A</t>
        </is>
      </c>
      <c r="H295" s="4" t="inlineStr">
        <is>
          <t>LOW</t>
        </is>
      </c>
      <c r="I295" s="13" t="n">
        <v>0.9</v>
      </c>
      <c r="J295" s="11" t="n">
        <v>821</v>
      </c>
      <c r="K295" s="13" t="n">
        <v>913.5</v>
      </c>
      <c r="L295" s="11" t="n">
        <v>0</v>
      </c>
      <c r="M295" s="4" t="n"/>
      <c r="N295" s="4" t="n"/>
      <c r="O295" s="4" t="inlineStr">
        <is>
          <t>NO INBOUND PO</t>
        </is>
      </c>
      <c r="P295" s="11" t="n">
        <v>8222</v>
      </c>
    </row>
    <row r="296">
      <c r="A296" s="4" t="inlineStr">
        <is>
          <t>WH11</t>
        </is>
      </c>
      <c r="B296" s="4" t="inlineStr">
        <is>
          <t>Guwahati DC</t>
        </is>
      </c>
      <c r="C296" s="4" t="inlineStr">
        <is>
          <t>East</t>
        </is>
      </c>
      <c r="D296" s="4" t="inlineStr">
        <is>
          <t>SKU014</t>
        </is>
      </c>
      <c r="E296" s="4" t="inlineStr">
        <is>
          <t>Ghee 500ml</t>
        </is>
      </c>
      <c r="F296" s="4" t="inlineStr">
        <is>
          <t>Packaged Staples</t>
        </is>
      </c>
      <c r="G296" s="4" t="inlineStr">
        <is>
          <t>A</t>
        </is>
      </c>
      <c r="H296" s="4" t="inlineStr">
        <is>
          <t>LOW</t>
        </is>
      </c>
      <c r="I296" s="13" t="n">
        <v>1.4</v>
      </c>
      <c r="J296" s="11" t="n">
        <v>382</v>
      </c>
      <c r="K296" s="13" t="n">
        <v>273.8</v>
      </c>
      <c r="L296" s="11" t="n">
        <v>0</v>
      </c>
      <c r="M296" s="4" t="n"/>
      <c r="N296" s="4" t="n"/>
      <c r="O296" s="4" t="inlineStr">
        <is>
          <t>NO INBOUND PO</t>
        </is>
      </c>
      <c r="P296" s="11" t="n">
        <v>8213</v>
      </c>
    </row>
    <row r="297">
      <c r="A297" s="4" t="inlineStr">
        <is>
          <t>WH08</t>
        </is>
      </c>
      <c r="B297" s="4" t="inlineStr">
        <is>
          <t>Chennai DC</t>
        </is>
      </c>
      <c r="C297" s="4" t="inlineStr">
        <is>
          <t>South</t>
        </is>
      </c>
      <c r="D297" s="4" t="inlineStr">
        <is>
          <t>SKU063</t>
        </is>
      </c>
      <c r="E297" s="4" t="inlineStr">
        <is>
          <t>Floor Cleaner 1L</t>
        </is>
      </c>
      <c r="F297" s="4" t="inlineStr">
        <is>
          <t>Home Care</t>
        </is>
      </c>
      <c r="G297" s="4" t="inlineStr">
        <is>
          <t>C</t>
        </is>
      </c>
      <c r="H297" s="4" t="inlineStr">
        <is>
          <t>LOW</t>
        </is>
      </c>
      <c r="I297" s="13" t="n">
        <v>1.41</v>
      </c>
      <c r="J297" s="11" t="n">
        <v>963</v>
      </c>
      <c r="K297" s="13" t="n">
        <v>683.3</v>
      </c>
      <c r="L297" s="11" t="n">
        <v>0</v>
      </c>
      <c r="M297" s="4" t="n"/>
      <c r="N297" s="4" t="n"/>
      <c r="O297" s="4" t="inlineStr">
        <is>
          <t>NO INBOUND PO</t>
        </is>
      </c>
      <c r="P297" s="11" t="n">
        <v>8199</v>
      </c>
    </row>
    <row r="298">
      <c r="A298" s="4" t="inlineStr">
        <is>
          <t>WH02</t>
        </is>
      </c>
      <c r="B298" s="4" t="inlineStr">
        <is>
          <t>Jaipur DC</t>
        </is>
      </c>
      <c r="C298" s="4" t="inlineStr">
        <is>
          <t>North</t>
        </is>
      </c>
      <c r="D298" s="4" t="inlineStr">
        <is>
          <t>SKU050</t>
        </is>
      </c>
      <c r="E298" s="4" t="inlineStr">
        <is>
          <t>Body Lotion 400ml</t>
        </is>
      </c>
      <c r="F298" s="4" t="inlineStr">
        <is>
          <t>Personal Care</t>
        </is>
      </c>
      <c r="G298" s="4" t="inlineStr">
        <is>
          <t>B</t>
        </is>
      </c>
      <c r="H298" s="4" t="inlineStr">
        <is>
          <t>LOW</t>
        </is>
      </c>
      <c r="I298" s="13" t="n">
        <v>0.63</v>
      </c>
      <c r="J298" s="11" t="n">
        <v>139</v>
      </c>
      <c r="K298" s="13" t="n">
        <v>219</v>
      </c>
      <c r="L298" s="11" t="n">
        <v>936</v>
      </c>
      <c r="M298" s="4" t="inlineStr">
        <is>
          <t>PO0031345</t>
        </is>
      </c>
      <c r="N298" s="4" t="inlineStr">
        <is>
          <t>2026-10-05</t>
        </is>
      </c>
      <c r="O298" s="4" t="inlineStr">
        <is>
          <t>COVERED BY INBOUND</t>
        </is>
      </c>
      <c r="P298" s="11" t="n">
        <v>8103</v>
      </c>
    </row>
    <row r="299">
      <c r="A299" s="4" t="inlineStr">
        <is>
          <t>WH12</t>
        </is>
      </c>
      <c r="B299" s="4" t="inlineStr">
        <is>
          <t>Nagpur DC</t>
        </is>
      </c>
      <c r="C299" s="4" t="inlineStr">
        <is>
          <t>Central</t>
        </is>
      </c>
      <c r="D299" s="4" t="inlineStr">
        <is>
          <t>SKU052</t>
        </is>
      </c>
      <c r="E299" s="4" t="inlineStr">
        <is>
          <t>Deodorant 150ml</t>
        </is>
      </c>
      <c r="F299" s="4" t="inlineStr">
        <is>
          <t>Personal Care</t>
        </is>
      </c>
      <c r="G299" s="4" t="inlineStr">
        <is>
          <t>B</t>
        </is>
      </c>
      <c r="H299" s="4" t="inlineStr">
        <is>
          <t>LOW</t>
        </is>
      </c>
      <c r="I299" s="13" t="n">
        <v>0.71</v>
      </c>
      <c r="J299" s="11" t="n">
        <v>124</v>
      </c>
      <c r="K299" s="13" t="n">
        <v>174.8</v>
      </c>
      <c r="L299" s="11" t="n">
        <v>1032</v>
      </c>
      <c r="M299" s="4" t="inlineStr">
        <is>
          <t>PO0031473</t>
        </is>
      </c>
      <c r="N299" s="4" t="inlineStr">
        <is>
          <t>2026-10-03</t>
        </is>
      </c>
      <c r="O299" s="4" t="inlineStr">
        <is>
          <t>INBOUND OVERDUE</t>
        </is>
      </c>
      <c r="P299" s="11" t="n">
        <v>8039</v>
      </c>
    </row>
    <row r="300">
      <c r="A300" s="4" t="inlineStr">
        <is>
          <t>WH05</t>
        </is>
      </c>
      <c r="B300" s="4" t="inlineStr">
        <is>
          <t>Pune DC</t>
        </is>
      </c>
      <c r="C300" s="4" t="inlineStr">
        <is>
          <t>West</t>
        </is>
      </c>
      <c r="D300" s="4" t="inlineStr">
        <is>
          <t>SKU066</t>
        </is>
      </c>
      <c r="E300" s="4" t="inlineStr">
        <is>
          <t>Fabric Softener 1L</t>
        </is>
      </c>
      <c r="F300" s="4" t="inlineStr">
        <is>
          <t>Home Care</t>
        </is>
      </c>
      <c r="G300" s="4" t="inlineStr">
        <is>
          <t>B</t>
        </is>
      </c>
      <c r="H300" s="4" t="inlineStr">
        <is>
          <t>LOW</t>
        </is>
      </c>
      <c r="I300" s="13" t="n">
        <v>1.47</v>
      </c>
      <c r="J300" s="11" t="n">
        <v>842</v>
      </c>
      <c r="K300" s="13" t="n">
        <v>571</v>
      </c>
      <c r="L300" s="11" t="n">
        <v>1884</v>
      </c>
      <c r="M300" s="4" t="inlineStr">
        <is>
          <t>PO0031719</t>
        </is>
      </c>
      <c r="N300" s="4" t="inlineStr">
        <is>
          <t>2026-10-10</t>
        </is>
      </c>
      <c r="O300" s="4" t="inlineStr">
        <is>
          <t>COVERED BY INBOUND</t>
        </is>
      </c>
      <c r="P300" s="11" t="n">
        <v>7994</v>
      </c>
    </row>
    <row r="301">
      <c r="A301" s="4" t="inlineStr">
        <is>
          <t>WH05</t>
        </is>
      </c>
      <c r="B301" s="4" t="inlineStr">
        <is>
          <t>Pune DC</t>
        </is>
      </c>
      <c r="C301" s="4" t="inlineStr">
        <is>
          <t>West</t>
        </is>
      </c>
      <c r="D301" s="4" t="inlineStr">
        <is>
          <t>SKU069</t>
        </is>
      </c>
      <c r="E301" s="4" t="inlineStr">
        <is>
          <t>Garbage Bags 30pk</t>
        </is>
      </c>
      <c r="F301" s="4" t="inlineStr">
        <is>
          <t>Home Care</t>
        </is>
      </c>
      <c r="G301" s="4" t="inlineStr">
        <is>
          <t>B</t>
        </is>
      </c>
      <c r="H301" s="4" t="inlineStr">
        <is>
          <t>LOW</t>
        </is>
      </c>
      <c r="I301" s="13" t="n">
        <v>1.25</v>
      </c>
      <c r="J301" s="11" t="n">
        <v>198</v>
      </c>
      <c r="K301" s="13" t="n">
        <v>159</v>
      </c>
      <c r="L301" s="11" t="n">
        <v>636</v>
      </c>
      <c r="M301" s="4" t="inlineStr">
        <is>
          <t>PO0031720</t>
        </is>
      </c>
      <c r="N301" s="4" t="inlineStr">
        <is>
          <t>2026-10-06</t>
        </is>
      </c>
      <c r="O301" s="4" t="inlineStr">
        <is>
          <t>COVERED BY INBOUND</t>
        </is>
      </c>
      <c r="P301" s="11" t="n">
        <v>7950</v>
      </c>
    </row>
    <row r="302">
      <c r="A302" s="4" t="inlineStr">
        <is>
          <t>WH12</t>
        </is>
      </c>
      <c r="B302" s="4" t="inlineStr">
        <is>
          <t>Nagpur DC</t>
        </is>
      </c>
      <c r="C302" s="4" t="inlineStr">
        <is>
          <t>Central</t>
        </is>
      </c>
      <c r="D302" s="4" t="inlineStr">
        <is>
          <t>SKU081</t>
        </is>
      </c>
      <c r="E302" s="4" t="inlineStr">
        <is>
          <t>Bluetooth Speaker</t>
        </is>
      </c>
      <c r="F302" s="4" t="inlineStr">
        <is>
          <t>Electronics Accessories</t>
        </is>
      </c>
      <c r="G302" s="4" t="inlineStr">
        <is>
          <t>B</t>
        </is>
      </c>
      <c r="H302" s="4" t="inlineStr">
        <is>
          <t>LOW</t>
        </is>
      </c>
      <c r="I302" s="13" t="n">
        <v>1.41</v>
      </c>
      <c r="J302" s="11" t="n">
        <v>169</v>
      </c>
      <c r="K302" s="13" t="n">
        <v>120.3</v>
      </c>
      <c r="L302" s="11" t="n">
        <v>520</v>
      </c>
      <c r="M302" s="4" t="inlineStr">
        <is>
          <t>PO0030802</t>
        </is>
      </c>
      <c r="N302" s="4" t="inlineStr">
        <is>
          <t>2026-10-07</t>
        </is>
      </c>
      <c r="O302" s="4" t="inlineStr">
        <is>
          <t>COVERED BY INBOUND</t>
        </is>
      </c>
      <c r="P302" s="11" t="n">
        <v>7937</v>
      </c>
    </row>
    <row r="303">
      <c r="A303" s="4" t="inlineStr">
        <is>
          <t>WH10</t>
        </is>
      </c>
      <c r="B303" s="4" t="inlineStr">
        <is>
          <t>Kolkata DC</t>
        </is>
      </c>
      <c r="C303" s="4" t="inlineStr">
        <is>
          <t>East</t>
        </is>
      </c>
      <c r="D303" s="4" t="inlineStr">
        <is>
          <t>SKU047</t>
        </is>
      </c>
      <c r="E303" s="4" t="inlineStr">
        <is>
          <t>Soap 4-pack</t>
        </is>
      </c>
      <c r="F303" s="4" t="inlineStr">
        <is>
          <t>Personal Care</t>
        </is>
      </c>
      <c r="G303" s="4" t="inlineStr">
        <is>
          <t>C</t>
        </is>
      </c>
      <c r="H303" s="4" t="inlineStr">
        <is>
          <t>LOW</t>
        </is>
      </c>
      <c r="I303" s="13" t="n">
        <v>0.93</v>
      </c>
      <c r="J303" s="11" t="n">
        <v>729</v>
      </c>
      <c r="K303" s="13" t="n">
        <v>781.3</v>
      </c>
      <c r="L303" s="11" t="n">
        <v>0</v>
      </c>
      <c r="M303" s="4" t="n"/>
      <c r="N303" s="4" t="n"/>
      <c r="O303" s="4" t="inlineStr">
        <is>
          <t>NO INBOUND PO</t>
        </is>
      </c>
      <c r="P303" s="11" t="n">
        <v>7813</v>
      </c>
    </row>
    <row r="304">
      <c r="A304" s="4" t="inlineStr">
        <is>
          <t>WH09</t>
        </is>
      </c>
      <c r="B304" s="4" t="inlineStr">
        <is>
          <t>Hyderabad DC</t>
        </is>
      </c>
      <c r="C304" s="4" t="inlineStr">
        <is>
          <t>South</t>
        </is>
      </c>
      <c r="D304" s="4" t="inlineStr">
        <is>
          <t>SKU002</t>
        </is>
      </c>
      <c r="E304" s="4" t="inlineStr">
        <is>
          <t>Basmati Rice 5kg</t>
        </is>
      </c>
      <c r="F304" s="4" t="inlineStr">
        <is>
          <t>Packaged Staples</t>
        </is>
      </c>
      <c r="G304" s="4" t="inlineStr">
        <is>
          <t>B</t>
        </is>
      </c>
      <c r="H304" s="4" t="inlineStr">
        <is>
          <t>LOW</t>
        </is>
      </c>
      <c r="I304" s="13" t="n">
        <v>1.19</v>
      </c>
      <c r="J304" s="11" t="n">
        <v>1302</v>
      </c>
      <c r="K304" s="13" t="n">
        <v>1096</v>
      </c>
      <c r="L304" s="11" t="n">
        <v>0</v>
      </c>
      <c r="M304" s="4" t="n"/>
      <c r="N304" s="4" t="n"/>
      <c r="O304" s="4" t="inlineStr">
        <is>
          <t>NO INBOUND PO</t>
        </is>
      </c>
      <c r="P304" s="11" t="n">
        <v>7672</v>
      </c>
    </row>
    <row r="305">
      <c r="A305" s="4" t="inlineStr">
        <is>
          <t>WH02</t>
        </is>
      </c>
      <c r="B305" s="4" t="inlineStr">
        <is>
          <t>Jaipur DC</t>
        </is>
      </c>
      <c r="C305" s="4" t="inlineStr">
        <is>
          <t>North</t>
        </is>
      </c>
      <c r="D305" s="4" t="inlineStr">
        <is>
          <t>SKU008</t>
        </is>
      </c>
      <c r="E305" s="4" t="inlineStr">
        <is>
          <t>Iodized Salt 1kg</t>
        </is>
      </c>
      <c r="F305" s="4" t="inlineStr">
        <is>
          <t>Packaged Staples</t>
        </is>
      </c>
      <c r="G305" s="4" t="inlineStr">
        <is>
          <t>A</t>
        </is>
      </c>
      <c r="H305" s="4" t="inlineStr">
        <is>
          <t>LOW</t>
        </is>
      </c>
      <c r="I305" s="13" t="n">
        <v>0.8100000000000001</v>
      </c>
      <c r="J305" s="11" t="n">
        <v>382</v>
      </c>
      <c r="K305" s="13" t="n">
        <v>473</v>
      </c>
      <c r="L305" s="11" t="n">
        <v>1728</v>
      </c>
      <c r="M305" s="4" t="inlineStr">
        <is>
          <t>PO0031842</t>
        </is>
      </c>
      <c r="N305" s="4" t="inlineStr">
        <is>
          <t>2026-10-08</t>
        </is>
      </c>
      <c r="O305" s="4" t="inlineStr">
        <is>
          <t>COVERED BY INBOUND</t>
        </is>
      </c>
      <c r="P305" s="11" t="n">
        <v>7568</v>
      </c>
    </row>
    <row r="306">
      <c r="A306" s="4" t="inlineStr">
        <is>
          <t>WH10</t>
        </is>
      </c>
      <c r="B306" s="4" t="inlineStr">
        <is>
          <t>Kolkata DC</t>
        </is>
      </c>
      <c r="C306" s="4" t="inlineStr">
        <is>
          <t>East</t>
        </is>
      </c>
      <c r="D306" s="4" t="inlineStr">
        <is>
          <t>SKU083</t>
        </is>
      </c>
      <c r="E306" s="4" t="inlineStr">
        <is>
          <t>Screen Guard</t>
        </is>
      </c>
      <c r="F306" s="4" t="inlineStr">
        <is>
          <t>Electronics Accessories</t>
        </is>
      </c>
      <c r="G306" s="4" t="inlineStr">
        <is>
          <t>C</t>
        </is>
      </c>
      <c r="H306" s="4" t="inlineStr">
        <is>
          <t>LOW</t>
        </is>
      </c>
      <c r="I306" s="13" t="n">
        <v>1.05</v>
      </c>
      <c r="J306" s="11" t="n">
        <v>111</v>
      </c>
      <c r="K306" s="13" t="n">
        <v>105.5</v>
      </c>
      <c r="L306" s="11" t="n">
        <v>350</v>
      </c>
      <c r="M306" s="4" t="inlineStr">
        <is>
          <t>PO0031143</t>
        </is>
      </c>
      <c r="N306" s="4" t="inlineStr">
        <is>
          <t>2026-10-12</t>
        </is>
      </c>
      <c r="O306" s="4" t="inlineStr">
        <is>
          <t>GAP BEFORE ARRIVAL</t>
        </is>
      </c>
      <c r="P306" s="11" t="n">
        <v>7280</v>
      </c>
    </row>
    <row r="307">
      <c r="A307" s="4" t="inlineStr">
        <is>
          <t>WH12</t>
        </is>
      </c>
      <c r="B307" s="4" t="inlineStr">
        <is>
          <t>Nagpur DC</t>
        </is>
      </c>
      <c r="C307" s="4" t="inlineStr">
        <is>
          <t>Central</t>
        </is>
      </c>
      <c r="D307" s="4" t="inlineStr">
        <is>
          <t>SKU106</t>
        </is>
      </c>
      <c r="E307" s="4" t="inlineStr">
        <is>
          <t>Corrugated Box 12x12</t>
        </is>
      </c>
      <c r="F307" s="4" t="inlineStr">
        <is>
          <t>Packaging &amp; Supplies</t>
        </is>
      </c>
      <c r="G307" s="4" t="inlineStr">
        <is>
          <t>B</t>
        </is>
      </c>
      <c r="H307" s="4" t="inlineStr">
        <is>
          <t>LOW</t>
        </is>
      </c>
      <c r="I307" s="13" t="n">
        <v>1.45</v>
      </c>
      <c r="J307" s="11" t="n">
        <v>132</v>
      </c>
      <c r="K307" s="13" t="n">
        <v>90.8</v>
      </c>
      <c r="L307" s="11" t="n">
        <v>360</v>
      </c>
      <c r="M307" s="4" t="inlineStr">
        <is>
          <t>PO0031177</t>
        </is>
      </c>
      <c r="N307" s="4" t="inlineStr">
        <is>
          <t>2026-10-07</t>
        </is>
      </c>
      <c r="O307" s="4" t="inlineStr">
        <is>
          <t>COVERED BY INBOUND</t>
        </is>
      </c>
      <c r="P307" s="11" t="n">
        <v>7260</v>
      </c>
    </row>
    <row r="308">
      <c r="A308" s="4" t="inlineStr">
        <is>
          <t>WH11</t>
        </is>
      </c>
      <c r="B308" s="4" t="inlineStr">
        <is>
          <t>Guwahati DC</t>
        </is>
      </c>
      <c r="C308" s="4" t="inlineStr">
        <is>
          <t>East</t>
        </is>
      </c>
      <c r="D308" s="4" t="inlineStr">
        <is>
          <t>SKU108</t>
        </is>
      </c>
      <c r="E308" s="4" t="inlineStr">
        <is>
          <t>BOPP Tape 48mm</t>
        </is>
      </c>
      <c r="F308" s="4" t="inlineStr">
        <is>
          <t>Packaging &amp; Supplies</t>
        </is>
      </c>
      <c r="G308" s="4" t="inlineStr">
        <is>
          <t>A</t>
        </is>
      </c>
      <c r="H308" s="4" t="inlineStr">
        <is>
          <t>LOW</t>
        </is>
      </c>
      <c r="I308" s="13" t="n">
        <v>0.6</v>
      </c>
      <c r="J308" s="11" t="n">
        <v>35</v>
      </c>
      <c r="K308" s="13" t="n">
        <v>58.8</v>
      </c>
      <c r="L308" s="11" t="n">
        <v>300</v>
      </c>
      <c r="M308" s="4" t="inlineStr">
        <is>
          <t>PO0031982</t>
        </is>
      </c>
      <c r="N308" s="4" t="inlineStr">
        <is>
          <t>2026-10-18</t>
        </is>
      </c>
      <c r="O308" s="4" t="inlineStr">
        <is>
          <t>GAP BEFORE ARRIVAL</t>
        </is>
      </c>
      <c r="P308" s="11" t="n">
        <v>7226</v>
      </c>
    </row>
    <row r="309">
      <c r="A309" s="4" t="inlineStr">
        <is>
          <t>WH08</t>
        </is>
      </c>
      <c r="B309" s="4" t="inlineStr">
        <is>
          <t>Chennai DC</t>
        </is>
      </c>
      <c r="C309" s="4" t="inlineStr">
        <is>
          <t>South</t>
        </is>
      </c>
      <c r="D309" s="4" t="inlineStr">
        <is>
          <t>SKU048</t>
        </is>
      </c>
      <c r="E309" s="4" t="inlineStr">
        <is>
          <t>Toothpaste 150g</t>
        </is>
      </c>
      <c r="F309" s="4" t="inlineStr">
        <is>
          <t>Personal Care</t>
        </is>
      </c>
      <c r="G309" s="4" t="inlineStr">
        <is>
          <t>C</t>
        </is>
      </c>
      <c r="H309" s="4" t="inlineStr">
        <is>
          <t>LOW</t>
        </is>
      </c>
      <c r="I309" s="13" t="n">
        <v>1.27</v>
      </c>
      <c r="J309" s="11" t="n">
        <v>570</v>
      </c>
      <c r="K309" s="13" t="n">
        <v>449.5</v>
      </c>
      <c r="L309" s="11" t="n">
        <v>0</v>
      </c>
      <c r="M309" s="4" t="n"/>
      <c r="N309" s="4" t="n"/>
      <c r="O309" s="4" t="inlineStr">
        <is>
          <t>NO INBOUND PO</t>
        </is>
      </c>
      <c r="P309" s="11" t="n">
        <v>7192</v>
      </c>
    </row>
    <row r="310">
      <c r="A310" s="4" t="inlineStr">
        <is>
          <t>WH09</t>
        </is>
      </c>
      <c r="B310" s="4" t="inlineStr">
        <is>
          <t>Hyderabad DC</t>
        </is>
      </c>
      <c r="C310" s="4" t="inlineStr">
        <is>
          <t>South</t>
        </is>
      </c>
      <c r="D310" s="4" t="inlineStr">
        <is>
          <t>SKU105</t>
        </is>
      </c>
      <c r="E310" s="4" t="inlineStr">
        <is>
          <t>Face Masks 50pk</t>
        </is>
      </c>
      <c r="F310" s="4" t="inlineStr">
        <is>
          <t>OTC Pharma &amp; Wellness</t>
        </is>
      </c>
      <c r="G310" s="4" t="inlineStr">
        <is>
          <t>C</t>
        </is>
      </c>
      <c r="H310" s="4" t="inlineStr">
        <is>
          <t>LOW</t>
        </is>
      </c>
      <c r="I310" s="13" t="n">
        <v>0.84</v>
      </c>
      <c r="J310" s="11" t="n">
        <v>207</v>
      </c>
      <c r="K310" s="13" t="n">
        <v>246.8</v>
      </c>
      <c r="L310" s="11" t="n">
        <v>1116</v>
      </c>
      <c r="M310" s="4" t="inlineStr">
        <is>
          <t>PO0031957</t>
        </is>
      </c>
      <c r="N310" s="4" t="inlineStr">
        <is>
          <t>2026-10-13</t>
        </is>
      </c>
      <c r="O310" s="4" t="inlineStr">
        <is>
          <t>GAP BEFORE ARRIVAL</t>
        </is>
      </c>
      <c r="P310" s="11" t="n">
        <v>7156</v>
      </c>
    </row>
    <row r="311">
      <c r="A311" s="4" t="inlineStr">
        <is>
          <t>WH07</t>
        </is>
      </c>
      <c r="B311" s="4" t="inlineStr">
        <is>
          <t>Bengaluru DC</t>
        </is>
      </c>
      <c r="C311" s="4" t="inlineStr">
        <is>
          <t>South</t>
        </is>
      </c>
      <c r="D311" s="4" t="inlineStr">
        <is>
          <t>SKU026</t>
        </is>
      </c>
      <c r="E311" s="4" t="inlineStr">
        <is>
          <t>Buttermilk 200ml</t>
        </is>
      </c>
      <c r="F311" s="4" t="inlineStr">
        <is>
          <t>Beverages</t>
        </is>
      </c>
      <c r="G311" s="4" t="inlineStr">
        <is>
          <t>B</t>
        </is>
      </c>
      <c r="H311" s="4" t="inlineStr">
        <is>
          <t>LOW</t>
        </is>
      </c>
      <c r="I311" s="13" t="n">
        <v>1.21</v>
      </c>
      <c r="J311" s="11" t="n">
        <v>1712</v>
      </c>
      <c r="K311" s="13" t="n">
        <v>1415.3</v>
      </c>
      <c r="L311" s="11" t="n">
        <v>0</v>
      </c>
      <c r="M311" s="4" t="n"/>
      <c r="N311" s="4" t="n"/>
      <c r="O311" s="4" t="inlineStr">
        <is>
          <t>NO INBOUND PO</t>
        </is>
      </c>
      <c r="P311" s="11" t="n">
        <v>7076</v>
      </c>
    </row>
    <row r="312">
      <c r="A312" s="4" t="inlineStr">
        <is>
          <t>WH08</t>
        </is>
      </c>
      <c r="B312" s="4" t="inlineStr">
        <is>
          <t>Chennai DC</t>
        </is>
      </c>
      <c r="C312" s="4" t="inlineStr">
        <is>
          <t>South</t>
        </is>
      </c>
      <c r="D312" s="4" t="inlineStr">
        <is>
          <t>SKU095</t>
        </is>
      </c>
      <c r="E312" s="4" t="inlineStr">
        <is>
          <t>Multivitamin 30s</t>
        </is>
      </c>
      <c r="F312" s="4" t="inlineStr">
        <is>
          <t>OTC Pharma &amp; Wellness</t>
        </is>
      </c>
      <c r="G312" s="4" t="inlineStr">
        <is>
          <t>B</t>
        </is>
      </c>
      <c r="H312" s="4" t="inlineStr">
        <is>
          <t>LOW</t>
        </is>
      </c>
      <c r="I312" s="13" t="n">
        <v>0.65</v>
      </c>
      <c r="J312" s="11" t="n">
        <v>77</v>
      </c>
      <c r="K312" s="13" t="n">
        <v>119.3</v>
      </c>
      <c r="L312" s="11" t="n">
        <v>384</v>
      </c>
      <c r="M312" s="4" t="inlineStr">
        <is>
          <t>PO0031933</t>
        </is>
      </c>
      <c r="N312" s="4" t="inlineStr">
        <is>
          <t>2026-10-17</t>
        </is>
      </c>
      <c r="O312" s="4" t="inlineStr">
        <is>
          <t>GAP BEFORE ARRIVAL</t>
        </is>
      </c>
      <c r="P312" s="11" t="n">
        <v>7036</v>
      </c>
    </row>
    <row r="313">
      <c r="A313" s="4" t="inlineStr">
        <is>
          <t>WH06</t>
        </is>
      </c>
      <c r="B313" s="4" t="inlineStr">
        <is>
          <t>Ahmedabad DC</t>
        </is>
      </c>
      <c r="C313" s="4" t="inlineStr">
        <is>
          <t>West</t>
        </is>
      </c>
      <c r="D313" s="4" t="inlineStr">
        <is>
          <t>SKU109</t>
        </is>
      </c>
      <c r="E313" s="4" t="inlineStr">
        <is>
          <t>Bubble Wrap Roll</t>
        </is>
      </c>
      <c r="F313" s="4" t="inlineStr">
        <is>
          <t>Packaging &amp; Supplies</t>
        </is>
      </c>
      <c r="G313" s="4" t="inlineStr">
        <is>
          <t>C</t>
        </is>
      </c>
      <c r="H313" s="4" t="inlineStr">
        <is>
          <t>LOW</t>
        </is>
      </c>
      <c r="I313" s="13" t="n">
        <v>0.57</v>
      </c>
      <c r="J313" s="11" t="n">
        <v>332</v>
      </c>
      <c r="K313" s="13" t="n">
        <v>583</v>
      </c>
      <c r="L313" s="11" t="n">
        <v>4120</v>
      </c>
      <c r="M313" s="4" t="inlineStr">
        <is>
          <t>PO0030885</t>
        </is>
      </c>
      <c r="N313" s="4" t="inlineStr">
        <is>
          <t>2026-10-02</t>
        </is>
      </c>
      <c r="O313" s="4" t="inlineStr">
        <is>
          <t>INBOUND OVERDUE</t>
        </is>
      </c>
      <c r="P313" s="11" t="n">
        <v>6996</v>
      </c>
    </row>
    <row r="314">
      <c r="A314" s="4" t="inlineStr">
        <is>
          <t>WH07</t>
        </is>
      </c>
      <c r="B314" s="4" t="inlineStr">
        <is>
          <t>Bengaluru DC</t>
        </is>
      </c>
      <c r="C314" s="4" t="inlineStr">
        <is>
          <t>South</t>
        </is>
      </c>
      <c r="D314" s="4" t="inlineStr">
        <is>
          <t>SKU083</t>
        </is>
      </c>
      <c r="E314" s="4" t="inlineStr">
        <is>
          <t>Screen Guard</t>
        </is>
      </c>
      <c r="F314" s="4" t="inlineStr">
        <is>
          <t>Electronics Accessories</t>
        </is>
      </c>
      <c r="G314" s="4" t="inlineStr">
        <is>
          <t>C</t>
        </is>
      </c>
      <c r="H314" s="4" t="inlineStr">
        <is>
          <t>LOW</t>
        </is>
      </c>
      <c r="I314" s="13" t="n">
        <v>1.26</v>
      </c>
      <c r="J314" s="11" t="n">
        <v>127</v>
      </c>
      <c r="K314" s="13" t="n">
        <v>100.8</v>
      </c>
      <c r="L314" s="11" t="n">
        <v>300</v>
      </c>
      <c r="M314" s="4" t="inlineStr">
        <is>
          <t>PO0031751</t>
        </is>
      </c>
      <c r="N314" s="4" t="inlineStr">
        <is>
          <t>2026-10-23</t>
        </is>
      </c>
      <c r="O314" s="4" t="inlineStr">
        <is>
          <t>GAP BEFORE ARRIVAL</t>
        </is>
      </c>
      <c r="P314" s="11" t="n">
        <v>6952</v>
      </c>
    </row>
    <row r="315">
      <c r="A315" s="4" t="inlineStr">
        <is>
          <t>WH02</t>
        </is>
      </c>
      <c r="B315" s="4" t="inlineStr">
        <is>
          <t>Jaipur DC</t>
        </is>
      </c>
      <c r="C315" s="4" t="inlineStr">
        <is>
          <t>North</t>
        </is>
      </c>
      <c r="D315" s="4" t="inlineStr">
        <is>
          <t>SKU011</t>
        </is>
      </c>
      <c r="E315" s="4" t="inlineStr">
        <is>
          <t>Besan 1kg</t>
        </is>
      </c>
      <c r="F315" s="4" t="inlineStr">
        <is>
          <t>Packaged Staples</t>
        </is>
      </c>
      <c r="G315" s="4" t="inlineStr">
        <is>
          <t>A</t>
        </is>
      </c>
      <c r="H315" s="4" t="inlineStr">
        <is>
          <t>LOW</t>
        </is>
      </c>
      <c r="I315" s="13" t="n">
        <v>1.15</v>
      </c>
      <c r="J315" s="11" t="n">
        <v>635</v>
      </c>
      <c r="K315" s="13" t="n">
        <v>554.3</v>
      </c>
      <c r="L315" s="11" t="n">
        <v>2532</v>
      </c>
      <c r="M315" s="4" t="inlineStr">
        <is>
          <t>PO0031670</t>
        </is>
      </c>
      <c r="N315" s="4" t="inlineStr">
        <is>
          <t>2026-10-08</t>
        </is>
      </c>
      <c r="O315" s="4" t="inlineStr">
        <is>
          <t>COVERED BY INBOUND</t>
        </is>
      </c>
      <c r="P315" s="11" t="n">
        <v>6651</v>
      </c>
    </row>
    <row r="316">
      <c r="A316" s="4" t="inlineStr">
        <is>
          <t>WH06</t>
        </is>
      </c>
      <c r="B316" s="4" t="inlineStr">
        <is>
          <t>Ahmedabad DC</t>
        </is>
      </c>
      <c r="C316" s="4" t="inlineStr">
        <is>
          <t>West</t>
        </is>
      </c>
      <c r="D316" s="4" t="inlineStr">
        <is>
          <t>SKU090</t>
        </is>
      </c>
      <c r="E316" s="4" t="inlineStr">
        <is>
          <t>HDMI Cable 2m</t>
        </is>
      </c>
      <c r="F316" s="4" t="inlineStr">
        <is>
          <t>Electronics Accessories</t>
        </is>
      </c>
      <c r="G316" s="4" t="inlineStr">
        <is>
          <t>C</t>
        </is>
      </c>
      <c r="H316" s="4" t="inlineStr">
        <is>
          <t>LOW</t>
        </is>
      </c>
      <c r="I316" s="13" t="n">
        <v>1.46</v>
      </c>
      <c r="J316" s="11" t="n">
        <v>111</v>
      </c>
      <c r="K316" s="13" t="n">
        <v>76</v>
      </c>
      <c r="L316" s="11" t="n">
        <v>320</v>
      </c>
      <c r="M316" s="4" t="inlineStr">
        <is>
          <t>PO0031897</t>
        </is>
      </c>
      <c r="N316" s="4" t="inlineStr">
        <is>
          <t>2026-10-18</t>
        </is>
      </c>
      <c r="O316" s="4" t="inlineStr">
        <is>
          <t>GAP BEFORE ARRIVAL</t>
        </is>
      </c>
      <c r="P316" s="11" t="n">
        <v>6536</v>
      </c>
    </row>
    <row r="317">
      <c r="A317" s="4" t="inlineStr">
        <is>
          <t>WH08</t>
        </is>
      </c>
      <c r="B317" s="4" t="inlineStr">
        <is>
          <t>Chennai DC</t>
        </is>
      </c>
      <c r="C317" s="4" t="inlineStr">
        <is>
          <t>South</t>
        </is>
      </c>
      <c r="D317" s="4" t="inlineStr">
        <is>
          <t>SKU012</t>
        </is>
      </c>
      <c r="E317" s="4" t="inlineStr">
        <is>
          <t>Rajma 1kg</t>
        </is>
      </c>
      <c r="F317" s="4" t="inlineStr">
        <is>
          <t>Packaged Staples</t>
        </is>
      </c>
      <c r="G317" s="4" t="inlineStr">
        <is>
          <t>B</t>
        </is>
      </c>
      <c r="H317" s="4" t="inlineStr">
        <is>
          <t>LOW</t>
        </is>
      </c>
      <c r="I317" s="13" t="n">
        <v>0.63</v>
      </c>
      <c r="J317" s="11" t="n">
        <v>817</v>
      </c>
      <c r="K317" s="13" t="n">
        <v>1295.5</v>
      </c>
      <c r="L317" s="11" t="n">
        <v>2688</v>
      </c>
      <c r="M317" s="4" t="inlineStr">
        <is>
          <t>PO0031759</t>
        </is>
      </c>
      <c r="N317" s="4" t="inlineStr">
        <is>
          <t>2026-10-10</t>
        </is>
      </c>
      <c r="O317" s="4" t="inlineStr">
        <is>
          <t>GAP BEFORE ARRIVAL</t>
        </is>
      </c>
      <c r="P317" s="11" t="n">
        <v>6478</v>
      </c>
    </row>
    <row r="318">
      <c r="A318" s="4" t="inlineStr">
        <is>
          <t>WH12</t>
        </is>
      </c>
      <c r="B318" s="4" t="inlineStr">
        <is>
          <t>Nagpur DC</t>
        </is>
      </c>
      <c r="C318" s="4" t="inlineStr">
        <is>
          <t>Central</t>
        </is>
      </c>
      <c r="D318" s="4" t="inlineStr">
        <is>
          <t>SKU055</t>
        </is>
      </c>
      <c r="E318" s="4" t="inlineStr">
        <is>
          <t>Talc 300g</t>
        </is>
      </c>
      <c r="F318" s="4" t="inlineStr">
        <is>
          <t>Personal Care</t>
        </is>
      </c>
      <c r="G318" s="4" t="inlineStr">
        <is>
          <t>B</t>
        </is>
      </c>
      <c r="H318" s="4" t="inlineStr">
        <is>
          <t>LOW</t>
        </is>
      </c>
      <c r="I318" s="13" t="n">
        <v>0.88</v>
      </c>
      <c r="J318" s="11" t="n">
        <v>246</v>
      </c>
      <c r="K318" s="13" t="n">
        <v>278</v>
      </c>
      <c r="L318" s="11" t="n">
        <v>1272</v>
      </c>
      <c r="M318" s="4" t="inlineStr">
        <is>
          <t>PO0031651</t>
        </is>
      </c>
      <c r="N318" s="4" t="inlineStr">
        <is>
          <t>2026-10-02</t>
        </is>
      </c>
      <c r="O318" s="4" t="inlineStr">
        <is>
          <t>INBOUND OVERDUE</t>
        </is>
      </c>
      <c r="P318" s="11" t="n">
        <v>6394</v>
      </c>
    </row>
    <row r="319">
      <c r="A319" s="4" t="inlineStr">
        <is>
          <t>WH10</t>
        </is>
      </c>
      <c r="B319" s="4" t="inlineStr">
        <is>
          <t>Kolkata DC</t>
        </is>
      </c>
      <c r="C319" s="4" t="inlineStr">
        <is>
          <t>East</t>
        </is>
      </c>
      <c r="D319" s="4" t="inlineStr">
        <is>
          <t>SKU092</t>
        </is>
      </c>
      <c r="E319" s="4" t="inlineStr">
        <is>
          <t>ORS Sachets 10pk</t>
        </is>
      </c>
      <c r="F319" s="4" t="inlineStr">
        <is>
          <t>OTC Pharma &amp; Wellness</t>
        </is>
      </c>
      <c r="G319" s="4" t="inlineStr">
        <is>
          <t>C</t>
        </is>
      </c>
      <c r="H319" s="4" t="inlineStr">
        <is>
          <t>LOW</t>
        </is>
      </c>
      <c r="I319" s="13" t="n">
        <v>1.45</v>
      </c>
      <c r="J319" s="11" t="n">
        <v>454</v>
      </c>
      <c r="K319" s="13" t="n">
        <v>314</v>
      </c>
      <c r="L319" s="11" t="n">
        <v>1644</v>
      </c>
      <c r="M319" s="4" t="inlineStr">
        <is>
          <t>PO0031627</t>
        </is>
      </c>
      <c r="N319" s="4" t="inlineStr">
        <is>
          <t>2026-10-10</t>
        </is>
      </c>
      <c r="O319" s="4" t="inlineStr">
        <is>
          <t>COVERED BY INBOUND</t>
        </is>
      </c>
      <c r="P319" s="11" t="n">
        <v>6280</v>
      </c>
    </row>
    <row r="320">
      <c r="A320" s="4" t="inlineStr">
        <is>
          <t>WH08</t>
        </is>
      </c>
      <c r="B320" s="4" t="inlineStr">
        <is>
          <t>Chennai DC</t>
        </is>
      </c>
      <c r="C320" s="4" t="inlineStr">
        <is>
          <t>South</t>
        </is>
      </c>
      <c r="D320" s="4" t="inlineStr">
        <is>
          <t>SKU091</t>
        </is>
      </c>
      <c r="E320" s="4" t="inlineStr">
        <is>
          <t>Paracetamol 500mg 15s</t>
        </is>
      </c>
      <c r="F320" s="4" t="inlineStr">
        <is>
          <t>OTC Pharma &amp; Wellness</t>
        </is>
      </c>
      <c r="G320" s="4" t="inlineStr">
        <is>
          <t>C</t>
        </is>
      </c>
      <c r="H320" s="4" t="inlineStr">
        <is>
          <t>LOW</t>
        </is>
      </c>
      <c r="I320" s="13" t="n">
        <v>0.64</v>
      </c>
      <c r="J320" s="11" t="n">
        <v>128</v>
      </c>
      <c r="K320" s="13" t="n">
        <v>201.3</v>
      </c>
      <c r="L320" s="11" t="n">
        <v>588</v>
      </c>
      <c r="M320" s="4" t="inlineStr">
        <is>
          <t>PO0031597</t>
        </is>
      </c>
      <c r="N320" s="4" t="inlineStr">
        <is>
          <t>2026-10-08</t>
        </is>
      </c>
      <c r="O320" s="4" t="inlineStr">
        <is>
          <t>COVERED BY INBOUND</t>
        </is>
      </c>
      <c r="P320" s="11" t="n">
        <v>6239</v>
      </c>
    </row>
    <row r="321">
      <c r="A321" s="4" t="inlineStr">
        <is>
          <t>WH05</t>
        </is>
      </c>
      <c r="B321" s="4" t="inlineStr">
        <is>
          <t>Pune DC</t>
        </is>
      </c>
      <c r="C321" s="4" t="inlineStr">
        <is>
          <t>West</t>
        </is>
      </c>
      <c r="D321" s="4" t="inlineStr">
        <is>
          <t>SKU004</t>
        </is>
      </c>
      <c r="E321" s="4" t="inlineStr">
        <is>
          <t>Moong Dal 1kg</t>
        </is>
      </c>
      <c r="F321" s="4" t="inlineStr">
        <is>
          <t>Packaged Staples</t>
        </is>
      </c>
      <c r="G321" s="4" t="inlineStr">
        <is>
          <t>B</t>
        </is>
      </c>
      <c r="H321" s="4" t="inlineStr">
        <is>
          <t>LOW</t>
        </is>
      </c>
      <c r="I321" s="13" t="n">
        <v>1.03</v>
      </c>
      <c r="J321" s="11" t="n">
        <v>584</v>
      </c>
      <c r="K321" s="13" t="n">
        <v>565.3</v>
      </c>
      <c r="L321" s="11" t="n">
        <v>1920</v>
      </c>
      <c r="M321" s="4" t="inlineStr">
        <is>
          <t>PO0031535</t>
        </is>
      </c>
      <c r="N321" s="4" t="inlineStr">
        <is>
          <t>2026-10-03</t>
        </is>
      </c>
      <c r="O321" s="4" t="inlineStr">
        <is>
          <t>INBOUND OVERDUE</t>
        </is>
      </c>
      <c r="P321" s="11" t="n">
        <v>6218</v>
      </c>
    </row>
    <row r="322">
      <c r="A322" s="4" t="inlineStr">
        <is>
          <t>WH05</t>
        </is>
      </c>
      <c r="B322" s="4" t="inlineStr">
        <is>
          <t>Pune DC</t>
        </is>
      </c>
      <c r="C322" s="4" t="inlineStr">
        <is>
          <t>West</t>
        </is>
      </c>
      <c r="D322" s="4" t="inlineStr">
        <is>
          <t>SKU046</t>
        </is>
      </c>
      <c r="E322" s="4" t="inlineStr">
        <is>
          <t>Shampoo 340ml</t>
        </is>
      </c>
      <c r="F322" s="4" t="inlineStr">
        <is>
          <t>Personal Care</t>
        </is>
      </c>
      <c r="G322" s="4" t="inlineStr">
        <is>
          <t>C</t>
        </is>
      </c>
      <c r="H322" s="4" t="inlineStr">
        <is>
          <t>LOW</t>
        </is>
      </c>
      <c r="I322" s="13" t="n">
        <v>0.7</v>
      </c>
      <c r="J322" s="11" t="n">
        <v>257</v>
      </c>
      <c r="K322" s="13" t="n">
        <v>368.5</v>
      </c>
      <c r="L322" s="11" t="n">
        <v>1260</v>
      </c>
      <c r="M322" s="4" t="inlineStr">
        <is>
          <t>PO0031538</t>
        </is>
      </c>
      <c r="N322" s="4" t="inlineStr">
        <is>
          <t>2026-10-07</t>
        </is>
      </c>
      <c r="O322" s="4" t="inlineStr">
        <is>
          <t>COVERED BY INBOUND</t>
        </is>
      </c>
      <c r="P322" s="11" t="n">
        <v>5896</v>
      </c>
    </row>
    <row r="323">
      <c r="A323" s="4" t="inlineStr">
        <is>
          <t>WH08</t>
        </is>
      </c>
      <c r="B323" s="4" t="inlineStr">
        <is>
          <t>Chennai DC</t>
        </is>
      </c>
      <c r="C323" s="4" t="inlineStr">
        <is>
          <t>South</t>
        </is>
      </c>
      <c r="D323" s="4" t="inlineStr">
        <is>
          <t>SKU025</t>
        </is>
      </c>
      <c r="E323" s="4" t="inlineStr">
        <is>
          <t>Tea Bags 100pk</t>
        </is>
      </c>
      <c r="F323" s="4" t="inlineStr">
        <is>
          <t>Beverages</t>
        </is>
      </c>
      <c r="G323" s="4" t="inlineStr">
        <is>
          <t>C</t>
        </is>
      </c>
      <c r="H323" s="4" t="inlineStr">
        <is>
          <t>LOW</t>
        </is>
      </c>
      <c r="I323" s="13" t="n">
        <v>1.27</v>
      </c>
      <c r="J323" s="11" t="n">
        <v>1863</v>
      </c>
      <c r="K323" s="13" t="n">
        <v>1463.8</v>
      </c>
      <c r="L323" s="11" t="n">
        <v>0</v>
      </c>
      <c r="M323" s="4" t="n"/>
      <c r="N323" s="4" t="n"/>
      <c r="O323" s="4" t="inlineStr">
        <is>
          <t>NO INBOUND PO</t>
        </is>
      </c>
      <c r="P323" s="11" t="n">
        <v>5855</v>
      </c>
    </row>
    <row r="324">
      <c r="A324" s="4" t="inlineStr">
        <is>
          <t>WH08</t>
        </is>
      </c>
      <c r="B324" s="4" t="inlineStr">
        <is>
          <t>Chennai DC</t>
        </is>
      </c>
      <c r="C324" s="4" t="inlineStr">
        <is>
          <t>South</t>
        </is>
      </c>
      <c r="D324" s="4" t="inlineStr">
        <is>
          <t>SKU098</t>
        </is>
      </c>
      <c r="E324" s="4" t="inlineStr">
        <is>
          <t>Bandage Pack</t>
        </is>
      </c>
      <c r="F324" s="4" t="inlineStr">
        <is>
          <t>OTC Pharma &amp; Wellness</t>
        </is>
      </c>
      <c r="G324" s="4" t="inlineStr">
        <is>
          <t>C</t>
        </is>
      </c>
      <c r="H324" s="4" t="inlineStr">
        <is>
          <t>LOW</t>
        </is>
      </c>
      <c r="I324" s="13" t="n">
        <v>0.8</v>
      </c>
      <c r="J324" s="11" t="n">
        <v>270</v>
      </c>
      <c r="K324" s="13" t="n">
        <v>336</v>
      </c>
      <c r="L324" s="11" t="n">
        <v>840</v>
      </c>
      <c r="M324" s="4" t="inlineStr">
        <is>
          <t>PO0031598</t>
        </is>
      </c>
      <c r="N324" s="4" t="inlineStr">
        <is>
          <t>2026-10-08</t>
        </is>
      </c>
      <c r="O324" s="4" t="inlineStr">
        <is>
          <t>COVERED BY INBOUND</t>
        </is>
      </c>
      <c r="P324" s="11" t="n">
        <v>5712</v>
      </c>
    </row>
    <row r="325">
      <c r="A325" s="4" t="inlineStr">
        <is>
          <t>WH02</t>
        </is>
      </c>
      <c r="B325" s="4" t="inlineStr">
        <is>
          <t>Jaipur DC</t>
        </is>
      </c>
      <c r="C325" s="4" t="inlineStr">
        <is>
          <t>North</t>
        </is>
      </c>
      <c r="D325" s="4" t="inlineStr">
        <is>
          <t>SKU021</t>
        </is>
      </c>
      <c r="E325" s="4" t="inlineStr">
        <is>
          <t>Fruit Juice 1L</t>
        </is>
      </c>
      <c r="F325" s="4" t="inlineStr">
        <is>
          <t>Beverages</t>
        </is>
      </c>
      <c r="G325" s="4" t="inlineStr">
        <is>
          <t>A</t>
        </is>
      </c>
      <c r="H325" s="4" t="inlineStr">
        <is>
          <t>LOW</t>
        </is>
      </c>
      <c r="I325" s="13" t="n">
        <v>0.98</v>
      </c>
      <c r="J325" s="11" t="n">
        <v>591</v>
      </c>
      <c r="K325" s="13" t="n">
        <v>605.8</v>
      </c>
      <c r="L325" s="11" t="n">
        <v>3048</v>
      </c>
      <c r="M325" s="4" t="inlineStr">
        <is>
          <t>PO0031843</t>
        </is>
      </c>
      <c r="N325" s="4" t="inlineStr">
        <is>
          <t>2026-10-07</t>
        </is>
      </c>
      <c r="O325" s="4" t="inlineStr">
        <is>
          <t>COVERED BY INBOUND</t>
        </is>
      </c>
      <c r="P325" s="11" t="n">
        <v>5452</v>
      </c>
    </row>
    <row r="326">
      <c r="A326" s="4" t="inlineStr">
        <is>
          <t>WH09</t>
        </is>
      </c>
      <c r="B326" s="4" t="inlineStr">
        <is>
          <t>Hyderabad DC</t>
        </is>
      </c>
      <c r="C326" s="4" t="inlineStr">
        <is>
          <t>South</t>
        </is>
      </c>
      <c r="D326" s="4" t="inlineStr">
        <is>
          <t>SKU114</t>
        </is>
      </c>
      <c r="E326" s="4" t="inlineStr">
        <is>
          <t>Cable Ties 100pk</t>
        </is>
      </c>
      <c r="F326" s="4" t="inlineStr">
        <is>
          <t>Packaging &amp; Supplies</t>
        </is>
      </c>
      <c r="G326" s="4" t="inlineStr">
        <is>
          <t>C</t>
        </is>
      </c>
      <c r="H326" s="4" t="inlineStr">
        <is>
          <t>LOW</t>
        </is>
      </c>
      <c r="I326" s="13" t="n">
        <v>1.49</v>
      </c>
      <c r="J326" s="11" t="n">
        <v>578</v>
      </c>
      <c r="K326" s="13" t="n">
        <v>387.3</v>
      </c>
      <c r="L326" s="11" t="n">
        <v>1700</v>
      </c>
      <c r="M326" s="4" t="inlineStr">
        <is>
          <t>PO0030943</t>
        </is>
      </c>
      <c r="N326" s="4" t="inlineStr">
        <is>
          <t>2026-09-29</t>
        </is>
      </c>
      <c r="O326" s="4" t="inlineStr">
        <is>
          <t>INBOUND OVERDUE</t>
        </is>
      </c>
      <c r="P326" s="11" t="n">
        <v>5422</v>
      </c>
    </row>
    <row r="327">
      <c r="A327" s="4" t="inlineStr">
        <is>
          <t>WH10</t>
        </is>
      </c>
      <c r="B327" s="4" t="inlineStr">
        <is>
          <t>Kolkata DC</t>
        </is>
      </c>
      <c r="C327" s="4" t="inlineStr">
        <is>
          <t>East</t>
        </is>
      </c>
      <c r="D327" s="4" t="inlineStr">
        <is>
          <t>SKU045</t>
        </is>
      </c>
      <c r="E327" s="4" t="inlineStr">
        <is>
          <t>Candy Pack 150g</t>
        </is>
      </c>
      <c r="F327" s="4" t="inlineStr">
        <is>
          <t>Snacks &amp; Confectionery</t>
        </is>
      </c>
      <c r="G327" s="4" t="inlineStr">
        <is>
          <t>C</t>
        </is>
      </c>
      <c r="H327" s="4" t="inlineStr">
        <is>
          <t>LOW</t>
        </is>
      </c>
      <c r="I327" s="13" t="n">
        <v>1.36</v>
      </c>
      <c r="J327" s="11" t="n">
        <v>1476</v>
      </c>
      <c r="K327" s="13" t="n">
        <v>1081.8</v>
      </c>
      <c r="L327" s="11" t="n">
        <v>0</v>
      </c>
      <c r="M327" s="4" t="n"/>
      <c r="N327" s="4" t="n"/>
      <c r="O327" s="4" t="inlineStr">
        <is>
          <t>NO INBOUND PO</t>
        </is>
      </c>
      <c r="P327" s="11" t="n">
        <v>5409</v>
      </c>
    </row>
    <row r="328">
      <c r="A328" s="4" t="inlineStr">
        <is>
          <t>WH12</t>
        </is>
      </c>
      <c r="B328" s="4" t="inlineStr">
        <is>
          <t>Nagpur DC</t>
        </is>
      </c>
      <c r="C328" s="4" t="inlineStr">
        <is>
          <t>Central</t>
        </is>
      </c>
      <c r="D328" s="4" t="inlineStr">
        <is>
          <t>SKU063</t>
        </is>
      </c>
      <c r="E328" s="4" t="inlineStr">
        <is>
          <t>Floor Cleaner 1L</t>
        </is>
      </c>
      <c r="F328" s="4" t="inlineStr">
        <is>
          <t>Home Care</t>
        </is>
      </c>
      <c r="G328" s="4" t="inlineStr">
        <is>
          <t>C</t>
        </is>
      </c>
      <c r="H328" s="4" t="inlineStr">
        <is>
          <t>LOW</t>
        </is>
      </c>
      <c r="I328" s="13" t="n">
        <v>1.46</v>
      </c>
      <c r="J328" s="11" t="n">
        <v>637</v>
      </c>
      <c r="K328" s="13" t="n">
        <v>435.8</v>
      </c>
      <c r="L328" s="11" t="n">
        <v>1596</v>
      </c>
      <c r="M328" s="4" t="inlineStr">
        <is>
          <t>PO0031987</t>
        </is>
      </c>
      <c r="N328" s="4" t="inlineStr">
        <is>
          <t>2026-10-13</t>
        </is>
      </c>
      <c r="O328" s="4" t="inlineStr">
        <is>
          <t>COVERED BY INBOUND</t>
        </is>
      </c>
      <c r="P328" s="11" t="n">
        <v>5229</v>
      </c>
    </row>
    <row r="329">
      <c r="A329" s="4" t="inlineStr">
        <is>
          <t>WH09</t>
        </is>
      </c>
      <c r="B329" s="4" t="inlineStr">
        <is>
          <t>Hyderabad DC</t>
        </is>
      </c>
      <c r="C329" s="4" t="inlineStr">
        <is>
          <t>South</t>
        </is>
      </c>
      <c r="D329" s="4" t="inlineStr">
        <is>
          <t>SKU109</t>
        </is>
      </c>
      <c r="E329" s="4" t="inlineStr">
        <is>
          <t>Bubble Wrap Roll</t>
        </is>
      </c>
      <c r="F329" s="4" t="inlineStr">
        <is>
          <t>Packaging &amp; Supplies</t>
        </is>
      </c>
      <c r="G329" s="4" t="inlineStr">
        <is>
          <t>C</t>
        </is>
      </c>
      <c r="H329" s="4" t="inlineStr">
        <is>
          <t>LOW</t>
        </is>
      </c>
      <c r="I329" s="13" t="n">
        <v>1.25</v>
      </c>
      <c r="J329" s="11" t="n">
        <v>537</v>
      </c>
      <c r="K329" s="13" t="n">
        <v>430</v>
      </c>
      <c r="L329" s="11" t="n">
        <v>1520</v>
      </c>
      <c r="M329" s="4" t="inlineStr">
        <is>
          <t>PO0030763</t>
        </is>
      </c>
      <c r="N329" s="4" t="inlineStr">
        <is>
          <t>2026-09-28</t>
        </is>
      </c>
      <c r="O329" s="4" t="inlineStr">
        <is>
          <t>INBOUND OVERDUE</t>
        </is>
      </c>
      <c r="P329" s="11" t="n">
        <v>5160</v>
      </c>
    </row>
    <row r="330">
      <c r="A330" s="4" t="inlineStr">
        <is>
          <t>WH06</t>
        </is>
      </c>
      <c r="B330" s="4" t="inlineStr">
        <is>
          <t>Ahmedabad DC</t>
        </is>
      </c>
      <c r="C330" s="4" t="inlineStr">
        <is>
          <t>West</t>
        </is>
      </c>
      <c r="D330" s="4" t="inlineStr">
        <is>
          <t>SKU083</t>
        </is>
      </c>
      <c r="E330" s="4" t="inlineStr">
        <is>
          <t>Screen Guard</t>
        </is>
      </c>
      <c r="F330" s="4" t="inlineStr">
        <is>
          <t>Electronics Accessories</t>
        </is>
      </c>
      <c r="G330" s="4" t="inlineStr">
        <is>
          <t>C</t>
        </is>
      </c>
      <c r="H330" s="4" t="inlineStr">
        <is>
          <t>LOW</t>
        </is>
      </c>
      <c r="I330" s="13" t="n">
        <v>0.61</v>
      </c>
      <c r="J330" s="11" t="n">
        <v>45</v>
      </c>
      <c r="K330" s="13" t="n">
        <v>74.3</v>
      </c>
      <c r="L330" s="11" t="n">
        <v>430</v>
      </c>
      <c r="M330" s="4" t="inlineStr">
        <is>
          <t>PO0031236</t>
        </is>
      </c>
      <c r="N330" s="4" t="inlineStr">
        <is>
          <t>2026-10-13</t>
        </is>
      </c>
      <c r="O330" s="4" t="inlineStr">
        <is>
          <t>GAP BEFORE ARRIVAL</t>
        </is>
      </c>
      <c r="P330" s="11" t="n">
        <v>5123</v>
      </c>
    </row>
    <row r="331">
      <c r="A331" s="4" t="inlineStr">
        <is>
          <t>WH06</t>
        </is>
      </c>
      <c r="B331" s="4" t="inlineStr">
        <is>
          <t>Ahmedabad DC</t>
        </is>
      </c>
      <c r="C331" s="4" t="inlineStr">
        <is>
          <t>West</t>
        </is>
      </c>
      <c r="D331" s="4" t="inlineStr">
        <is>
          <t>SKU026</t>
        </is>
      </c>
      <c r="E331" s="4" t="inlineStr">
        <is>
          <t>Buttermilk 200ml</t>
        </is>
      </c>
      <c r="F331" s="4" t="inlineStr">
        <is>
          <t>Beverages</t>
        </is>
      </c>
      <c r="G331" s="4" t="inlineStr">
        <is>
          <t>B</t>
        </is>
      </c>
      <c r="H331" s="4" t="inlineStr">
        <is>
          <t>LOW</t>
        </is>
      </c>
      <c r="I331" s="13" t="n">
        <v>1.39</v>
      </c>
      <c r="J331" s="11" t="n">
        <v>1419</v>
      </c>
      <c r="K331" s="13" t="n">
        <v>1019</v>
      </c>
      <c r="L331" s="11" t="n">
        <v>0</v>
      </c>
      <c r="M331" s="4" t="n"/>
      <c r="N331" s="4" t="n"/>
      <c r="O331" s="4" t="inlineStr">
        <is>
          <t>NO INBOUND PO</t>
        </is>
      </c>
      <c r="P331" s="11" t="n">
        <v>5095</v>
      </c>
    </row>
    <row r="332">
      <c r="A332" s="4" t="inlineStr">
        <is>
          <t>WH03</t>
        </is>
      </c>
      <c r="B332" s="4" t="inlineStr">
        <is>
          <t>Lucknow DC</t>
        </is>
      </c>
      <c r="C332" s="4" t="inlineStr">
        <is>
          <t>North</t>
        </is>
      </c>
      <c r="D332" s="4" t="inlineStr">
        <is>
          <t>SKU030</t>
        </is>
      </c>
      <c r="E332" s="4" t="inlineStr">
        <is>
          <t>Malt Drink 500g</t>
        </is>
      </c>
      <c r="F332" s="4" t="inlineStr">
        <is>
          <t>Beverages</t>
        </is>
      </c>
      <c r="G332" s="4" t="inlineStr">
        <is>
          <t>C</t>
        </is>
      </c>
      <c r="H332" s="4" t="inlineStr">
        <is>
          <t>LOW</t>
        </is>
      </c>
      <c r="I332" s="13" t="n">
        <v>0.6899999999999999</v>
      </c>
      <c r="J332" s="11" t="n">
        <v>574</v>
      </c>
      <c r="K332" s="13" t="n">
        <v>832.5</v>
      </c>
      <c r="L332" s="11" t="n">
        <v>0</v>
      </c>
      <c r="M332" s="4" t="n"/>
      <c r="N332" s="4" t="n"/>
      <c r="O332" s="4" t="inlineStr">
        <is>
          <t>NO INBOUND PO</t>
        </is>
      </c>
      <c r="P332" s="11" t="n">
        <v>4995</v>
      </c>
    </row>
    <row r="333">
      <c r="A333" s="4" t="inlineStr">
        <is>
          <t>WH11</t>
        </is>
      </c>
      <c r="B333" s="4" t="inlineStr">
        <is>
          <t>Guwahati DC</t>
        </is>
      </c>
      <c r="C333" s="4" t="inlineStr">
        <is>
          <t>East</t>
        </is>
      </c>
      <c r="D333" s="4" t="inlineStr">
        <is>
          <t>SKU007</t>
        </is>
      </c>
      <c r="E333" s="4" t="inlineStr">
        <is>
          <t>Sugar 1kg</t>
        </is>
      </c>
      <c r="F333" s="4" t="inlineStr">
        <is>
          <t>Packaged Staples</t>
        </is>
      </c>
      <c r="G333" s="4" t="inlineStr">
        <is>
          <t>A</t>
        </is>
      </c>
      <c r="H333" s="4" t="inlineStr">
        <is>
          <t>LOW</t>
        </is>
      </c>
      <c r="I333" s="13" t="n">
        <v>1.42</v>
      </c>
      <c r="J333" s="11" t="n">
        <v>501</v>
      </c>
      <c r="K333" s="13" t="n">
        <v>354</v>
      </c>
      <c r="L333" s="11" t="n">
        <v>2220</v>
      </c>
      <c r="M333" s="4" t="inlineStr">
        <is>
          <t>PO0031809</t>
        </is>
      </c>
      <c r="N333" s="4" t="inlineStr">
        <is>
          <t>2026-10-14</t>
        </is>
      </c>
      <c r="O333" s="4" t="inlineStr">
        <is>
          <t>GAP BEFORE ARRIVAL</t>
        </is>
      </c>
      <c r="P333" s="11" t="n">
        <v>4956</v>
      </c>
    </row>
    <row r="334">
      <c r="A334" s="4" t="inlineStr">
        <is>
          <t>WH09</t>
        </is>
      </c>
      <c r="B334" s="4" t="inlineStr">
        <is>
          <t>Hyderabad DC</t>
        </is>
      </c>
      <c r="C334" s="4" t="inlineStr">
        <is>
          <t>South</t>
        </is>
      </c>
      <c r="D334" s="4" t="inlineStr">
        <is>
          <t>SKU048</t>
        </is>
      </c>
      <c r="E334" s="4" t="inlineStr">
        <is>
          <t>Toothpaste 150g</t>
        </is>
      </c>
      <c r="F334" s="4" t="inlineStr">
        <is>
          <t>Personal Care</t>
        </is>
      </c>
      <c r="G334" s="4" t="inlineStr">
        <is>
          <t>C</t>
        </is>
      </c>
      <c r="H334" s="4" t="inlineStr">
        <is>
          <t>LOW</t>
        </is>
      </c>
      <c r="I334" s="13" t="n">
        <v>0.89</v>
      </c>
      <c r="J334" s="11" t="n">
        <v>274</v>
      </c>
      <c r="K334" s="13" t="n">
        <v>307.3</v>
      </c>
      <c r="L334" s="11" t="n">
        <v>1152</v>
      </c>
      <c r="M334" s="4" t="inlineStr">
        <is>
          <t>PO0031781</t>
        </is>
      </c>
      <c r="N334" s="4" t="inlineStr">
        <is>
          <t>2026-10-10</t>
        </is>
      </c>
      <c r="O334" s="4" t="inlineStr">
        <is>
          <t>COVERED BY INBOUND</t>
        </is>
      </c>
      <c r="P334" s="11" t="n">
        <v>4916</v>
      </c>
    </row>
    <row r="335">
      <c r="A335" s="4" t="inlineStr">
        <is>
          <t>WH10</t>
        </is>
      </c>
      <c r="B335" s="4" t="inlineStr">
        <is>
          <t>Kolkata DC</t>
        </is>
      </c>
      <c r="C335" s="4" t="inlineStr">
        <is>
          <t>East</t>
        </is>
      </c>
      <c r="D335" s="4" t="inlineStr">
        <is>
          <t>SKU010</t>
        </is>
      </c>
      <c r="E335" s="4" t="inlineStr">
        <is>
          <t>Poha 500g</t>
        </is>
      </c>
      <c r="F335" s="4" t="inlineStr">
        <is>
          <t>Packaged Staples</t>
        </is>
      </c>
      <c r="G335" s="4" t="inlineStr">
        <is>
          <t>B</t>
        </is>
      </c>
      <c r="H335" s="4" t="inlineStr">
        <is>
          <t>LOW</t>
        </is>
      </c>
      <c r="I335" s="13" t="n">
        <v>0.58</v>
      </c>
      <c r="J335" s="11" t="n">
        <v>561</v>
      </c>
      <c r="K335" s="13" t="n">
        <v>967.5</v>
      </c>
      <c r="L335" s="11" t="n">
        <v>2952</v>
      </c>
      <c r="M335" s="4" t="inlineStr">
        <is>
          <t>PO0031790</t>
        </is>
      </c>
      <c r="N335" s="4" t="inlineStr">
        <is>
          <t>2026-10-10</t>
        </is>
      </c>
      <c r="O335" s="4" t="inlineStr">
        <is>
          <t>GAP BEFORE ARRIVAL</t>
        </is>
      </c>
      <c r="P335" s="11" t="n">
        <v>4838</v>
      </c>
    </row>
    <row r="336">
      <c r="A336" s="4" t="inlineStr">
        <is>
          <t>WH08</t>
        </is>
      </c>
      <c r="B336" s="4" t="inlineStr">
        <is>
          <t>Chennai DC</t>
        </is>
      </c>
      <c r="C336" s="4" t="inlineStr">
        <is>
          <t>South</t>
        </is>
      </c>
      <c r="D336" s="4" t="inlineStr">
        <is>
          <t>SKU035</t>
        </is>
      </c>
      <c r="E336" s="4" t="inlineStr">
        <is>
          <t>Chocolate Bar 40g</t>
        </is>
      </c>
      <c r="F336" s="4" t="inlineStr">
        <is>
          <t>Snacks &amp; Confectionery</t>
        </is>
      </c>
      <c r="G336" s="4" t="inlineStr">
        <is>
          <t>C</t>
        </is>
      </c>
      <c r="H336" s="4" t="inlineStr">
        <is>
          <t>LOW</t>
        </is>
      </c>
      <c r="I336" s="13" t="n">
        <v>1.07</v>
      </c>
      <c r="J336" s="11" t="n">
        <v>1256</v>
      </c>
      <c r="K336" s="13" t="n">
        <v>1174.8</v>
      </c>
      <c r="L336" s="11" t="n">
        <v>0</v>
      </c>
      <c r="M336" s="4" t="n"/>
      <c r="N336" s="4" t="n"/>
      <c r="O336" s="4" t="inlineStr">
        <is>
          <t>NO INBOUND PO</t>
        </is>
      </c>
      <c r="P336" s="11" t="n">
        <v>4699</v>
      </c>
    </row>
    <row r="337">
      <c r="A337" s="4" t="inlineStr">
        <is>
          <t>WH11</t>
        </is>
      </c>
      <c r="B337" s="4" t="inlineStr">
        <is>
          <t>Guwahati DC</t>
        </is>
      </c>
      <c r="C337" s="4" t="inlineStr">
        <is>
          <t>East</t>
        </is>
      </c>
      <c r="D337" s="4" t="inlineStr">
        <is>
          <t>SKU101</t>
        </is>
      </c>
      <c r="E337" s="4" t="inlineStr">
        <is>
          <t>Vitamin C 30s</t>
        </is>
      </c>
      <c r="F337" s="4" t="inlineStr">
        <is>
          <t>OTC Pharma &amp; Wellness</t>
        </is>
      </c>
      <c r="G337" s="4" t="inlineStr">
        <is>
          <t>B</t>
        </is>
      </c>
      <c r="H337" s="4" t="inlineStr">
        <is>
          <t>LOW</t>
        </is>
      </c>
      <c r="I337" s="13" t="n">
        <v>0.6</v>
      </c>
      <c r="J337" s="11" t="n">
        <v>45</v>
      </c>
      <c r="K337" s="13" t="n">
        <v>75.3</v>
      </c>
      <c r="L337" s="11" t="n">
        <v>432</v>
      </c>
      <c r="M337" s="4" t="inlineStr">
        <is>
          <t>PO0031644</t>
        </is>
      </c>
      <c r="N337" s="4" t="inlineStr">
        <is>
          <t>2026-10-16</t>
        </is>
      </c>
      <c r="O337" s="4" t="inlineStr">
        <is>
          <t>GAP BEFORE ARRIVAL</t>
        </is>
      </c>
      <c r="P337" s="11" t="n">
        <v>4590</v>
      </c>
    </row>
    <row r="338">
      <c r="A338" s="4" t="inlineStr">
        <is>
          <t>WH02</t>
        </is>
      </c>
      <c r="B338" s="4" t="inlineStr">
        <is>
          <t>Jaipur DC</t>
        </is>
      </c>
      <c r="C338" s="4" t="inlineStr">
        <is>
          <t>North</t>
        </is>
      </c>
      <c r="D338" s="4" t="inlineStr">
        <is>
          <t>SKU066</t>
        </is>
      </c>
      <c r="E338" s="4" t="inlineStr">
        <is>
          <t>Fabric Softener 1L</t>
        </is>
      </c>
      <c r="F338" s="4" t="inlineStr">
        <is>
          <t>Home Care</t>
        </is>
      </c>
      <c r="G338" s="4" t="inlineStr">
        <is>
          <t>B</t>
        </is>
      </c>
      <c r="H338" s="4" t="inlineStr">
        <is>
          <t>LOW</t>
        </is>
      </c>
      <c r="I338" s="13" t="n">
        <v>0.68</v>
      </c>
      <c r="J338" s="11" t="n">
        <v>221</v>
      </c>
      <c r="K338" s="13" t="n">
        <v>323.8</v>
      </c>
      <c r="L338" s="11" t="n">
        <v>1248</v>
      </c>
      <c r="M338" s="4" t="inlineStr">
        <is>
          <t>PO0031500</t>
        </is>
      </c>
      <c r="N338" s="4" t="inlineStr">
        <is>
          <t>2026-10-07</t>
        </is>
      </c>
      <c r="O338" s="4" t="inlineStr">
        <is>
          <t>COVERED BY INBOUND</t>
        </is>
      </c>
      <c r="P338" s="11" t="n">
        <v>4533</v>
      </c>
    </row>
    <row r="339">
      <c r="A339" s="4" t="inlineStr">
        <is>
          <t>WH10</t>
        </is>
      </c>
      <c r="B339" s="4" t="inlineStr">
        <is>
          <t>Kolkata DC</t>
        </is>
      </c>
      <c r="C339" s="4" t="inlineStr">
        <is>
          <t>East</t>
        </is>
      </c>
      <c r="D339" s="4" t="inlineStr">
        <is>
          <t>SKU016</t>
        </is>
      </c>
      <c r="E339" s="4" t="inlineStr">
        <is>
          <t>Cola 750ml</t>
        </is>
      </c>
      <c r="F339" s="4" t="inlineStr">
        <is>
          <t>Beverages</t>
        </is>
      </c>
      <c r="G339" s="4" t="inlineStr">
        <is>
          <t>C</t>
        </is>
      </c>
      <c r="H339" s="4" t="inlineStr">
        <is>
          <t>LOW</t>
        </is>
      </c>
      <c r="I339" s="13" t="n">
        <v>0.66</v>
      </c>
      <c r="J339" s="11" t="n">
        <v>499</v>
      </c>
      <c r="K339" s="13" t="n">
        <v>755.3</v>
      </c>
      <c r="L339" s="11" t="n">
        <v>2568</v>
      </c>
      <c r="M339" s="4" t="inlineStr">
        <is>
          <t>PO0031962</t>
        </is>
      </c>
      <c r="N339" s="4" t="inlineStr">
        <is>
          <t>2026-10-10</t>
        </is>
      </c>
      <c r="O339" s="4" t="inlineStr">
        <is>
          <t>GAP BEFORE ARRIVAL</t>
        </is>
      </c>
      <c r="P339" s="11" t="n">
        <v>4532</v>
      </c>
    </row>
    <row r="340">
      <c r="A340" s="4" t="inlineStr">
        <is>
          <t>WH03</t>
        </is>
      </c>
      <c r="B340" s="4" t="inlineStr">
        <is>
          <t>Lucknow DC</t>
        </is>
      </c>
      <c r="C340" s="4" t="inlineStr">
        <is>
          <t>North</t>
        </is>
      </c>
      <c r="D340" s="4" t="inlineStr">
        <is>
          <t>SKU107</t>
        </is>
      </c>
      <c r="E340" s="4" t="inlineStr">
        <is>
          <t>Stretch Film 500mm</t>
        </is>
      </c>
      <c r="F340" s="4" t="inlineStr">
        <is>
          <t>Packaging &amp; Supplies</t>
        </is>
      </c>
      <c r="G340" s="4" t="inlineStr">
        <is>
          <t>A</t>
        </is>
      </c>
      <c r="H340" s="4" t="inlineStr">
        <is>
          <t>LOW</t>
        </is>
      </c>
      <c r="I340" s="13" t="n">
        <v>1.36</v>
      </c>
      <c r="J340" s="11" t="n">
        <v>103</v>
      </c>
      <c r="K340" s="13" t="n">
        <v>75.8</v>
      </c>
      <c r="L340" s="11" t="n">
        <v>540</v>
      </c>
      <c r="M340" s="4" t="inlineStr">
        <is>
          <t>PO0031863</t>
        </is>
      </c>
      <c r="N340" s="4" t="inlineStr">
        <is>
          <t>2026-10-12</t>
        </is>
      </c>
      <c r="O340" s="4" t="inlineStr">
        <is>
          <t>COVERED BY INBOUND</t>
        </is>
      </c>
      <c r="P340" s="11" t="n">
        <v>4469</v>
      </c>
    </row>
    <row r="341">
      <c r="A341" s="4" t="inlineStr">
        <is>
          <t>WH02</t>
        </is>
      </c>
      <c r="B341" s="4" t="inlineStr">
        <is>
          <t>Jaipur DC</t>
        </is>
      </c>
      <c r="C341" s="4" t="inlineStr">
        <is>
          <t>North</t>
        </is>
      </c>
      <c r="D341" s="4" t="inlineStr">
        <is>
          <t>SKU073</t>
        </is>
      </c>
      <c r="E341" s="4" t="inlineStr">
        <is>
          <t>Agarbatti 100pk</t>
        </is>
      </c>
      <c r="F341" s="4" t="inlineStr">
        <is>
          <t>Home Care</t>
        </is>
      </c>
      <c r="G341" s="4" t="inlineStr">
        <is>
          <t>C</t>
        </is>
      </c>
      <c r="H341" s="4" t="inlineStr">
        <is>
          <t>LOW</t>
        </is>
      </c>
      <c r="I341" s="13" t="n">
        <v>0.55</v>
      </c>
      <c r="J341" s="11" t="n">
        <v>152</v>
      </c>
      <c r="K341" s="13" t="n">
        <v>276.8</v>
      </c>
      <c r="L341" s="11" t="n">
        <v>1104</v>
      </c>
      <c r="M341" s="4" t="inlineStr">
        <is>
          <t>PO0031848</t>
        </is>
      </c>
      <c r="N341" s="4" t="inlineStr">
        <is>
          <t>2026-10-11</t>
        </is>
      </c>
      <c r="O341" s="4" t="inlineStr">
        <is>
          <t>GAP BEFORE ARRIVAL</t>
        </is>
      </c>
      <c r="P341" s="11" t="n">
        <v>4428</v>
      </c>
    </row>
    <row r="342">
      <c r="A342" s="4" t="inlineStr">
        <is>
          <t>WH11</t>
        </is>
      </c>
      <c r="B342" s="4" t="inlineStr">
        <is>
          <t>Guwahati DC</t>
        </is>
      </c>
      <c r="C342" s="4" t="inlineStr">
        <is>
          <t>East</t>
        </is>
      </c>
      <c r="D342" s="4" t="inlineStr">
        <is>
          <t>SKU072</t>
        </is>
      </c>
      <c r="E342" s="4" t="inlineStr">
        <is>
          <t>Phenyl 1L</t>
        </is>
      </c>
      <c r="F342" s="4" t="inlineStr">
        <is>
          <t>Home Care</t>
        </is>
      </c>
      <c r="G342" s="4" t="inlineStr">
        <is>
          <t>B</t>
        </is>
      </c>
      <c r="H342" s="4" t="inlineStr">
        <is>
          <t>LOW</t>
        </is>
      </c>
      <c r="I342" s="13" t="n">
        <v>0.72</v>
      </c>
      <c r="J342" s="11" t="n">
        <v>93</v>
      </c>
      <c r="K342" s="13" t="n">
        <v>129</v>
      </c>
      <c r="L342" s="11" t="n">
        <v>0</v>
      </c>
      <c r="M342" s="4" t="n"/>
      <c r="N342" s="4" t="n"/>
      <c r="O342" s="4" t="inlineStr">
        <is>
          <t>NO INBOUND PO</t>
        </is>
      </c>
      <c r="P342" s="11" t="n">
        <v>4257</v>
      </c>
    </row>
    <row r="343">
      <c r="A343" s="4" t="inlineStr">
        <is>
          <t>WH12</t>
        </is>
      </c>
      <c r="B343" s="4" t="inlineStr">
        <is>
          <t>Nagpur DC</t>
        </is>
      </c>
      <c r="C343" s="4" t="inlineStr">
        <is>
          <t>Central</t>
        </is>
      </c>
      <c r="D343" s="4" t="inlineStr">
        <is>
          <t>SKU064</t>
        </is>
      </c>
      <c r="E343" s="4" t="inlineStr">
        <is>
          <t>Toilet Cleaner 500ml</t>
        </is>
      </c>
      <c r="F343" s="4" t="inlineStr">
        <is>
          <t>Home Care</t>
        </is>
      </c>
      <c r="G343" s="4" t="inlineStr">
        <is>
          <t>C</t>
        </is>
      </c>
      <c r="H343" s="4" t="inlineStr">
        <is>
          <t>LOW</t>
        </is>
      </c>
      <c r="I343" s="13" t="n">
        <v>0.84</v>
      </c>
      <c r="J343" s="11" t="n">
        <v>136</v>
      </c>
      <c r="K343" s="13" t="n">
        <v>161.8</v>
      </c>
      <c r="L343" s="11" t="n">
        <v>552</v>
      </c>
      <c r="M343" s="4" t="inlineStr">
        <is>
          <t>PO0031653</t>
        </is>
      </c>
      <c r="N343" s="4" t="inlineStr">
        <is>
          <t>2026-10-05</t>
        </is>
      </c>
      <c r="O343" s="4" t="inlineStr">
        <is>
          <t>COVERED BY INBOUND</t>
        </is>
      </c>
      <c r="P343" s="11" t="n">
        <v>4206</v>
      </c>
    </row>
    <row r="344">
      <c r="A344" s="4" t="inlineStr">
        <is>
          <t>WH06</t>
        </is>
      </c>
      <c r="B344" s="4" t="inlineStr">
        <is>
          <t>Ahmedabad DC</t>
        </is>
      </c>
      <c r="C344" s="4" t="inlineStr">
        <is>
          <t>West</t>
        </is>
      </c>
      <c r="D344" s="4" t="inlineStr">
        <is>
          <t>SKU006</t>
        </is>
      </c>
      <c r="E344" s="4" t="inlineStr">
        <is>
          <t>Mustard Oil 1L</t>
        </is>
      </c>
      <c r="F344" s="4" t="inlineStr">
        <is>
          <t>Packaged Staples</t>
        </is>
      </c>
      <c r="G344" s="4" t="inlineStr">
        <is>
          <t>B</t>
        </is>
      </c>
      <c r="H344" s="4" t="inlineStr">
        <is>
          <t>LOW</t>
        </is>
      </c>
      <c r="I344" s="13" t="n">
        <v>1.03</v>
      </c>
      <c r="J344" s="11" t="n">
        <v>476</v>
      </c>
      <c r="K344" s="13" t="n">
        <v>462.8</v>
      </c>
      <c r="L344" s="11" t="n">
        <v>1488</v>
      </c>
      <c r="M344" s="4" t="inlineStr">
        <is>
          <t>PO0031885</t>
        </is>
      </c>
      <c r="N344" s="4" t="inlineStr">
        <is>
          <t>2026-10-10</t>
        </is>
      </c>
      <c r="O344" s="4" t="inlineStr">
        <is>
          <t>COVERED BY INBOUND</t>
        </is>
      </c>
      <c r="P344" s="11" t="n">
        <v>4165</v>
      </c>
    </row>
    <row r="345">
      <c r="A345" s="4" t="inlineStr">
        <is>
          <t>WH10</t>
        </is>
      </c>
      <c r="B345" s="4" t="inlineStr">
        <is>
          <t>Kolkata DC</t>
        </is>
      </c>
      <c r="C345" s="4" t="inlineStr">
        <is>
          <t>East</t>
        </is>
      </c>
      <c r="D345" s="4" t="inlineStr">
        <is>
          <t>SKU015</t>
        </is>
      </c>
      <c r="E345" s="4" t="inlineStr">
        <is>
          <t>Suji 1kg</t>
        </is>
      </c>
      <c r="F345" s="4" t="inlineStr">
        <is>
          <t>Packaged Staples</t>
        </is>
      </c>
      <c r="G345" s="4" t="inlineStr">
        <is>
          <t>C</t>
        </is>
      </c>
      <c r="H345" s="4" t="inlineStr">
        <is>
          <t>LOW</t>
        </is>
      </c>
      <c r="I345" s="13" t="n">
        <v>1.26</v>
      </c>
      <c r="J345" s="11" t="n">
        <v>1042</v>
      </c>
      <c r="K345" s="13" t="n">
        <v>827.5</v>
      </c>
      <c r="L345" s="11" t="n">
        <v>0</v>
      </c>
      <c r="M345" s="4" t="n"/>
      <c r="N345" s="4" t="n"/>
      <c r="O345" s="4" t="inlineStr">
        <is>
          <t>NO INBOUND PO</t>
        </is>
      </c>
      <c r="P345" s="11" t="n">
        <v>4138</v>
      </c>
    </row>
    <row r="346">
      <c r="A346" s="4" t="inlineStr">
        <is>
          <t>WH02</t>
        </is>
      </c>
      <c r="B346" s="4" t="inlineStr">
        <is>
          <t>Jaipur DC</t>
        </is>
      </c>
      <c r="C346" s="4" t="inlineStr">
        <is>
          <t>North</t>
        </is>
      </c>
      <c r="D346" s="4" t="inlineStr">
        <is>
          <t>SKU090</t>
        </is>
      </c>
      <c r="E346" s="4" t="inlineStr">
        <is>
          <t>HDMI Cable 2m</t>
        </is>
      </c>
      <c r="F346" s="4" t="inlineStr">
        <is>
          <t>Electronics Accessories</t>
        </is>
      </c>
      <c r="G346" s="4" t="inlineStr">
        <is>
          <t>C</t>
        </is>
      </c>
      <c r="H346" s="4" t="inlineStr">
        <is>
          <t>LOW</t>
        </is>
      </c>
      <c r="I346" s="13" t="n">
        <v>0.93</v>
      </c>
      <c r="J346" s="11" t="n">
        <v>42</v>
      </c>
      <c r="K346" s="13" t="n">
        <v>45.3</v>
      </c>
      <c r="L346" s="11" t="n">
        <v>200</v>
      </c>
      <c r="M346" s="4" t="inlineStr">
        <is>
          <t>PO0031851</t>
        </is>
      </c>
      <c r="N346" s="4" t="inlineStr">
        <is>
          <t>2026-10-18</t>
        </is>
      </c>
      <c r="O346" s="4" t="inlineStr">
        <is>
          <t>GAP BEFORE ARRIVAL</t>
        </is>
      </c>
      <c r="P346" s="11" t="n">
        <v>3892</v>
      </c>
    </row>
    <row r="347">
      <c r="A347" s="4" t="inlineStr">
        <is>
          <t>WH06</t>
        </is>
      </c>
      <c r="B347" s="4" t="inlineStr">
        <is>
          <t>Ahmedabad DC</t>
        </is>
      </c>
      <c r="C347" s="4" t="inlineStr">
        <is>
          <t>West</t>
        </is>
      </c>
      <c r="D347" s="4" t="inlineStr">
        <is>
          <t>SKU038</t>
        </is>
      </c>
      <c r="E347" s="4" t="inlineStr">
        <is>
          <t>Peanut Chikki 200g</t>
        </is>
      </c>
      <c r="F347" s="4" t="inlineStr">
        <is>
          <t>Snacks &amp; Confectionery</t>
        </is>
      </c>
      <c r="G347" s="4" t="inlineStr">
        <is>
          <t>C</t>
        </is>
      </c>
      <c r="H347" s="4" t="inlineStr">
        <is>
          <t>LOW</t>
        </is>
      </c>
      <c r="I347" s="13" t="n">
        <v>1.07</v>
      </c>
      <c r="J347" s="11" t="n">
        <v>1038</v>
      </c>
      <c r="K347" s="13" t="n">
        <v>971.5</v>
      </c>
      <c r="L347" s="11" t="n">
        <v>3180</v>
      </c>
      <c r="M347" s="4" t="inlineStr">
        <is>
          <t>PO0031554</t>
        </is>
      </c>
      <c r="N347" s="4" t="inlineStr">
        <is>
          <t>2026-10-03</t>
        </is>
      </c>
      <c r="O347" s="4" t="inlineStr">
        <is>
          <t>INBOUND OVERDUE</t>
        </is>
      </c>
      <c r="P347" s="11" t="n">
        <v>3886</v>
      </c>
    </row>
    <row r="348">
      <c r="A348" s="4" t="inlineStr">
        <is>
          <t>WH02</t>
        </is>
      </c>
      <c r="B348" s="4" t="inlineStr">
        <is>
          <t>Jaipur DC</t>
        </is>
      </c>
      <c r="C348" s="4" t="inlineStr">
        <is>
          <t>North</t>
        </is>
      </c>
      <c r="D348" s="4" t="inlineStr">
        <is>
          <t>SKU010</t>
        </is>
      </c>
      <c r="E348" s="4" t="inlineStr">
        <is>
          <t>Poha 500g</t>
        </is>
      </c>
      <c r="F348" s="4" t="inlineStr">
        <is>
          <t>Packaged Staples</t>
        </is>
      </c>
      <c r="G348" s="4" t="inlineStr">
        <is>
          <t>B</t>
        </is>
      </c>
      <c r="H348" s="4" t="inlineStr">
        <is>
          <t>LOW</t>
        </is>
      </c>
      <c r="I348" s="13" t="n">
        <v>0.97</v>
      </c>
      <c r="J348" s="11" t="n">
        <v>750</v>
      </c>
      <c r="K348" s="13" t="n">
        <v>772.3</v>
      </c>
      <c r="L348" s="11" t="n">
        <v>2712</v>
      </c>
      <c r="M348" s="4" t="inlineStr">
        <is>
          <t>PO0031669</t>
        </is>
      </c>
      <c r="N348" s="4" t="inlineStr">
        <is>
          <t>2026-10-10</t>
        </is>
      </c>
      <c r="O348" s="4" t="inlineStr">
        <is>
          <t>COVERED BY INBOUND</t>
        </is>
      </c>
      <c r="P348" s="11" t="n">
        <v>3861</v>
      </c>
    </row>
    <row r="349">
      <c r="A349" s="4" t="inlineStr">
        <is>
          <t>WH08</t>
        </is>
      </c>
      <c r="B349" s="4" t="inlineStr">
        <is>
          <t>Chennai DC</t>
        </is>
      </c>
      <c r="C349" s="4" t="inlineStr">
        <is>
          <t>South</t>
        </is>
      </c>
      <c r="D349" s="4" t="inlineStr">
        <is>
          <t>SKU024</t>
        </is>
      </c>
      <c r="E349" s="4" t="inlineStr">
        <is>
          <t>Instant Coffee 100g</t>
        </is>
      </c>
      <c r="F349" s="4" t="inlineStr">
        <is>
          <t>Beverages</t>
        </is>
      </c>
      <c r="G349" s="4" t="inlineStr">
        <is>
          <t>C</t>
        </is>
      </c>
      <c r="H349" s="4" t="inlineStr">
        <is>
          <t>LOW</t>
        </is>
      </c>
      <c r="I349" s="13" t="n">
        <v>0.58</v>
      </c>
      <c r="J349" s="11" t="n">
        <v>548</v>
      </c>
      <c r="K349" s="13" t="n">
        <v>952.5</v>
      </c>
      <c r="L349" s="11" t="n">
        <v>1776</v>
      </c>
      <c r="M349" s="4" t="inlineStr">
        <is>
          <t>PO0031762</t>
        </is>
      </c>
      <c r="N349" s="4" t="inlineStr">
        <is>
          <t>2026-10-09</t>
        </is>
      </c>
      <c r="O349" s="4" t="inlineStr">
        <is>
          <t>GAP BEFORE ARRIVAL</t>
        </is>
      </c>
      <c r="P349" s="11" t="n">
        <v>3810</v>
      </c>
    </row>
    <row r="350">
      <c r="A350" s="4" t="inlineStr">
        <is>
          <t>WH05</t>
        </is>
      </c>
      <c r="B350" s="4" t="inlineStr">
        <is>
          <t>Pune DC</t>
        </is>
      </c>
      <c r="C350" s="4" t="inlineStr">
        <is>
          <t>West</t>
        </is>
      </c>
      <c r="D350" s="4" t="inlineStr">
        <is>
          <t>SKU026</t>
        </is>
      </c>
      <c r="E350" s="4" t="inlineStr">
        <is>
          <t>Buttermilk 200ml</t>
        </is>
      </c>
      <c r="F350" s="4" t="inlineStr">
        <is>
          <t>Beverages</t>
        </is>
      </c>
      <c r="G350" s="4" t="inlineStr">
        <is>
          <t>B</t>
        </is>
      </c>
      <c r="H350" s="4" t="inlineStr">
        <is>
          <t>LOW</t>
        </is>
      </c>
      <c r="I350" s="13" t="n">
        <v>0.86</v>
      </c>
      <c r="J350" s="11" t="n">
        <v>641</v>
      </c>
      <c r="K350" s="13" t="n">
        <v>744.3</v>
      </c>
      <c r="L350" s="11" t="n">
        <v>3024</v>
      </c>
      <c r="M350" s="4" t="inlineStr">
        <is>
          <t>PO0031875</t>
        </is>
      </c>
      <c r="N350" s="4" t="inlineStr">
        <is>
          <t>2026-10-06</t>
        </is>
      </c>
      <c r="O350" s="4" t="inlineStr">
        <is>
          <t>COVERED BY INBOUND</t>
        </is>
      </c>
      <c r="P350" s="11" t="n">
        <v>3721</v>
      </c>
    </row>
    <row r="351">
      <c r="A351" s="4" t="inlineStr">
        <is>
          <t>WH08</t>
        </is>
      </c>
      <c r="B351" s="4" t="inlineStr">
        <is>
          <t>Chennai DC</t>
        </is>
      </c>
      <c r="C351" s="4" t="inlineStr">
        <is>
          <t>South</t>
        </is>
      </c>
      <c r="D351" s="4" t="inlineStr">
        <is>
          <t>SKU104</t>
        </is>
      </c>
      <c r="E351" s="4" t="inlineStr">
        <is>
          <t>Hand Sanitizer 500ml</t>
        </is>
      </c>
      <c r="F351" s="4" t="inlineStr">
        <is>
          <t>OTC Pharma &amp; Wellness</t>
        </is>
      </c>
      <c r="G351" s="4" t="inlineStr">
        <is>
          <t>C</t>
        </is>
      </c>
      <c r="H351" s="4" t="inlineStr">
        <is>
          <t>LOW</t>
        </is>
      </c>
      <c r="I351" s="13" t="n">
        <v>0.5600000000000001</v>
      </c>
      <c r="J351" s="11" t="n">
        <v>190</v>
      </c>
      <c r="K351" s="13" t="n">
        <v>337.5</v>
      </c>
      <c r="L351" s="11" t="n">
        <v>1044</v>
      </c>
      <c r="M351" s="4" t="inlineStr">
        <is>
          <t>PO0031773</t>
        </is>
      </c>
      <c r="N351" s="4" t="inlineStr">
        <is>
          <t>2026-10-11</t>
        </is>
      </c>
      <c r="O351" s="4" t="inlineStr">
        <is>
          <t>GAP BEFORE ARRIVAL</t>
        </is>
      </c>
      <c r="P351" s="11" t="n">
        <v>3713</v>
      </c>
    </row>
    <row r="352">
      <c r="A352" s="4" t="inlineStr">
        <is>
          <t>WH02</t>
        </is>
      </c>
      <c r="B352" s="4" t="inlineStr">
        <is>
          <t>Jaipur DC</t>
        </is>
      </c>
      <c r="C352" s="4" t="inlineStr">
        <is>
          <t>North</t>
        </is>
      </c>
      <c r="D352" s="4" t="inlineStr">
        <is>
          <t>SKU075</t>
        </is>
      </c>
      <c r="E352" s="4" t="inlineStr">
        <is>
          <t>Naphthalene Balls 200g</t>
        </is>
      </c>
      <c r="F352" s="4" t="inlineStr">
        <is>
          <t>Home Care</t>
        </is>
      </c>
      <c r="G352" s="4" t="inlineStr">
        <is>
          <t>C</t>
        </is>
      </c>
      <c r="H352" s="4" t="inlineStr">
        <is>
          <t>LOW</t>
        </is>
      </c>
      <c r="I352" s="13" t="n">
        <v>0.77</v>
      </c>
      <c r="J352" s="11" t="n">
        <v>258</v>
      </c>
      <c r="K352" s="13" t="n">
        <v>336.3</v>
      </c>
      <c r="L352" s="11" t="n">
        <v>1212</v>
      </c>
      <c r="M352" s="4" t="inlineStr">
        <is>
          <t>PO0031849</t>
        </is>
      </c>
      <c r="N352" s="4" t="inlineStr">
        <is>
          <t>2026-10-13</t>
        </is>
      </c>
      <c r="O352" s="4" t="inlineStr">
        <is>
          <t>GAP BEFORE ARRIVAL</t>
        </is>
      </c>
      <c r="P352" s="11" t="n">
        <v>3699</v>
      </c>
    </row>
    <row r="353">
      <c r="A353" s="4" t="inlineStr">
        <is>
          <t>WH09</t>
        </is>
      </c>
      <c r="B353" s="4" t="inlineStr">
        <is>
          <t>Hyderabad DC</t>
        </is>
      </c>
      <c r="C353" s="4" t="inlineStr">
        <is>
          <t>South</t>
        </is>
      </c>
      <c r="D353" s="4" t="inlineStr">
        <is>
          <t>SKU036</t>
        </is>
      </c>
      <c r="E353" s="4" t="inlineStr">
        <is>
          <t>Instant Noodles 70g</t>
        </is>
      </c>
      <c r="F353" s="4" t="inlineStr">
        <is>
          <t>Snacks &amp; Confectionery</t>
        </is>
      </c>
      <c r="G353" s="4" t="inlineStr">
        <is>
          <t>C</t>
        </is>
      </c>
      <c r="H353" s="4" t="inlineStr">
        <is>
          <t>LOW</t>
        </is>
      </c>
      <c r="I353" s="13" t="n">
        <v>1.26</v>
      </c>
      <c r="J353" s="11" t="n">
        <v>930</v>
      </c>
      <c r="K353" s="13" t="n">
        <v>736.8</v>
      </c>
      <c r="L353" s="11" t="n">
        <v>3336</v>
      </c>
      <c r="M353" s="4" t="inlineStr">
        <is>
          <t>PO0031779</t>
        </is>
      </c>
      <c r="N353" s="4" t="inlineStr">
        <is>
          <t>2026-10-06</t>
        </is>
      </c>
      <c r="O353" s="4" t="inlineStr">
        <is>
          <t>COVERED BY INBOUND</t>
        </is>
      </c>
      <c r="P353" s="11" t="n">
        <v>3684</v>
      </c>
    </row>
    <row r="354">
      <c r="A354" s="4" t="inlineStr">
        <is>
          <t>WH05</t>
        </is>
      </c>
      <c r="B354" s="4" t="inlineStr">
        <is>
          <t>Pune DC</t>
        </is>
      </c>
      <c r="C354" s="4" t="inlineStr">
        <is>
          <t>West</t>
        </is>
      </c>
      <c r="D354" s="4" t="inlineStr">
        <is>
          <t>SKU029</t>
        </is>
      </c>
      <c r="E354" s="4" t="inlineStr">
        <is>
          <t>Tonic Water 300ml</t>
        </is>
      </c>
      <c r="F354" s="4" t="inlineStr">
        <is>
          <t>Beverages</t>
        </is>
      </c>
      <c r="G354" s="4" t="inlineStr">
        <is>
          <t>B</t>
        </is>
      </c>
      <c r="H354" s="4" t="inlineStr">
        <is>
          <t>LOW</t>
        </is>
      </c>
      <c r="I354" s="13" t="n">
        <v>0.5600000000000001</v>
      </c>
      <c r="J354" s="11" t="n">
        <v>514</v>
      </c>
      <c r="K354" s="13" t="n">
        <v>911</v>
      </c>
      <c r="L354" s="11" t="n">
        <v>3480</v>
      </c>
      <c r="M354" s="4" t="inlineStr">
        <is>
          <t>PO0031876</t>
        </is>
      </c>
      <c r="N354" s="4" t="inlineStr">
        <is>
          <t>2026-10-07</t>
        </is>
      </c>
      <c r="O354" s="4" t="inlineStr">
        <is>
          <t>COVERED BY INBOUND</t>
        </is>
      </c>
      <c r="P354" s="11" t="n">
        <v>3644</v>
      </c>
    </row>
    <row r="355">
      <c r="A355" s="4" t="inlineStr">
        <is>
          <t>WH07</t>
        </is>
      </c>
      <c r="B355" s="4" t="inlineStr">
        <is>
          <t>Bengaluru DC</t>
        </is>
      </c>
      <c r="C355" s="4" t="inlineStr">
        <is>
          <t>South</t>
        </is>
      </c>
      <c r="D355" s="4" t="inlineStr">
        <is>
          <t>SKU104</t>
        </is>
      </c>
      <c r="E355" s="4" t="inlineStr">
        <is>
          <t>Hand Sanitizer 500ml</t>
        </is>
      </c>
      <c r="F355" s="4" t="inlineStr">
        <is>
          <t>OTC Pharma &amp; Wellness</t>
        </is>
      </c>
      <c r="G355" s="4" t="inlineStr">
        <is>
          <t>C</t>
        </is>
      </c>
      <c r="H355" s="4" t="inlineStr">
        <is>
          <t>LOW</t>
        </is>
      </c>
      <c r="I355" s="13" t="n">
        <v>0.97</v>
      </c>
      <c r="J355" s="11" t="n">
        <v>314</v>
      </c>
      <c r="K355" s="13" t="n">
        <v>324.3</v>
      </c>
      <c r="L355" s="11" t="n">
        <v>1584</v>
      </c>
      <c r="M355" s="4" t="inlineStr">
        <is>
          <t>PO0031577</t>
        </is>
      </c>
      <c r="N355" s="4" t="inlineStr">
        <is>
          <t>2026-10-05</t>
        </is>
      </c>
      <c r="O355" s="4" t="inlineStr">
        <is>
          <t>COVERED BY INBOUND</t>
        </is>
      </c>
      <c r="P355" s="11" t="n">
        <v>3567</v>
      </c>
    </row>
    <row r="356">
      <c r="A356" s="4" t="inlineStr">
        <is>
          <t>WH12</t>
        </is>
      </c>
      <c r="B356" s="4" t="inlineStr">
        <is>
          <t>Nagpur DC</t>
        </is>
      </c>
      <c r="C356" s="4" t="inlineStr">
        <is>
          <t>Central</t>
        </is>
      </c>
      <c r="D356" s="4" t="inlineStr">
        <is>
          <t>SKU010</t>
        </is>
      </c>
      <c r="E356" s="4" t="inlineStr">
        <is>
          <t>Poha 500g</t>
        </is>
      </c>
      <c r="F356" s="4" t="inlineStr">
        <is>
          <t>Packaged Staples</t>
        </is>
      </c>
      <c r="G356" s="4" t="inlineStr">
        <is>
          <t>B</t>
        </is>
      </c>
      <c r="H356" s="4" t="inlineStr">
        <is>
          <t>LOW</t>
        </is>
      </c>
      <c r="I356" s="13" t="n">
        <v>1.05</v>
      </c>
      <c r="J356" s="11" t="n">
        <v>725</v>
      </c>
      <c r="K356" s="13" t="n">
        <v>687.8</v>
      </c>
      <c r="L356" s="11" t="n">
        <v>2520</v>
      </c>
      <c r="M356" s="4" t="inlineStr">
        <is>
          <t>PO0031985</t>
        </is>
      </c>
      <c r="N356" s="4" t="inlineStr">
        <is>
          <t>2026-10-08</t>
        </is>
      </c>
      <c r="O356" s="4" t="inlineStr">
        <is>
          <t>COVERED BY INBOUND</t>
        </is>
      </c>
      <c r="P356" s="11" t="n">
        <v>3439</v>
      </c>
    </row>
    <row r="357">
      <c r="A357" s="4" t="inlineStr">
        <is>
          <t>WH11</t>
        </is>
      </c>
      <c r="B357" s="4" t="inlineStr">
        <is>
          <t>Guwahati DC</t>
        </is>
      </c>
      <c r="C357" s="4" t="inlineStr">
        <is>
          <t>East</t>
        </is>
      </c>
      <c r="D357" s="4" t="inlineStr">
        <is>
          <t>SKU029</t>
        </is>
      </c>
      <c r="E357" s="4" t="inlineStr">
        <is>
          <t>Tonic Water 300ml</t>
        </is>
      </c>
      <c r="F357" s="4" t="inlineStr">
        <is>
          <t>Beverages</t>
        </is>
      </c>
      <c r="G357" s="4" t="inlineStr">
        <is>
          <t>B</t>
        </is>
      </c>
      <c r="H357" s="4" t="inlineStr">
        <is>
          <t>LOW</t>
        </is>
      </c>
      <c r="I357" s="13" t="n">
        <v>1.48</v>
      </c>
      <c r="J357" s="11" t="n">
        <v>1238</v>
      </c>
      <c r="K357" s="13" t="n">
        <v>836.8</v>
      </c>
      <c r="L357" s="11" t="n">
        <v>0</v>
      </c>
      <c r="M357" s="4" t="n"/>
      <c r="N357" s="4" t="n"/>
      <c r="O357" s="4" t="inlineStr">
        <is>
          <t>NO INBOUND PO</t>
        </is>
      </c>
      <c r="P357" s="11" t="n">
        <v>3347</v>
      </c>
    </row>
    <row r="358">
      <c r="A358" s="4" t="inlineStr">
        <is>
          <t>WH10</t>
        </is>
      </c>
      <c r="B358" s="4" t="inlineStr">
        <is>
          <t>Kolkata DC</t>
        </is>
      </c>
      <c r="C358" s="4" t="inlineStr">
        <is>
          <t>East</t>
        </is>
      </c>
      <c r="D358" s="4" t="inlineStr">
        <is>
          <t>SKU031</t>
        </is>
      </c>
      <c r="E358" s="4" t="inlineStr">
        <is>
          <t>Potato Chips 90g</t>
        </is>
      </c>
      <c r="F358" s="4" t="inlineStr">
        <is>
          <t>Snacks &amp; Confectionery</t>
        </is>
      </c>
      <c r="G358" s="4" t="inlineStr">
        <is>
          <t>C</t>
        </is>
      </c>
      <c r="H358" s="4" t="inlineStr">
        <is>
          <t>LOW</t>
        </is>
      </c>
      <c r="I358" s="13" t="n">
        <v>0.66</v>
      </c>
      <c r="J358" s="11" t="n">
        <v>729</v>
      </c>
      <c r="K358" s="13" t="n">
        <v>1108</v>
      </c>
      <c r="L358" s="11" t="n">
        <v>4800</v>
      </c>
      <c r="M358" s="4" t="inlineStr">
        <is>
          <t>PO0031450</t>
        </is>
      </c>
      <c r="N358" s="4" t="inlineStr">
        <is>
          <t>2026-09-30</t>
        </is>
      </c>
      <c r="O358" s="4" t="inlineStr">
        <is>
          <t>INBOUND OVERDUE</t>
        </is>
      </c>
      <c r="P358" s="11" t="n">
        <v>3324</v>
      </c>
    </row>
    <row r="359">
      <c r="A359" s="4" t="inlineStr">
        <is>
          <t>WH08</t>
        </is>
      </c>
      <c r="B359" s="4" t="inlineStr">
        <is>
          <t>Chennai DC</t>
        </is>
      </c>
      <c r="C359" s="4" t="inlineStr">
        <is>
          <t>South</t>
        </is>
      </c>
      <c r="D359" s="4" t="inlineStr">
        <is>
          <t>SKU016</t>
        </is>
      </c>
      <c r="E359" s="4" t="inlineStr">
        <is>
          <t>Cola 750ml</t>
        </is>
      </c>
      <c r="F359" s="4" t="inlineStr">
        <is>
          <t>Beverages</t>
        </is>
      </c>
      <c r="G359" s="4" t="inlineStr">
        <is>
          <t>C</t>
        </is>
      </c>
      <c r="H359" s="4" t="inlineStr">
        <is>
          <t>LOW</t>
        </is>
      </c>
      <c r="I359" s="13" t="n">
        <v>0.92</v>
      </c>
      <c r="J359" s="11" t="n">
        <v>508</v>
      </c>
      <c r="K359" s="13" t="n">
        <v>550.8</v>
      </c>
      <c r="L359" s="11" t="n">
        <v>0</v>
      </c>
      <c r="M359" s="4" t="n"/>
      <c r="N359" s="4" t="n"/>
      <c r="O359" s="4" t="inlineStr">
        <is>
          <t>NO INBOUND PO</t>
        </is>
      </c>
      <c r="P359" s="11" t="n">
        <v>3305</v>
      </c>
    </row>
    <row r="360">
      <c r="A360" s="4" t="inlineStr">
        <is>
          <t>WH03</t>
        </is>
      </c>
      <c r="B360" s="4" t="inlineStr">
        <is>
          <t>Lucknow DC</t>
        </is>
      </c>
      <c r="C360" s="4" t="inlineStr">
        <is>
          <t>North</t>
        </is>
      </c>
      <c r="D360" s="4" t="inlineStr">
        <is>
          <t>SKU113</t>
        </is>
      </c>
      <c r="E360" s="4" t="inlineStr">
        <is>
          <t>Void Fill Paper</t>
        </is>
      </c>
      <c r="F360" s="4" t="inlineStr">
        <is>
          <t>Packaging &amp; Supplies</t>
        </is>
      </c>
      <c r="G360" s="4" t="inlineStr">
        <is>
          <t>C</t>
        </is>
      </c>
      <c r="H360" s="4" t="inlineStr">
        <is>
          <t>LOW</t>
        </is>
      </c>
      <c r="I360" s="13" t="n">
        <v>0.5</v>
      </c>
      <c r="J360" s="11" t="n">
        <v>87</v>
      </c>
      <c r="K360" s="13" t="n">
        <v>173.8</v>
      </c>
      <c r="L360" s="11" t="n">
        <v>520</v>
      </c>
      <c r="M360" s="4" t="inlineStr">
        <is>
          <t>PO0031029</t>
        </is>
      </c>
      <c r="N360" s="4" t="inlineStr">
        <is>
          <t>2026-10-05</t>
        </is>
      </c>
      <c r="O360" s="4" t="inlineStr">
        <is>
          <t>COVERED BY INBOUND</t>
        </is>
      </c>
      <c r="P360" s="11" t="n">
        <v>3301</v>
      </c>
    </row>
    <row r="361">
      <c r="A361" s="4" t="inlineStr">
        <is>
          <t>WH10</t>
        </is>
      </c>
      <c r="B361" s="4" t="inlineStr">
        <is>
          <t>Kolkata DC</t>
        </is>
      </c>
      <c r="C361" s="4" t="inlineStr">
        <is>
          <t>East</t>
        </is>
      </c>
      <c r="D361" s="4" t="inlineStr">
        <is>
          <t>SKU038</t>
        </is>
      </c>
      <c r="E361" s="4" t="inlineStr">
        <is>
          <t>Peanut Chikki 200g</t>
        </is>
      </c>
      <c r="F361" s="4" t="inlineStr">
        <is>
          <t>Snacks &amp; Confectionery</t>
        </is>
      </c>
      <c r="G361" s="4" t="inlineStr">
        <is>
          <t>C</t>
        </is>
      </c>
      <c r="H361" s="4" t="inlineStr">
        <is>
          <t>LOW</t>
        </is>
      </c>
      <c r="I361" s="13" t="n">
        <v>0.6899999999999999</v>
      </c>
      <c r="J361" s="11" t="n">
        <v>563</v>
      </c>
      <c r="K361" s="13" t="n">
        <v>812</v>
      </c>
      <c r="L361" s="11" t="n">
        <v>3180</v>
      </c>
      <c r="M361" s="4" t="inlineStr">
        <is>
          <t>PO0031799</t>
        </is>
      </c>
      <c r="N361" s="4" t="inlineStr">
        <is>
          <t>2026-10-09</t>
        </is>
      </c>
      <c r="O361" s="4" t="inlineStr">
        <is>
          <t>GAP BEFORE ARRIVAL</t>
        </is>
      </c>
      <c r="P361" s="11" t="n">
        <v>3248</v>
      </c>
    </row>
    <row r="362">
      <c r="A362" s="4" t="inlineStr">
        <is>
          <t>WH06</t>
        </is>
      </c>
      <c r="B362" s="4" t="inlineStr">
        <is>
          <t>Ahmedabad DC</t>
        </is>
      </c>
      <c r="C362" s="4" t="inlineStr">
        <is>
          <t>West</t>
        </is>
      </c>
      <c r="D362" s="4" t="inlineStr">
        <is>
          <t>SKU113</t>
        </is>
      </c>
      <c r="E362" s="4" t="inlineStr">
        <is>
          <t>Void Fill Paper</t>
        </is>
      </c>
      <c r="F362" s="4" t="inlineStr">
        <is>
          <t>Packaging &amp; Supplies</t>
        </is>
      </c>
      <c r="G362" s="4" t="inlineStr">
        <is>
          <t>C</t>
        </is>
      </c>
      <c r="H362" s="4" t="inlineStr">
        <is>
          <t>LOW</t>
        </is>
      </c>
      <c r="I362" s="13" t="n">
        <v>0.52</v>
      </c>
      <c r="J362" s="11" t="n">
        <v>82</v>
      </c>
      <c r="K362" s="13" t="n">
        <v>157.3</v>
      </c>
      <c r="L362" s="11" t="n">
        <v>440</v>
      </c>
      <c r="M362" s="4" t="inlineStr">
        <is>
          <t>PO0031076</t>
        </is>
      </c>
      <c r="N362" s="4" t="inlineStr">
        <is>
          <t>2026-10-05</t>
        </is>
      </c>
      <c r="O362" s="4" t="inlineStr">
        <is>
          <t>COVERED BY INBOUND</t>
        </is>
      </c>
      <c r="P362" s="11" t="n">
        <v>2988</v>
      </c>
    </row>
    <row r="363">
      <c r="A363" s="4" t="inlineStr">
        <is>
          <t>WH08</t>
        </is>
      </c>
      <c r="B363" s="4" t="inlineStr">
        <is>
          <t>Chennai DC</t>
        </is>
      </c>
      <c r="C363" s="4" t="inlineStr">
        <is>
          <t>South</t>
        </is>
      </c>
      <c r="D363" s="4" t="inlineStr">
        <is>
          <t>SKU096</t>
        </is>
      </c>
      <c r="E363" s="4" t="inlineStr">
        <is>
          <t>Antiseptic Liquid 250ml</t>
        </is>
      </c>
      <c r="F363" s="4" t="inlineStr">
        <is>
          <t>OTC Pharma &amp; Wellness</t>
        </is>
      </c>
      <c r="G363" s="4" t="inlineStr">
        <is>
          <t>C</t>
        </is>
      </c>
      <c r="H363" s="4" t="inlineStr">
        <is>
          <t>LOW</t>
        </is>
      </c>
      <c r="I363" s="13" t="n">
        <v>0.8100000000000001</v>
      </c>
      <c r="J363" s="11" t="n">
        <v>98</v>
      </c>
      <c r="K363" s="13" t="n">
        <v>121.3</v>
      </c>
      <c r="L363" s="11" t="n">
        <v>336</v>
      </c>
      <c r="M363" s="4" t="inlineStr">
        <is>
          <t>PO0031934</t>
        </is>
      </c>
      <c r="N363" s="4" t="inlineStr">
        <is>
          <t>2026-10-12</t>
        </is>
      </c>
      <c r="O363" s="4" t="inlineStr">
        <is>
          <t>GAP BEFORE ARRIVAL</t>
        </is>
      </c>
      <c r="P363" s="11" t="n">
        <v>2910</v>
      </c>
    </row>
    <row r="364">
      <c r="A364" s="4" t="inlineStr">
        <is>
          <t>WH08</t>
        </is>
      </c>
      <c r="B364" s="4" t="inlineStr">
        <is>
          <t>Chennai DC</t>
        </is>
      </c>
      <c r="C364" s="4" t="inlineStr">
        <is>
          <t>South</t>
        </is>
      </c>
      <c r="D364" s="4" t="inlineStr">
        <is>
          <t>SKU007</t>
        </is>
      </c>
      <c r="E364" s="4" t="inlineStr">
        <is>
          <t>Sugar 1kg</t>
        </is>
      </c>
      <c r="F364" s="4" t="inlineStr">
        <is>
          <t>Packaged Staples</t>
        </is>
      </c>
      <c r="G364" s="4" t="inlineStr">
        <is>
          <t>A</t>
        </is>
      </c>
      <c r="H364" s="4" t="inlineStr">
        <is>
          <t>LOW</t>
        </is>
      </c>
      <c r="I364" s="13" t="n">
        <v>1.41</v>
      </c>
      <c r="J364" s="11" t="n">
        <v>288</v>
      </c>
      <c r="K364" s="13" t="n">
        <v>204.3</v>
      </c>
      <c r="L364" s="11" t="n">
        <v>0</v>
      </c>
      <c r="M364" s="4" t="n"/>
      <c r="N364" s="4" t="n"/>
      <c r="O364" s="4" t="inlineStr">
        <is>
          <t>NO INBOUND PO</t>
        </is>
      </c>
      <c r="P364" s="11" t="n">
        <v>2860</v>
      </c>
    </row>
    <row r="365">
      <c r="A365" s="4" t="inlineStr">
        <is>
          <t>WH02</t>
        </is>
      </c>
      <c r="B365" s="4" t="inlineStr">
        <is>
          <t>Jaipur DC</t>
        </is>
      </c>
      <c r="C365" s="4" t="inlineStr">
        <is>
          <t>North</t>
        </is>
      </c>
      <c r="D365" s="4" t="inlineStr">
        <is>
          <t>SKU045</t>
        </is>
      </c>
      <c r="E365" s="4" t="inlineStr">
        <is>
          <t>Candy Pack 150g</t>
        </is>
      </c>
      <c r="F365" s="4" t="inlineStr">
        <is>
          <t>Snacks &amp; Confectionery</t>
        </is>
      </c>
      <c r="G365" s="4" t="inlineStr">
        <is>
          <t>C</t>
        </is>
      </c>
      <c r="H365" s="4" t="inlineStr">
        <is>
          <t>LOW</t>
        </is>
      </c>
      <c r="I365" s="13" t="n">
        <v>1.36</v>
      </c>
      <c r="J365" s="11" t="n">
        <v>766</v>
      </c>
      <c r="K365" s="13" t="n">
        <v>564.3</v>
      </c>
      <c r="L365" s="11" t="n">
        <v>2532</v>
      </c>
      <c r="M365" s="4" t="inlineStr">
        <is>
          <t>PO0031846</t>
        </is>
      </c>
      <c r="N365" s="4" t="inlineStr">
        <is>
          <t>2026-10-07</t>
        </is>
      </c>
      <c r="O365" s="4" t="inlineStr">
        <is>
          <t>COVERED BY INBOUND</t>
        </is>
      </c>
      <c r="P365" s="11" t="n">
        <v>2821</v>
      </c>
    </row>
    <row r="366">
      <c r="A366" s="4" t="inlineStr">
        <is>
          <t>WH07</t>
        </is>
      </c>
      <c r="B366" s="4" t="inlineStr">
        <is>
          <t>Bengaluru DC</t>
        </is>
      </c>
      <c r="C366" s="4" t="inlineStr">
        <is>
          <t>South</t>
        </is>
      </c>
      <c r="D366" s="4" t="inlineStr">
        <is>
          <t>SKU117</t>
        </is>
      </c>
      <c r="E366" s="4" t="inlineStr">
        <is>
          <t>Courier Bags 100pk</t>
        </is>
      </c>
      <c r="F366" s="4" t="inlineStr">
        <is>
          <t>Packaging &amp; Supplies</t>
        </is>
      </c>
      <c r="G366" s="4" t="inlineStr">
        <is>
          <t>C</t>
        </is>
      </c>
      <c r="H366" s="4" t="inlineStr">
        <is>
          <t>LOW</t>
        </is>
      </c>
      <c r="I366" s="13" t="n">
        <v>1.02</v>
      </c>
      <c r="J366" s="11" t="n">
        <v>675</v>
      </c>
      <c r="K366" s="13" t="n">
        <v>658.8</v>
      </c>
      <c r="L366" s="11" t="n">
        <v>2140</v>
      </c>
      <c r="M366" s="4" t="inlineStr">
        <is>
          <t>PO0031915</t>
        </is>
      </c>
      <c r="N366" s="4" t="inlineStr">
        <is>
          <t>2026-10-12</t>
        </is>
      </c>
      <c r="O366" s="4" t="inlineStr">
        <is>
          <t>GAP BEFORE ARRIVAL</t>
        </is>
      </c>
      <c r="P366" s="11" t="n">
        <v>2635</v>
      </c>
    </row>
    <row r="367">
      <c r="A367" s="4" t="inlineStr">
        <is>
          <t>WH10</t>
        </is>
      </c>
      <c r="B367" s="4" t="inlineStr">
        <is>
          <t>Kolkata DC</t>
        </is>
      </c>
      <c r="C367" s="4" t="inlineStr">
        <is>
          <t>East</t>
        </is>
      </c>
      <c r="D367" s="4" t="inlineStr">
        <is>
          <t>SKU115</t>
        </is>
      </c>
      <c r="E367" s="4" t="inlineStr">
        <is>
          <t>Edge Protectors 50pk</t>
        </is>
      </c>
      <c r="F367" s="4" t="inlineStr">
        <is>
          <t>Packaging &amp; Supplies</t>
        </is>
      </c>
      <c r="G367" s="4" t="inlineStr">
        <is>
          <t>C</t>
        </is>
      </c>
      <c r="H367" s="4" t="inlineStr">
        <is>
          <t>LOW</t>
        </is>
      </c>
      <c r="I367" s="13" t="n">
        <v>1.19</v>
      </c>
      <c r="J367" s="11" t="n">
        <v>281</v>
      </c>
      <c r="K367" s="13" t="n">
        <v>235.5</v>
      </c>
      <c r="L367" s="11" t="n">
        <v>820</v>
      </c>
      <c r="M367" s="4" t="inlineStr">
        <is>
          <t>PO0031462</t>
        </is>
      </c>
      <c r="N367" s="4" t="inlineStr">
        <is>
          <t>2026-10-06</t>
        </is>
      </c>
      <c r="O367" s="4" t="inlineStr">
        <is>
          <t>COVERED BY INBOUND</t>
        </is>
      </c>
      <c r="P367" s="11" t="n">
        <v>2591</v>
      </c>
    </row>
    <row r="368">
      <c r="A368" s="4" t="inlineStr">
        <is>
          <t>WH07</t>
        </is>
      </c>
      <c r="B368" s="4" t="inlineStr">
        <is>
          <t>Bengaluru DC</t>
        </is>
      </c>
      <c r="C368" s="4" t="inlineStr">
        <is>
          <t>South</t>
        </is>
      </c>
      <c r="D368" s="4" t="inlineStr">
        <is>
          <t>SKU112</t>
        </is>
      </c>
      <c r="E368" s="4" t="inlineStr">
        <is>
          <t>Poly Mailer 100pk</t>
        </is>
      </c>
      <c r="F368" s="4" t="inlineStr">
        <is>
          <t>Packaging &amp; Supplies</t>
        </is>
      </c>
      <c r="G368" s="4" t="inlineStr">
        <is>
          <t>C</t>
        </is>
      </c>
      <c r="H368" s="4" t="inlineStr">
        <is>
          <t>LOW</t>
        </is>
      </c>
      <c r="I368" s="13" t="n">
        <v>1.38</v>
      </c>
      <c r="J368" s="11" t="n">
        <v>178</v>
      </c>
      <c r="K368" s="13" t="n">
        <v>129</v>
      </c>
      <c r="L368" s="11" t="n">
        <v>460</v>
      </c>
      <c r="M368" s="4" t="inlineStr">
        <is>
          <t>PO0031914</t>
        </is>
      </c>
      <c r="N368" s="4" t="inlineStr">
        <is>
          <t>2026-10-13</t>
        </is>
      </c>
      <c r="O368" s="4" t="inlineStr">
        <is>
          <t>COVERED BY INBOUND</t>
        </is>
      </c>
      <c r="P368" s="11" t="n">
        <v>2580</v>
      </c>
    </row>
    <row r="369">
      <c r="A369" s="4" t="inlineStr">
        <is>
          <t>WH09</t>
        </is>
      </c>
      <c r="B369" s="4" t="inlineStr">
        <is>
          <t>Hyderabad DC</t>
        </is>
      </c>
      <c r="C369" s="4" t="inlineStr">
        <is>
          <t>South</t>
        </is>
      </c>
      <c r="D369" s="4" t="inlineStr">
        <is>
          <t>SKU106</t>
        </is>
      </c>
      <c r="E369" s="4" t="inlineStr">
        <is>
          <t>Corrugated Box 12x12</t>
        </is>
      </c>
      <c r="F369" s="4" t="inlineStr">
        <is>
          <t>Packaging &amp; Supplies</t>
        </is>
      </c>
      <c r="G369" s="4" t="inlineStr">
        <is>
          <t>B</t>
        </is>
      </c>
      <c r="H369" s="4" t="inlineStr">
        <is>
          <t>LOW</t>
        </is>
      </c>
      <c r="I369" s="13" t="n">
        <v>0.9399999999999999</v>
      </c>
      <c r="J369" s="11" t="n">
        <v>30</v>
      </c>
      <c r="K369" s="13" t="n">
        <v>32</v>
      </c>
      <c r="L369" s="11" t="n">
        <v>360</v>
      </c>
      <c r="M369" s="4" t="inlineStr">
        <is>
          <t>PO0031446</t>
        </is>
      </c>
      <c r="N369" s="4" t="inlineStr">
        <is>
          <t>2026-10-14</t>
        </is>
      </c>
      <c r="O369" s="4" t="inlineStr">
        <is>
          <t>GAP BEFORE ARRIVAL</t>
        </is>
      </c>
      <c r="P369" s="11" t="n">
        <v>2560</v>
      </c>
    </row>
    <row r="370">
      <c r="A370" s="4" t="inlineStr">
        <is>
          <t>WH03</t>
        </is>
      </c>
      <c r="B370" s="4" t="inlineStr">
        <is>
          <t>Lucknow DC</t>
        </is>
      </c>
      <c r="C370" s="4" t="inlineStr">
        <is>
          <t>North</t>
        </is>
      </c>
      <c r="D370" s="4" t="inlineStr">
        <is>
          <t>SKU035</t>
        </is>
      </c>
      <c r="E370" s="4" t="inlineStr">
        <is>
          <t>Chocolate Bar 40g</t>
        </is>
      </c>
      <c r="F370" s="4" t="inlineStr">
        <is>
          <t>Snacks &amp; Confectionery</t>
        </is>
      </c>
      <c r="G370" s="4" t="inlineStr">
        <is>
          <t>C</t>
        </is>
      </c>
      <c r="H370" s="4" t="inlineStr">
        <is>
          <t>LOW</t>
        </is>
      </c>
      <c r="I370" s="13" t="n">
        <v>1.43</v>
      </c>
      <c r="J370" s="11" t="n">
        <v>883</v>
      </c>
      <c r="K370" s="13" t="n">
        <v>619.5</v>
      </c>
      <c r="L370" s="11" t="n">
        <v>0</v>
      </c>
      <c r="M370" s="4" t="n"/>
      <c r="N370" s="4" t="n"/>
      <c r="O370" s="4" t="inlineStr">
        <is>
          <t>NO INBOUND PO</t>
        </is>
      </c>
      <c r="P370" s="11" t="n">
        <v>2478</v>
      </c>
    </row>
    <row r="371">
      <c r="A371" s="4" t="inlineStr">
        <is>
          <t>WH02</t>
        </is>
      </c>
      <c r="B371" s="4" t="inlineStr">
        <is>
          <t>Jaipur DC</t>
        </is>
      </c>
      <c r="C371" s="4" t="inlineStr">
        <is>
          <t>North</t>
        </is>
      </c>
      <c r="D371" s="4" t="inlineStr">
        <is>
          <t>SKU015</t>
        </is>
      </c>
      <c r="E371" s="4" t="inlineStr">
        <is>
          <t>Suji 1kg</t>
        </is>
      </c>
      <c r="F371" s="4" t="inlineStr">
        <is>
          <t>Packaged Staples</t>
        </is>
      </c>
      <c r="G371" s="4" t="inlineStr">
        <is>
          <t>C</t>
        </is>
      </c>
      <c r="H371" s="4" t="inlineStr">
        <is>
          <t>LOW</t>
        </is>
      </c>
      <c r="I371" s="13" t="n">
        <v>1.25</v>
      </c>
      <c r="J371" s="11" t="n">
        <v>602</v>
      </c>
      <c r="K371" s="13" t="n">
        <v>480.3</v>
      </c>
      <c r="L371" s="11" t="n">
        <v>1692</v>
      </c>
      <c r="M371" s="4" t="inlineStr">
        <is>
          <t>PO0031671</t>
        </is>
      </c>
      <c r="N371" s="4" t="inlineStr">
        <is>
          <t>2026-10-06</t>
        </is>
      </c>
      <c r="O371" s="4" t="inlineStr">
        <is>
          <t>COVERED BY INBOUND</t>
        </is>
      </c>
      <c r="P371" s="11" t="n">
        <v>2401</v>
      </c>
    </row>
    <row r="372">
      <c r="A372" s="4" t="inlineStr">
        <is>
          <t>WH11</t>
        </is>
      </c>
      <c r="B372" s="4" t="inlineStr">
        <is>
          <t>Guwahati DC</t>
        </is>
      </c>
      <c r="C372" s="4" t="inlineStr">
        <is>
          <t>East</t>
        </is>
      </c>
      <c r="D372" s="4" t="inlineStr">
        <is>
          <t>SKU083</t>
        </is>
      </c>
      <c r="E372" s="4" t="inlineStr">
        <is>
          <t>Screen Guard</t>
        </is>
      </c>
      <c r="F372" s="4" t="inlineStr">
        <is>
          <t>Electronics Accessories</t>
        </is>
      </c>
      <c r="G372" s="4" t="inlineStr">
        <is>
          <t>C</t>
        </is>
      </c>
      <c r="H372" s="4" t="inlineStr">
        <is>
          <t>LOW</t>
        </is>
      </c>
      <c r="I372" s="13" t="n">
        <v>1.1</v>
      </c>
      <c r="J372" s="11" t="n">
        <v>36</v>
      </c>
      <c r="K372" s="13" t="n">
        <v>32.8</v>
      </c>
      <c r="L372" s="11" t="n">
        <v>150</v>
      </c>
      <c r="M372" s="4" t="inlineStr">
        <is>
          <t>PO0031813</t>
        </is>
      </c>
      <c r="N372" s="4" t="inlineStr">
        <is>
          <t>2026-10-29</t>
        </is>
      </c>
      <c r="O372" s="4" t="inlineStr">
        <is>
          <t>GAP BEFORE ARRIVAL</t>
        </is>
      </c>
      <c r="P372" s="11" t="n">
        <v>2260</v>
      </c>
    </row>
    <row r="373">
      <c r="A373" s="4" t="inlineStr">
        <is>
          <t>WH10</t>
        </is>
      </c>
      <c r="B373" s="4" t="inlineStr">
        <is>
          <t>Kolkata DC</t>
        </is>
      </c>
      <c r="C373" s="4" t="inlineStr">
        <is>
          <t>East</t>
        </is>
      </c>
      <c r="D373" s="4" t="inlineStr">
        <is>
          <t>SKU096</t>
        </is>
      </c>
      <c r="E373" s="4" t="inlineStr">
        <is>
          <t>Antiseptic Liquid 250ml</t>
        </is>
      </c>
      <c r="F373" s="4" t="inlineStr">
        <is>
          <t>OTC Pharma &amp; Wellness</t>
        </is>
      </c>
      <c r="G373" s="4" t="inlineStr">
        <is>
          <t>C</t>
        </is>
      </c>
      <c r="H373" s="4" t="inlineStr">
        <is>
          <t>LOW</t>
        </is>
      </c>
      <c r="I373" s="13" t="n">
        <v>1.07</v>
      </c>
      <c r="J373" s="11" t="n">
        <v>100</v>
      </c>
      <c r="K373" s="13" t="n">
        <v>93.3</v>
      </c>
      <c r="L373" s="11" t="n">
        <v>336</v>
      </c>
      <c r="M373" s="4" t="inlineStr">
        <is>
          <t>PO0031973</t>
        </is>
      </c>
      <c r="N373" s="4" t="inlineStr">
        <is>
          <t>2026-10-15</t>
        </is>
      </c>
      <c r="O373" s="4" t="inlineStr">
        <is>
          <t>GAP BEFORE ARRIVAL</t>
        </is>
      </c>
      <c r="P373" s="11" t="n">
        <v>2238</v>
      </c>
    </row>
    <row r="374">
      <c r="A374" s="4" t="inlineStr">
        <is>
          <t>WH09</t>
        </is>
      </c>
      <c r="B374" s="4" t="inlineStr">
        <is>
          <t>Hyderabad DC</t>
        </is>
      </c>
      <c r="C374" s="4" t="inlineStr">
        <is>
          <t>South</t>
        </is>
      </c>
      <c r="D374" s="4" t="inlineStr">
        <is>
          <t>SKU110</t>
        </is>
      </c>
      <c r="E374" s="4" t="inlineStr">
        <is>
          <t>Pallet Strapping Roll</t>
        </is>
      </c>
      <c r="F374" s="4" t="inlineStr">
        <is>
          <t>Packaging &amp; Supplies</t>
        </is>
      </c>
      <c r="G374" s="4" t="inlineStr">
        <is>
          <t>C</t>
        </is>
      </c>
      <c r="H374" s="4" t="inlineStr">
        <is>
          <t>LOW</t>
        </is>
      </c>
      <c r="I374" s="13" t="n">
        <v>0.64</v>
      </c>
      <c r="J374" s="11" t="n">
        <v>176</v>
      </c>
      <c r="K374" s="13" t="n">
        <v>275.3</v>
      </c>
      <c r="L374" s="11" t="n">
        <v>860</v>
      </c>
      <c r="M374" s="4" t="inlineStr">
        <is>
          <t>PO0031288</t>
        </is>
      </c>
      <c r="N374" s="4" t="inlineStr">
        <is>
          <t>2026-09-30</t>
        </is>
      </c>
      <c r="O374" s="4" t="inlineStr">
        <is>
          <t>INBOUND OVERDUE</t>
        </is>
      </c>
      <c r="P374" s="11" t="n">
        <v>2202</v>
      </c>
    </row>
    <row r="375">
      <c r="A375" s="4" t="inlineStr">
        <is>
          <t>WH07</t>
        </is>
      </c>
      <c r="B375" s="4" t="inlineStr">
        <is>
          <t>Bengaluru DC</t>
        </is>
      </c>
      <c r="C375" s="4" t="inlineStr">
        <is>
          <t>South</t>
        </is>
      </c>
      <c r="D375" s="4" t="inlineStr">
        <is>
          <t>SKU120</t>
        </is>
      </c>
      <c r="E375" s="4" t="inlineStr">
        <is>
          <t>Cutter Blades 10pk</t>
        </is>
      </c>
      <c r="F375" s="4" t="inlineStr">
        <is>
          <t>Packaging &amp; Supplies</t>
        </is>
      </c>
      <c r="G375" s="4" t="inlineStr">
        <is>
          <t>C</t>
        </is>
      </c>
      <c r="H375" s="4" t="inlineStr">
        <is>
          <t>LOW</t>
        </is>
      </c>
      <c r="I375" s="13" t="n">
        <v>0.89</v>
      </c>
      <c r="J375" s="11" t="n">
        <v>381</v>
      </c>
      <c r="K375" s="13" t="n">
        <v>428.3</v>
      </c>
      <c r="L375" s="11" t="n">
        <v>1220</v>
      </c>
      <c r="M375" s="4" t="inlineStr">
        <is>
          <t>PO0031422</t>
        </is>
      </c>
      <c r="N375" s="4" t="inlineStr">
        <is>
          <t>2026-10-12</t>
        </is>
      </c>
      <c r="O375" s="4" t="inlineStr">
        <is>
          <t>GAP BEFORE ARRIVAL</t>
        </is>
      </c>
      <c r="P375" s="11" t="n">
        <v>2141</v>
      </c>
    </row>
    <row r="376">
      <c r="A376" s="4" t="inlineStr">
        <is>
          <t>WH09</t>
        </is>
      </c>
      <c r="B376" s="4" t="inlineStr">
        <is>
          <t>Hyderabad DC</t>
        </is>
      </c>
      <c r="C376" s="4" t="inlineStr">
        <is>
          <t>South</t>
        </is>
      </c>
      <c r="D376" s="4" t="inlineStr">
        <is>
          <t>SKU064</t>
        </is>
      </c>
      <c r="E376" s="4" t="inlineStr">
        <is>
          <t>Toilet Cleaner 500ml</t>
        </is>
      </c>
      <c r="F376" s="4" t="inlineStr">
        <is>
          <t>Home Care</t>
        </is>
      </c>
      <c r="G376" s="4" t="inlineStr">
        <is>
          <t>C</t>
        </is>
      </c>
      <c r="H376" s="4" t="inlineStr">
        <is>
          <t>LOW</t>
        </is>
      </c>
      <c r="I376" s="13" t="n">
        <v>1.08</v>
      </c>
      <c r="J376" s="11" t="n">
        <v>87</v>
      </c>
      <c r="K376" s="13" t="n">
        <v>80.5</v>
      </c>
      <c r="L376" s="11" t="n">
        <v>468</v>
      </c>
      <c r="M376" s="4" t="inlineStr">
        <is>
          <t>PO0031949</t>
        </is>
      </c>
      <c r="N376" s="4" t="inlineStr">
        <is>
          <t>2026-10-12</t>
        </is>
      </c>
      <c r="O376" s="4" t="inlineStr">
        <is>
          <t>GAP BEFORE ARRIVAL</t>
        </is>
      </c>
      <c r="P376" s="11" t="n">
        <v>2093</v>
      </c>
    </row>
    <row r="377">
      <c r="A377" s="4" t="inlineStr">
        <is>
          <t>WH08</t>
        </is>
      </c>
      <c r="B377" s="4" t="inlineStr">
        <is>
          <t>Chennai DC</t>
        </is>
      </c>
      <c r="C377" s="4" t="inlineStr">
        <is>
          <t>South</t>
        </is>
      </c>
      <c r="D377" s="4" t="inlineStr">
        <is>
          <t>SKU112</t>
        </is>
      </c>
      <c r="E377" s="4" t="inlineStr">
        <is>
          <t>Poly Mailer 100pk</t>
        </is>
      </c>
      <c r="F377" s="4" t="inlineStr">
        <is>
          <t>Packaging &amp; Supplies</t>
        </is>
      </c>
      <c r="G377" s="4" t="inlineStr">
        <is>
          <t>C</t>
        </is>
      </c>
      <c r="H377" s="4" t="inlineStr">
        <is>
          <t>LOW</t>
        </is>
      </c>
      <c r="I377" s="13" t="n">
        <v>0.75</v>
      </c>
      <c r="J377" s="11" t="n">
        <v>78</v>
      </c>
      <c r="K377" s="13" t="n">
        <v>103.8</v>
      </c>
      <c r="L377" s="11" t="n">
        <v>0</v>
      </c>
      <c r="M377" s="4" t="n"/>
      <c r="N377" s="4" t="n"/>
      <c r="O377" s="4" t="inlineStr">
        <is>
          <t>NO INBOUND PO</t>
        </is>
      </c>
      <c r="P377" s="11" t="n">
        <v>2075</v>
      </c>
    </row>
    <row r="378">
      <c r="A378" s="4" t="inlineStr">
        <is>
          <t>WH02</t>
        </is>
      </c>
      <c r="B378" s="4" t="inlineStr">
        <is>
          <t>Jaipur DC</t>
        </is>
      </c>
      <c r="C378" s="4" t="inlineStr">
        <is>
          <t>North</t>
        </is>
      </c>
      <c r="D378" s="4" t="inlineStr">
        <is>
          <t>SKU053</t>
        </is>
      </c>
      <c r="E378" s="4" t="inlineStr">
        <is>
          <t>Sanitary Pads 20pk</t>
        </is>
      </c>
      <c r="F378" s="4" t="inlineStr">
        <is>
          <t>Personal Care</t>
        </is>
      </c>
      <c r="G378" s="4" t="inlineStr">
        <is>
          <t>C</t>
        </is>
      </c>
      <c r="H378" s="4" t="inlineStr">
        <is>
          <t>LOW</t>
        </is>
      </c>
      <c r="I378" s="13" t="n">
        <v>1.05</v>
      </c>
      <c r="J378" s="11" t="n">
        <v>265</v>
      </c>
      <c r="K378" s="13" t="n">
        <v>253</v>
      </c>
      <c r="L378" s="11" t="n">
        <v>1368</v>
      </c>
      <c r="M378" s="4" t="inlineStr">
        <is>
          <t>PO0031847</t>
        </is>
      </c>
      <c r="N378" s="4" t="inlineStr">
        <is>
          <t>2026-10-13</t>
        </is>
      </c>
      <c r="O378" s="4" t="inlineStr">
        <is>
          <t>GAP BEFORE ARRIVAL</t>
        </is>
      </c>
      <c r="P378" s="11" t="n">
        <v>2024</v>
      </c>
    </row>
    <row r="379">
      <c r="A379" s="4" t="inlineStr">
        <is>
          <t>WH11</t>
        </is>
      </c>
      <c r="B379" s="4" t="inlineStr">
        <is>
          <t>Guwahati DC</t>
        </is>
      </c>
      <c r="C379" s="4" t="inlineStr">
        <is>
          <t>East</t>
        </is>
      </c>
      <c r="D379" s="4" t="inlineStr">
        <is>
          <t>SKU053</t>
        </is>
      </c>
      <c r="E379" s="4" t="inlineStr">
        <is>
          <t>Sanitary Pads 20pk</t>
        </is>
      </c>
      <c r="F379" s="4" t="inlineStr">
        <is>
          <t>Personal Care</t>
        </is>
      </c>
      <c r="G379" s="4" t="inlineStr">
        <is>
          <t>C</t>
        </is>
      </c>
      <c r="H379" s="4" t="inlineStr">
        <is>
          <t>LOW</t>
        </is>
      </c>
      <c r="I379" s="13" t="n">
        <v>1.46</v>
      </c>
      <c r="J379" s="11" t="n">
        <v>365</v>
      </c>
      <c r="K379" s="13" t="n">
        <v>250.8</v>
      </c>
      <c r="L379" s="11" t="n">
        <v>1368</v>
      </c>
      <c r="M379" s="4" t="inlineStr">
        <is>
          <t>PO0031810</t>
        </is>
      </c>
      <c r="N379" s="4" t="inlineStr">
        <is>
          <t>2026-10-15</t>
        </is>
      </c>
      <c r="O379" s="4" t="inlineStr">
        <is>
          <t>GAP BEFORE ARRIVAL</t>
        </is>
      </c>
      <c r="P379" s="11" t="n">
        <v>2006</v>
      </c>
    </row>
    <row r="380">
      <c r="A380" s="4" t="inlineStr">
        <is>
          <t>WH10</t>
        </is>
      </c>
      <c r="B380" s="4" t="inlineStr">
        <is>
          <t>Kolkata DC</t>
        </is>
      </c>
      <c r="C380" s="4" t="inlineStr">
        <is>
          <t>East</t>
        </is>
      </c>
      <c r="D380" s="4" t="inlineStr">
        <is>
          <t>SKU120</t>
        </is>
      </c>
      <c r="E380" s="4" t="inlineStr">
        <is>
          <t>Cutter Blades 10pk</t>
        </is>
      </c>
      <c r="F380" s="4" t="inlineStr">
        <is>
          <t>Packaging &amp; Supplies</t>
        </is>
      </c>
      <c r="G380" s="4" t="inlineStr">
        <is>
          <t>C</t>
        </is>
      </c>
      <c r="H380" s="4" t="inlineStr">
        <is>
          <t>LOW</t>
        </is>
      </c>
      <c r="I380" s="13" t="n">
        <v>1.48</v>
      </c>
      <c r="J380" s="11" t="n">
        <v>573</v>
      </c>
      <c r="K380" s="13" t="n">
        <v>387.5</v>
      </c>
      <c r="L380" s="11" t="n">
        <v>1260</v>
      </c>
      <c r="M380" s="4" t="inlineStr">
        <is>
          <t>PO0031147</t>
        </is>
      </c>
      <c r="N380" s="4" t="inlineStr">
        <is>
          <t>2026-10-05</t>
        </is>
      </c>
      <c r="O380" s="4" t="inlineStr">
        <is>
          <t>COVERED BY INBOUND</t>
        </is>
      </c>
      <c r="P380" s="11" t="n">
        <v>1938</v>
      </c>
    </row>
    <row r="381">
      <c r="A381" s="4" t="inlineStr">
        <is>
          <t>WH03</t>
        </is>
      </c>
      <c r="B381" s="4" t="inlineStr">
        <is>
          <t>Lucknow DC</t>
        </is>
      </c>
      <c r="C381" s="4" t="inlineStr">
        <is>
          <t>North</t>
        </is>
      </c>
      <c r="D381" s="4" t="inlineStr">
        <is>
          <t>SKU094</t>
        </is>
      </c>
      <c r="E381" s="4" t="inlineStr">
        <is>
          <t>Cough Syrup 100ml</t>
        </is>
      </c>
      <c r="F381" s="4" t="inlineStr">
        <is>
          <t>OTC Pharma &amp; Wellness</t>
        </is>
      </c>
      <c r="G381" s="4" t="inlineStr">
        <is>
          <t>B</t>
        </is>
      </c>
      <c r="H381" s="4" t="inlineStr">
        <is>
          <t>LOW</t>
        </is>
      </c>
      <c r="I381" s="13" t="n">
        <v>1.25</v>
      </c>
      <c r="J381" s="11" t="n">
        <v>36</v>
      </c>
      <c r="K381" s="13" t="n">
        <v>28.8</v>
      </c>
      <c r="L381" s="11" t="n">
        <v>432</v>
      </c>
      <c r="M381" s="4" t="inlineStr">
        <is>
          <t>PO0031519</t>
        </is>
      </c>
      <c r="N381" s="4" t="inlineStr">
        <is>
          <t>2026-10-08</t>
        </is>
      </c>
      <c r="O381" s="4" t="inlineStr">
        <is>
          <t>COVERED BY INBOUND</t>
        </is>
      </c>
      <c r="P381" s="11" t="n">
        <v>1840</v>
      </c>
    </row>
    <row r="382">
      <c r="A382" s="4" t="inlineStr">
        <is>
          <t>WH03</t>
        </is>
      </c>
      <c r="B382" s="4" t="inlineStr">
        <is>
          <t>Lucknow DC</t>
        </is>
      </c>
      <c r="C382" s="4" t="inlineStr">
        <is>
          <t>North</t>
        </is>
      </c>
      <c r="D382" s="4" t="inlineStr">
        <is>
          <t>SKU071</t>
        </is>
      </c>
      <c r="E382" s="4" t="inlineStr">
        <is>
          <t>Bleach 500ml</t>
        </is>
      </c>
      <c r="F382" s="4" t="inlineStr">
        <is>
          <t>Home Care</t>
        </is>
      </c>
      <c r="G382" s="4" t="inlineStr">
        <is>
          <t>C</t>
        </is>
      </c>
      <c r="H382" s="4" t="inlineStr">
        <is>
          <t>LOW</t>
        </is>
      </c>
      <c r="I382" s="13" t="n">
        <v>0.6</v>
      </c>
      <c r="J382" s="11" t="n">
        <v>109</v>
      </c>
      <c r="K382" s="13" t="n">
        <v>180.3</v>
      </c>
      <c r="L382" s="11" t="n">
        <v>780</v>
      </c>
      <c r="M382" s="4" t="inlineStr">
        <is>
          <t>PO0031691</t>
        </is>
      </c>
      <c r="N382" s="4" t="inlineStr">
        <is>
          <t>2026-10-09</t>
        </is>
      </c>
      <c r="O382" s="4" t="inlineStr">
        <is>
          <t>GAP BEFORE ARRIVAL</t>
        </is>
      </c>
      <c r="P382" s="11" t="n">
        <v>1803</v>
      </c>
    </row>
    <row r="383">
      <c r="A383" s="4" t="inlineStr">
        <is>
          <t>WH08</t>
        </is>
      </c>
      <c r="B383" s="4" t="inlineStr">
        <is>
          <t>Chennai DC</t>
        </is>
      </c>
      <c r="C383" s="4" t="inlineStr">
        <is>
          <t>South</t>
        </is>
      </c>
      <c r="D383" s="4" t="inlineStr">
        <is>
          <t>SKU110</t>
        </is>
      </c>
      <c r="E383" s="4" t="inlineStr">
        <is>
          <t>Pallet Strapping Roll</t>
        </is>
      </c>
      <c r="F383" s="4" t="inlineStr">
        <is>
          <t>Packaging &amp; Supplies</t>
        </is>
      </c>
      <c r="G383" s="4" t="inlineStr">
        <is>
          <t>C</t>
        </is>
      </c>
      <c r="H383" s="4" t="inlineStr">
        <is>
          <t>LOW</t>
        </is>
      </c>
      <c r="I383" s="13" t="n">
        <v>0.89</v>
      </c>
      <c r="J383" s="11" t="n">
        <v>190</v>
      </c>
      <c r="K383" s="13" t="n">
        <v>214.3</v>
      </c>
      <c r="L383" s="11" t="n">
        <v>660</v>
      </c>
      <c r="M383" s="4" t="inlineStr">
        <is>
          <t>PO0031937</t>
        </is>
      </c>
      <c r="N383" s="4" t="inlineStr">
        <is>
          <t>2026-10-14</t>
        </is>
      </c>
      <c r="O383" s="4" t="inlineStr">
        <is>
          <t>GAP BEFORE ARRIVAL</t>
        </is>
      </c>
      <c r="P383" s="11" t="n">
        <v>1714</v>
      </c>
    </row>
    <row r="384">
      <c r="A384" s="4" t="inlineStr">
        <is>
          <t>WH12</t>
        </is>
      </c>
      <c r="B384" s="4" t="inlineStr">
        <is>
          <t>Nagpur DC</t>
        </is>
      </c>
      <c r="C384" s="4" t="inlineStr">
        <is>
          <t>Central</t>
        </is>
      </c>
      <c r="D384" s="4" t="inlineStr">
        <is>
          <t>SKU026</t>
        </is>
      </c>
      <c r="E384" s="4" t="inlineStr">
        <is>
          <t>Buttermilk 200ml</t>
        </is>
      </c>
      <c r="F384" s="4" t="inlineStr">
        <is>
          <t>Beverages</t>
        </is>
      </c>
      <c r="G384" s="4" t="inlineStr">
        <is>
          <t>B</t>
        </is>
      </c>
      <c r="H384" s="4" t="inlineStr">
        <is>
          <t>LOW</t>
        </is>
      </c>
      <c r="I384" s="13" t="n">
        <v>0.8100000000000001</v>
      </c>
      <c r="J384" s="11" t="n">
        <v>277</v>
      </c>
      <c r="K384" s="13" t="n">
        <v>341.3</v>
      </c>
      <c r="L384" s="11" t="n">
        <v>1968</v>
      </c>
      <c r="M384" s="4" t="inlineStr">
        <is>
          <t>PO0031821</t>
        </is>
      </c>
      <c r="N384" s="4" t="inlineStr">
        <is>
          <t>2026-10-05</t>
        </is>
      </c>
      <c r="O384" s="4" t="inlineStr">
        <is>
          <t>COVERED BY INBOUND</t>
        </is>
      </c>
      <c r="P384" s="11" t="n">
        <v>1706</v>
      </c>
    </row>
    <row r="385">
      <c r="A385" s="4" t="inlineStr">
        <is>
          <t>WH09</t>
        </is>
      </c>
      <c r="B385" s="4" t="inlineStr">
        <is>
          <t>Hyderabad DC</t>
        </is>
      </c>
      <c r="C385" s="4" t="inlineStr">
        <is>
          <t>South</t>
        </is>
      </c>
      <c r="D385" s="4" t="inlineStr">
        <is>
          <t>SKU112</t>
        </is>
      </c>
      <c r="E385" s="4" t="inlineStr">
        <is>
          <t>Poly Mailer 100pk</t>
        </is>
      </c>
      <c r="F385" s="4" t="inlineStr">
        <is>
          <t>Packaging &amp; Supplies</t>
        </is>
      </c>
      <c r="G385" s="4" t="inlineStr">
        <is>
          <t>C</t>
        </is>
      </c>
      <c r="H385" s="4" t="inlineStr">
        <is>
          <t>LOW</t>
        </is>
      </c>
      <c r="I385" s="13" t="n">
        <v>1.05</v>
      </c>
      <c r="J385" s="11" t="n">
        <v>87</v>
      </c>
      <c r="K385" s="13" t="n">
        <v>83</v>
      </c>
      <c r="L385" s="11" t="n">
        <v>260</v>
      </c>
      <c r="M385" s="4" t="inlineStr">
        <is>
          <t>PO0031958</t>
        </is>
      </c>
      <c r="N385" s="4" t="inlineStr">
        <is>
          <t>2026-10-13</t>
        </is>
      </c>
      <c r="O385" s="4" t="inlineStr">
        <is>
          <t>GAP BEFORE ARRIVAL</t>
        </is>
      </c>
      <c r="P385" s="11" t="n">
        <v>1660</v>
      </c>
    </row>
    <row r="386">
      <c r="A386" s="4" t="inlineStr">
        <is>
          <t>WH10</t>
        </is>
      </c>
      <c r="B386" s="4" t="inlineStr">
        <is>
          <t>Kolkata DC</t>
        </is>
      </c>
      <c r="C386" s="4" t="inlineStr">
        <is>
          <t>East</t>
        </is>
      </c>
      <c r="D386" s="4" t="inlineStr">
        <is>
          <t>SKU114</t>
        </is>
      </c>
      <c r="E386" s="4" t="inlineStr">
        <is>
          <t>Cable Ties 100pk</t>
        </is>
      </c>
      <c r="F386" s="4" t="inlineStr">
        <is>
          <t>Packaging &amp; Supplies</t>
        </is>
      </c>
      <c r="G386" s="4" t="inlineStr">
        <is>
          <t>C</t>
        </is>
      </c>
      <c r="H386" s="4" t="inlineStr">
        <is>
          <t>LOW</t>
        </is>
      </c>
      <c r="I386" s="13" t="n">
        <v>1.25</v>
      </c>
      <c r="J386" s="11" t="n">
        <v>139</v>
      </c>
      <c r="K386" s="13" t="n">
        <v>111.5</v>
      </c>
      <c r="L386" s="11" t="n">
        <v>660</v>
      </c>
      <c r="M386" s="4" t="inlineStr">
        <is>
          <t>PO0031807</t>
        </is>
      </c>
      <c r="N386" s="4" t="inlineStr">
        <is>
          <t>2026-10-22</t>
        </is>
      </c>
      <c r="O386" s="4" t="inlineStr">
        <is>
          <t>GAP BEFORE ARRIVAL</t>
        </is>
      </c>
      <c r="P386" s="11" t="n">
        <v>1561</v>
      </c>
    </row>
    <row r="387">
      <c r="A387" s="4" t="inlineStr">
        <is>
          <t>WH10</t>
        </is>
      </c>
      <c r="B387" s="4" t="inlineStr">
        <is>
          <t>Kolkata DC</t>
        </is>
      </c>
      <c r="C387" s="4" t="inlineStr">
        <is>
          <t>East</t>
        </is>
      </c>
      <c r="D387" s="4" t="inlineStr">
        <is>
          <t>SKU030</t>
        </is>
      </c>
      <c r="E387" s="4" t="inlineStr">
        <is>
          <t>Malt Drink 500g</t>
        </is>
      </c>
      <c r="F387" s="4" t="inlineStr">
        <is>
          <t>Beverages</t>
        </is>
      </c>
      <c r="G387" s="4" t="inlineStr">
        <is>
          <t>C</t>
        </is>
      </c>
      <c r="H387" s="4" t="inlineStr">
        <is>
          <t>LOW</t>
        </is>
      </c>
      <c r="I387" s="13" t="n">
        <v>1.46</v>
      </c>
      <c r="J387" s="11" t="n">
        <v>364</v>
      </c>
      <c r="K387" s="13" t="n">
        <v>248.5</v>
      </c>
      <c r="L387" s="11" t="n">
        <v>2664</v>
      </c>
      <c r="M387" s="4" t="inlineStr">
        <is>
          <t>PO0031795</t>
        </is>
      </c>
      <c r="N387" s="4" t="inlineStr">
        <is>
          <t>2026-10-07</t>
        </is>
      </c>
      <c r="O387" s="4" t="inlineStr">
        <is>
          <t>COVERED BY INBOUND</t>
        </is>
      </c>
      <c r="P387" s="11" t="n">
        <v>1491</v>
      </c>
    </row>
    <row r="388">
      <c r="A388" s="4" t="inlineStr">
        <is>
          <t>WH12</t>
        </is>
      </c>
      <c r="B388" s="4" t="inlineStr">
        <is>
          <t>Nagpur DC</t>
        </is>
      </c>
      <c r="C388" s="4" t="inlineStr">
        <is>
          <t>Central</t>
        </is>
      </c>
      <c r="D388" s="4" t="inlineStr">
        <is>
          <t>SKU032</t>
        </is>
      </c>
      <c r="E388" s="4" t="inlineStr">
        <is>
          <t>Namkeen Mix 400g</t>
        </is>
      </c>
      <c r="F388" s="4" t="inlineStr">
        <is>
          <t>Snacks &amp; Confectionery</t>
        </is>
      </c>
      <c r="G388" s="4" t="inlineStr">
        <is>
          <t>C</t>
        </is>
      </c>
      <c r="H388" s="4" t="inlineStr">
        <is>
          <t>LOW</t>
        </is>
      </c>
      <c r="I388" s="13" t="n">
        <v>1.08</v>
      </c>
      <c r="J388" s="11" t="n">
        <v>521</v>
      </c>
      <c r="K388" s="13" t="n">
        <v>480.5</v>
      </c>
      <c r="L388" s="11" t="n">
        <v>1920</v>
      </c>
      <c r="M388" s="4" t="inlineStr">
        <is>
          <t>PO0031822</t>
        </is>
      </c>
      <c r="N388" s="4" t="inlineStr">
        <is>
          <t>2026-10-09</t>
        </is>
      </c>
      <c r="O388" s="4" t="inlineStr">
        <is>
          <t>COVERED BY INBOUND</t>
        </is>
      </c>
      <c r="P388" s="11" t="n">
        <v>1442</v>
      </c>
    </row>
    <row r="389">
      <c r="A389" s="4" t="inlineStr">
        <is>
          <t>WH11</t>
        </is>
      </c>
      <c r="B389" s="4" t="inlineStr">
        <is>
          <t>Guwahati DC</t>
        </is>
      </c>
      <c r="C389" s="4" t="inlineStr">
        <is>
          <t>East</t>
        </is>
      </c>
      <c r="D389" s="4" t="inlineStr">
        <is>
          <t>SKU016</t>
        </is>
      </c>
      <c r="E389" s="4" t="inlineStr">
        <is>
          <t>Cola 750ml</t>
        </is>
      </c>
      <c r="F389" s="4" t="inlineStr">
        <is>
          <t>Beverages</t>
        </is>
      </c>
      <c r="G389" s="4" t="inlineStr">
        <is>
          <t>C</t>
        </is>
      </c>
      <c r="H389" s="4" t="inlineStr">
        <is>
          <t>LOW</t>
        </is>
      </c>
      <c r="I389" s="13" t="n">
        <v>1.37</v>
      </c>
      <c r="J389" s="11" t="n">
        <v>319</v>
      </c>
      <c r="K389" s="13" t="n">
        <v>232.3</v>
      </c>
      <c r="L389" s="11" t="n">
        <v>0</v>
      </c>
      <c r="M389" s="4" t="n"/>
      <c r="N389" s="4" t="n"/>
      <c r="O389" s="4" t="inlineStr">
        <is>
          <t>NO INBOUND PO</t>
        </is>
      </c>
      <c r="P389" s="11" t="n">
        <v>1394</v>
      </c>
    </row>
    <row r="390">
      <c r="A390" s="4" t="inlineStr">
        <is>
          <t>WH11</t>
        </is>
      </c>
      <c r="B390" s="4" t="inlineStr">
        <is>
          <t>Guwahati DC</t>
        </is>
      </c>
      <c r="C390" s="4" t="inlineStr">
        <is>
          <t>East</t>
        </is>
      </c>
      <c r="D390" s="4" t="inlineStr">
        <is>
          <t>SKU010</t>
        </is>
      </c>
      <c r="E390" s="4" t="inlineStr">
        <is>
          <t>Poha 500g</t>
        </is>
      </c>
      <c r="F390" s="4" t="inlineStr">
        <is>
          <t>Packaged Staples</t>
        </is>
      </c>
      <c r="G390" s="4" t="inlineStr">
        <is>
          <t>B</t>
        </is>
      </c>
      <c r="H390" s="4" t="inlineStr">
        <is>
          <t>LOW</t>
        </is>
      </c>
      <c r="I390" s="13" t="n">
        <v>0.63</v>
      </c>
      <c r="J390" s="11" t="n">
        <v>174</v>
      </c>
      <c r="K390" s="13" t="n">
        <v>277</v>
      </c>
      <c r="L390" s="11" t="n">
        <v>1836</v>
      </c>
      <c r="M390" s="4" t="inlineStr">
        <is>
          <t>PO0031977</t>
        </is>
      </c>
      <c r="N390" s="4" t="inlineStr">
        <is>
          <t>2026-10-14</t>
        </is>
      </c>
      <c r="O390" s="4" t="inlineStr">
        <is>
          <t>GAP BEFORE ARRIVAL</t>
        </is>
      </c>
      <c r="P390" s="11" t="n">
        <v>1385</v>
      </c>
    </row>
    <row r="391">
      <c r="A391" s="4" t="inlineStr">
        <is>
          <t>WH11</t>
        </is>
      </c>
      <c r="B391" s="4" t="inlineStr">
        <is>
          <t>Guwahati DC</t>
        </is>
      </c>
      <c r="C391" s="4" t="inlineStr">
        <is>
          <t>East</t>
        </is>
      </c>
      <c r="D391" s="4" t="inlineStr">
        <is>
          <t>SKU096</t>
        </is>
      </c>
      <c r="E391" s="4" t="inlineStr">
        <is>
          <t>Antiseptic Liquid 250ml</t>
        </is>
      </c>
      <c r="F391" s="4" t="inlineStr">
        <is>
          <t>OTC Pharma &amp; Wellness</t>
        </is>
      </c>
      <c r="G391" s="4" t="inlineStr">
        <is>
          <t>C</t>
        </is>
      </c>
      <c r="H391" s="4" t="inlineStr">
        <is>
          <t>LOW</t>
        </is>
      </c>
      <c r="I391" s="13" t="n">
        <v>1.11</v>
      </c>
      <c r="J391" s="11" t="n">
        <v>55</v>
      </c>
      <c r="K391" s="13" t="n">
        <v>49.8</v>
      </c>
      <c r="L391" s="11" t="n">
        <v>276</v>
      </c>
      <c r="M391" s="4" t="inlineStr">
        <is>
          <t>PO0031981</t>
        </is>
      </c>
      <c r="N391" s="4" t="inlineStr">
        <is>
          <t>2026-10-18</t>
        </is>
      </c>
      <c r="O391" s="4" t="inlineStr">
        <is>
          <t>GAP BEFORE ARRIVAL</t>
        </is>
      </c>
      <c r="P391" s="11" t="n">
        <v>1194</v>
      </c>
    </row>
    <row r="392">
      <c r="A392" s="4" t="inlineStr">
        <is>
          <t>WH06</t>
        </is>
      </c>
      <c r="B392" s="4" t="inlineStr">
        <is>
          <t>Ahmedabad DC</t>
        </is>
      </c>
      <c r="C392" s="4" t="inlineStr">
        <is>
          <t>West</t>
        </is>
      </c>
      <c r="D392" s="4" t="inlineStr">
        <is>
          <t>SKU117</t>
        </is>
      </c>
      <c r="E392" s="4" t="inlineStr">
        <is>
          <t>Courier Bags 100pk</t>
        </is>
      </c>
      <c r="F392" s="4" t="inlineStr">
        <is>
          <t>Packaging &amp; Supplies</t>
        </is>
      </c>
      <c r="G392" s="4" t="inlineStr">
        <is>
          <t>C</t>
        </is>
      </c>
      <c r="H392" s="4" t="inlineStr">
        <is>
          <t>LOW</t>
        </is>
      </c>
      <c r="I392" s="13" t="n">
        <v>0.74</v>
      </c>
      <c r="J392" s="11" t="n">
        <v>198</v>
      </c>
      <c r="K392" s="13" t="n">
        <v>266.5</v>
      </c>
      <c r="L392" s="11" t="n">
        <v>1120</v>
      </c>
      <c r="M392" s="4" t="inlineStr">
        <is>
          <t>PO0031561</t>
        </is>
      </c>
      <c r="N392" s="4" t="inlineStr">
        <is>
          <t>2026-10-05</t>
        </is>
      </c>
      <c r="O392" s="4" t="inlineStr">
        <is>
          <t>COVERED BY INBOUND</t>
        </is>
      </c>
      <c r="P392" s="11" t="n">
        <v>1066</v>
      </c>
    </row>
    <row r="393">
      <c r="A393" s="4" t="inlineStr">
        <is>
          <t>WH02</t>
        </is>
      </c>
      <c r="B393" s="4" t="inlineStr">
        <is>
          <t>Jaipur DC</t>
        </is>
      </c>
      <c r="C393" s="4" t="inlineStr">
        <is>
          <t>North</t>
        </is>
      </c>
      <c r="D393" s="4" t="inlineStr">
        <is>
          <t>SKU035</t>
        </is>
      </c>
      <c r="E393" s="4" t="inlineStr">
        <is>
          <t>Chocolate Bar 40g</t>
        </is>
      </c>
      <c r="F393" s="4" t="inlineStr">
        <is>
          <t>Snacks &amp; Confectionery</t>
        </is>
      </c>
      <c r="G393" s="4" t="inlineStr">
        <is>
          <t>C</t>
        </is>
      </c>
      <c r="H393" s="4" t="inlineStr">
        <is>
          <t>LOW</t>
        </is>
      </c>
      <c r="I393" s="13" t="n">
        <v>1.32</v>
      </c>
      <c r="J393" s="11" t="n">
        <v>346</v>
      </c>
      <c r="K393" s="13" t="n">
        <v>262</v>
      </c>
      <c r="L393" s="11" t="n">
        <v>0</v>
      </c>
      <c r="M393" s="4" t="n"/>
      <c r="N393" s="4" t="n"/>
      <c r="O393" s="4" t="inlineStr">
        <is>
          <t>NO INBOUND PO</t>
        </is>
      </c>
      <c r="P393" s="11" t="n">
        <v>1048</v>
      </c>
    </row>
    <row r="394">
      <c r="A394" s="4" t="inlineStr">
        <is>
          <t>WH12</t>
        </is>
      </c>
      <c r="B394" s="4" t="inlineStr">
        <is>
          <t>Nagpur DC</t>
        </is>
      </c>
      <c r="C394" s="4" t="inlineStr">
        <is>
          <t>Central</t>
        </is>
      </c>
      <c r="D394" s="4" t="inlineStr">
        <is>
          <t>SKU115</t>
        </is>
      </c>
      <c r="E394" s="4" t="inlineStr">
        <is>
          <t>Edge Protectors 50pk</t>
        </is>
      </c>
      <c r="F394" s="4" t="inlineStr">
        <is>
          <t>Packaging &amp; Supplies</t>
        </is>
      </c>
      <c r="G394" s="4" t="inlineStr">
        <is>
          <t>C</t>
        </is>
      </c>
      <c r="H394" s="4" t="inlineStr">
        <is>
          <t>LOW</t>
        </is>
      </c>
      <c r="I394" s="13" t="n">
        <v>1.14</v>
      </c>
      <c r="J394" s="11" t="n">
        <v>95</v>
      </c>
      <c r="K394" s="13" t="n">
        <v>83.5</v>
      </c>
      <c r="L394" s="11" t="n">
        <v>320</v>
      </c>
      <c r="M394" s="4" t="inlineStr">
        <is>
          <t>PO0031478</t>
        </is>
      </c>
      <c r="N394" s="4" t="inlineStr">
        <is>
          <t>2026-10-06</t>
        </is>
      </c>
      <c r="O394" s="4" t="inlineStr">
        <is>
          <t>COVERED BY INBOUND</t>
        </is>
      </c>
      <c r="P394" s="11" t="n">
        <v>919</v>
      </c>
    </row>
    <row r="395">
      <c r="A395" s="4" t="inlineStr">
        <is>
          <t>WH03</t>
        </is>
      </c>
      <c r="B395" s="4" t="inlineStr">
        <is>
          <t>Lucknow DC</t>
        </is>
      </c>
      <c r="C395" s="4" t="inlineStr">
        <is>
          <t>North</t>
        </is>
      </c>
      <c r="D395" s="4" t="inlineStr">
        <is>
          <t>SKU073</t>
        </is>
      </c>
      <c r="E395" s="4" t="inlineStr">
        <is>
          <t>Agarbatti 100pk</t>
        </is>
      </c>
      <c r="F395" s="4" t="inlineStr">
        <is>
          <t>Home Care</t>
        </is>
      </c>
      <c r="G395" s="4" t="inlineStr">
        <is>
          <t>C</t>
        </is>
      </c>
      <c r="H395" s="4" t="inlineStr">
        <is>
          <t>LOW</t>
        </is>
      </c>
      <c r="I395" s="13" t="n">
        <v>1</v>
      </c>
      <c r="J395" s="11" t="n">
        <v>53</v>
      </c>
      <c r="K395" s="13" t="n">
        <v>52.8</v>
      </c>
      <c r="L395" s="11" t="n">
        <v>912</v>
      </c>
      <c r="M395" s="4" t="inlineStr">
        <is>
          <t>PO0031692</t>
        </is>
      </c>
      <c r="N395" s="4" t="inlineStr">
        <is>
          <t>2026-10-10</t>
        </is>
      </c>
      <c r="O395" s="4" t="inlineStr">
        <is>
          <t>COVERED BY INBOUND</t>
        </is>
      </c>
      <c r="P395" s="11" t="n">
        <v>844</v>
      </c>
    </row>
    <row r="396">
      <c r="A396" s="4" t="inlineStr">
        <is>
          <t>WH08</t>
        </is>
      </c>
      <c r="B396" s="4" t="inlineStr">
        <is>
          <t>Chennai DC</t>
        </is>
      </c>
      <c r="C396" s="4" t="inlineStr">
        <is>
          <t>South</t>
        </is>
      </c>
      <c r="D396" s="4" t="inlineStr">
        <is>
          <t>SKU109</t>
        </is>
      </c>
      <c r="E396" s="4" t="inlineStr">
        <is>
          <t>Bubble Wrap Roll</t>
        </is>
      </c>
      <c r="F396" s="4" t="inlineStr">
        <is>
          <t>Packaging &amp; Supplies</t>
        </is>
      </c>
      <c r="G396" s="4" t="inlineStr">
        <is>
          <t>C</t>
        </is>
      </c>
      <c r="H396" s="4" t="inlineStr">
        <is>
          <t>LOW</t>
        </is>
      </c>
      <c r="I396" s="13" t="n">
        <v>1.18</v>
      </c>
      <c r="J396" s="11" t="n">
        <v>82</v>
      </c>
      <c r="K396" s="13" t="n">
        <v>69.8</v>
      </c>
      <c r="L396" s="11" t="n">
        <v>0</v>
      </c>
      <c r="M396" s="4" t="n"/>
      <c r="N396" s="4" t="n"/>
      <c r="O396" s="4" t="inlineStr">
        <is>
          <t>NO INBOUND PO</t>
        </is>
      </c>
      <c r="P396" s="11" t="n">
        <v>837</v>
      </c>
    </row>
    <row r="397">
      <c r="A397" s="4" t="inlineStr">
        <is>
          <t>WH09</t>
        </is>
      </c>
      <c r="B397" s="4" t="inlineStr">
        <is>
          <t>Hyderabad DC</t>
        </is>
      </c>
      <c r="C397" s="4" t="inlineStr">
        <is>
          <t>South</t>
        </is>
      </c>
      <c r="D397" s="4" t="inlineStr">
        <is>
          <t>SKU016</t>
        </is>
      </c>
      <c r="E397" s="4" t="inlineStr">
        <is>
          <t>Cola 750ml</t>
        </is>
      </c>
      <c r="F397" s="4" t="inlineStr">
        <is>
          <t>Beverages</t>
        </is>
      </c>
      <c r="G397" s="4" t="inlineStr">
        <is>
          <t>C</t>
        </is>
      </c>
      <c r="H397" s="4" t="inlineStr">
        <is>
          <t>LOW</t>
        </is>
      </c>
      <c r="I397" s="13" t="n">
        <v>1.11</v>
      </c>
      <c r="J397" s="11" t="n">
        <v>154</v>
      </c>
      <c r="K397" s="13" t="n">
        <v>138.5</v>
      </c>
      <c r="L397" s="11" t="n">
        <v>1248</v>
      </c>
      <c r="M397" s="4" t="inlineStr">
        <is>
          <t>PO0031942</t>
        </is>
      </c>
      <c r="N397" s="4" t="inlineStr">
        <is>
          <t>2026-10-10</t>
        </is>
      </c>
      <c r="O397" s="4" t="inlineStr">
        <is>
          <t>COVERED BY INBOUND</t>
        </is>
      </c>
      <c r="P397" s="11" t="n">
        <v>831</v>
      </c>
    </row>
    <row r="398">
      <c r="A398" s="4" t="inlineStr">
        <is>
          <t>WH12</t>
        </is>
      </c>
      <c r="B398" s="4" t="inlineStr">
        <is>
          <t>Nagpur DC</t>
        </is>
      </c>
      <c r="C398" s="4" t="inlineStr">
        <is>
          <t>Central</t>
        </is>
      </c>
      <c r="D398" s="4" t="inlineStr">
        <is>
          <t>SKU024</t>
        </is>
      </c>
      <c r="E398" s="4" t="inlineStr">
        <is>
          <t>Instant Coffee 100g</t>
        </is>
      </c>
      <c r="F398" s="4" t="inlineStr">
        <is>
          <t>Beverages</t>
        </is>
      </c>
      <c r="G398" s="4" t="inlineStr">
        <is>
          <t>C</t>
        </is>
      </c>
      <c r="H398" s="4" t="inlineStr">
        <is>
          <t>LOW</t>
        </is>
      </c>
      <c r="I398" s="13" t="n">
        <v>0.75</v>
      </c>
      <c r="J398" s="11" t="n">
        <v>148</v>
      </c>
      <c r="K398" s="13" t="n">
        <v>197.5</v>
      </c>
      <c r="L398" s="11" t="n">
        <v>1416</v>
      </c>
      <c r="M398" s="4" t="inlineStr">
        <is>
          <t>PO0031819</t>
        </is>
      </c>
      <c r="N398" s="4" t="inlineStr">
        <is>
          <t>2026-10-09</t>
        </is>
      </c>
      <c r="O398" s="4" t="inlineStr">
        <is>
          <t>COVERED BY INBOUND</t>
        </is>
      </c>
      <c r="P398" s="11" t="n">
        <v>790</v>
      </c>
    </row>
    <row r="399">
      <c r="A399" s="4" t="inlineStr">
        <is>
          <t>WH02</t>
        </is>
      </c>
      <c r="B399" s="4" t="inlineStr">
        <is>
          <t>Jaipur DC</t>
        </is>
      </c>
      <c r="C399" s="4" t="inlineStr">
        <is>
          <t>North</t>
        </is>
      </c>
      <c r="D399" s="4" t="inlineStr">
        <is>
          <t>SKU032</t>
        </is>
      </c>
      <c r="E399" s="4" t="inlineStr">
        <is>
          <t>Namkeen Mix 400g</t>
        </is>
      </c>
      <c r="F399" s="4" t="inlineStr">
        <is>
          <t>Snacks &amp; Confectionery</t>
        </is>
      </c>
      <c r="G399" s="4" t="inlineStr">
        <is>
          <t>C</t>
        </is>
      </c>
      <c r="H399" s="4" t="inlineStr">
        <is>
          <t>LOW</t>
        </is>
      </c>
      <c r="I399" s="13" t="n">
        <v>0.98</v>
      </c>
      <c r="J399" s="11" t="n">
        <v>225</v>
      </c>
      <c r="K399" s="13" t="n">
        <v>229.3</v>
      </c>
      <c r="L399" s="11" t="n">
        <v>1116</v>
      </c>
      <c r="M399" s="4" t="inlineStr">
        <is>
          <t>PO0031844</t>
        </is>
      </c>
      <c r="N399" s="4" t="inlineStr">
        <is>
          <t>2026-10-10</t>
        </is>
      </c>
      <c r="O399" s="4" t="inlineStr">
        <is>
          <t>COVERED BY INBOUND</t>
        </is>
      </c>
      <c r="P399" s="11" t="n">
        <v>688</v>
      </c>
    </row>
    <row r="400">
      <c r="A400" s="4" t="inlineStr">
        <is>
          <t>WH02</t>
        </is>
      </c>
      <c r="B400" s="4" t="inlineStr">
        <is>
          <t>Jaipur DC</t>
        </is>
      </c>
      <c r="C400" s="4" t="inlineStr">
        <is>
          <t>North</t>
        </is>
      </c>
      <c r="D400" s="4" t="inlineStr">
        <is>
          <t>SKU104</t>
        </is>
      </c>
      <c r="E400" s="4" t="inlineStr">
        <is>
          <t>Hand Sanitizer 500ml</t>
        </is>
      </c>
      <c r="F400" s="4" t="inlineStr">
        <is>
          <t>OTC Pharma &amp; Wellness</t>
        </is>
      </c>
      <c r="G400" s="4" t="inlineStr">
        <is>
          <t>C</t>
        </is>
      </c>
      <c r="H400" s="4" t="inlineStr">
        <is>
          <t>LOW</t>
        </is>
      </c>
      <c r="I400" s="13" t="n">
        <v>1.16</v>
      </c>
      <c r="J400" s="11" t="n">
        <v>71</v>
      </c>
      <c r="K400" s="13" t="n">
        <v>61</v>
      </c>
      <c r="L400" s="11" t="n">
        <v>0</v>
      </c>
      <c r="M400" s="4" t="n"/>
      <c r="N400" s="4" t="n"/>
      <c r="O400" s="4" t="inlineStr">
        <is>
          <t>NO INBOUND PO</t>
        </is>
      </c>
      <c r="P400" s="11" t="n">
        <v>671</v>
      </c>
    </row>
    <row r="401">
      <c r="A401" s="4" t="inlineStr">
        <is>
          <t>WH02</t>
        </is>
      </c>
      <c r="B401" s="4" t="inlineStr">
        <is>
          <t>Jaipur DC</t>
        </is>
      </c>
      <c r="C401" s="4" t="inlineStr">
        <is>
          <t>North</t>
        </is>
      </c>
      <c r="D401" s="4" t="inlineStr">
        <is>
          <t>SKU116</t>
        </is>
      </c>
      <c r="E401" s="4" t="inlineStr">
        <is>
          <t>Pallet Wrap Hand</t>
        </is>
      </c>
      <c r="F401" s="4" t="inlineStr">
        <is>
          <t>Packaging &amp; Supplies</t>
        </is>
      </c>
      <c r="G401" s="4" t="inlineStr">
        <is>
          <t>C</t>
        </is>
      </c>
      <c r="H401" s="4" t="inlineStr">
        <is>
          <t>LOW</t>
        </is>
      </c>
      <c r="I401" s="13" t="n">
        <v>0.73</v>
      </c>
      <c r="J401" s="11" t="n">
        <v>58</v>
      </c>
      <c r="K401" s="13" t="n">
        <v>79</v>
      </c>
      <c r="L401" s="11" t="n">
        <v>240</v>
      </c>
      <c r="M401" s="4" t="inlineStr">
        <is>
          <t>PO0031680</t>
        </is>
      </c>
      <c r="N401" s="4" t="inlineStr">
        <is>
          <t>2026-10-11</t>
        </is>
      </c>
      <c r="O401" s="4" t="inlineStr">
        <is>
          <t>GAP BEFORE ARRIVAL</t>
        </is>
      </c>
      <c r="P401" s="11" t="n">
        <v>632</v>
      </c>
    </row>
    <row r="402">
      <c r="A402" s="4" t="inlineStr">
        <is>
          <t>WH06</t>
        </is>
      </c>
      <c r="B402" s="4" t="inlineStr">
        <is>
          <t>Ahmedabad DC</t>
        </is>
      </c>
      <c r="C402" s="4" t="inlineStr">
        <is>
          <t>West</t>
        </is>
      </c>
      <c r="D402" s="4" t="inlineStr">
        <is>
          <t>SKU120</t>
        </is>
      </c>
      <c r="E402" s="4" t="inlineStr">
        <is>
          <t>Cutter Blades 10pk</t>
        </is>
      </c>
      <c r="F402" s="4" t="inlineStr">
        <is>
          <t>Packaging &amp; Supplies</t>
        </is>
      </c>
      <c r="G402" s="4" t="inlineStr">
        <is>
          <t>C</t>
        </is>
      </c>
      <c r="H402" s="4" t="inlineStr">
        <is>
          <t>LOW</t>
        </is>
      </c>
      <c r="I402" s="13" t="n">
        <v>0.63</v>
      </c>
      <c r="J402" s="11" t="n">
        <v>52</v>
      </c>
      <c r="K402" s="13" t="n">
        <v>82.5</v>
      </c>
      <c r="L402" s="11" t="n">
        <v>680</v>
      </c>
      <c r="M402" s="4" t="inlineStr">
        <is>
          <t>PO0031077</t>
        </is>
      </c>
      <c r="N402" s="4" t="inlineStr">
        <is>
          <t>2026-10-05</t>
        </is>
      </c>
      <c r="O402" s="4" t="inlineStr">
        <is>
          <t>COVERED BY INBOUND</t>
        </is>
      </c>
      <c r="P402" s="11" t="n">
        <v>413</v>
      </c>
    </row>
  </sheetData>
  <autoFilter ref="A4:P40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2.8" customWidth="1" min="2" max="2"/>
    <col width="14.6" customWidth="1" min="3" max="3"/>
    <col width="11" customWidth="1" min="4" max="4"/>
    <col width="11" customWidth="1" min="5" max="5"/>
    <col width="22" customWidth="1" min="6" max="6"/>
    <col width="25" customWidth="1" min="7" max="7"/>
    <col width="11.9" customWidth="1" min="8" max="8"/>
    <col width="27" customWidth="1" min="9" max="9"/>
    <col width="13.7" customWidth="1" min="10" max="10"/>
    <col width="12" customWidth="1" min="11" max="11"/>
    <col width="13.7" customWidth="1" min="12" max="12"/>
    <col width="12.8" customWidth="1" min="13" max="13"/>
    <col width="11.9" customWidth="1" min="14" max="14"/>
    <col width="12.8" customWidth="1" min="15" max="15"/>
    <col width="17.3" customWidth="1" min="16" max="16"/>
    <col width="18.2" customWidth="1" min="17" max="17"/>
    <col width="12.8" customWidth="1" min="18" max="18"/>
    <col width="11" customWidth="1" min="19" max="19"/>
    <col width="23" customWidth="1" min="20" max="20"/>
  </cols>
  <sheetData>
    <row r="1">
      <c r="A1" s="1" t="inlineStr">
        <is>
          <t>Pipeline delays - open POs past promise date</t>
        </is>
      </c>
    </row>
    <row r="2">
      <c r="A2" s="2" t="inlineStr">
        <is>
          <t>Source: sp_pipeline_delay_alerts (&gt;= warn threshold). Most overdue first.</t>
        </is>
      </c>
    </row>
    <row r="4" ht="30" customHeight="1">
      <c r="A4" s="18" t="inlineStr">
        <is>
          <t>po_id</t>
        </is>
      </c>
      <c r="B4" s="18" t="inlineStr">
        <is>
          <t>warehouse_id</t>
        </is>
      </c>
      <c r="C4" s="18" t="inlineStr">
        <is>
          <t>warehouse_name</t>
        </is>
      </c>
      <c r="D4" s="18" t="inlineStr">
        <is>
          <t>region</t>
        </is>
      </c>
      <c r="E4" s="18" t="inlineStr">
        <is>
          <t>sku_id</t>
        </is>
      </c>
      <c r="F4" s="18" t="inlineStr">
        <is>
          <t>sku_name</t>
        </is>
      </c>
      <c r="G4" s="18" t="inlineStr">
        <is>
          <t>category</t>
        </is>
      </c>
      <c r="H4" s="18" t="inlineStr">
        <is>
          <t>supplier_id</t>
        </is>
      </c>
      <c r="I4" s="18" t="inlineStr">
        <is>
          <t>supplier_name</t>
        </is>
      </c>
      <c r="J4" s="18" t="inlineStr">
        <is>
          <t>supplier_tier</t>
        </is>
      </c>
      <c r="K4" s="18" t="inlineStr">
        <is>
          <t>order_date</t>
        </is>
      </c>
      <c r="L4" s="18" t="inlineStr">
        <is>
          <t>promised_date</t>
        </is>
      </c>
      <c r="M4" s="18" t="inlineStr">
        <is>
          <t>days_overdue</t>
        </is>
      </c>
      <c r="N4" s="18" t="inlineStr">
        <is>
          <t>ordered_qty</t>
        </is>
      </c>
      <c r="O4" s="18" t="inlineStr">
        <is>
          <t>po_value_inr</t>
        </is>
      </c>
      <c r="P4" s="18" t="inlineStr">
        <is>
          <t>closing_stock_now</t>
        </is>
      </c>
      <c r="Q4" s="18" t="inlineStr">
        <is>
          <t>weeks_of_cover_now</t>
        </is>
      </c>
      <c r="R4" s="18" t="inlineStr">
        <is>
          <t>stock_status</t>
        </is>
      </c>
      <c r="S4" s="18" t="inlineStr">
        <is>
          <t>severity</t>
        </is>
      </c>
      <c r="T4" s="18" t="inlineStr">
        <is>
          <t>exposure</t>
        </is>
      </c>
    </row>
    <row r="5">
      <c r="A5" s="4" t="inlineStr">
        <is>
          <t>PO0030118</t>
        </is>
      </c>
      <c r="B5" s="4" t="inlineStr">
        <is>
          <t>WH08</t>
        </is>
      </c>
      <c r="C5" s="4" t="inlineStr">
        <is>
          <t>Chennai DC</t>
        </is>
      </c>
      <c r="D5" s="4" t="inlineStr">
        <is>
          <t>South</t>
        </is>
      </c>
      <c r="E5" s="4" t="inlineStr">
        <is>
          <t>SKU080</t>
        </is>
      </c>
      <c r="F5" s="4" t="inlineStr">
        <is>
          <t>TWS Earbuds</t>
        </is>
      </c>
      <c r="G5" s="4" t="inlineStr">
        <is>
          <t>Electronics Accessories</t>
        </is>
      </c>
      <c r="H5" s="4" t="inlineStr">
        <is>
          <t>SUP17</t>
        </is>
      </c>
      <c r="I5" s="4" t="inlineStr">
        <is>
          <t>ConnectPro Gadgets</t>
        </is>
      </c>
      <c r="J5" s="4" t="inlineStr">
        <is>
          <t>Tier 3</t>
        </is>
      </c>
      <c r="K5" s="4" t="inlineStr">
        <is>
          <t>2026-08-24</t>
        </is>
      </c>
      <c r="L5" s="4" t="inlineStr">
        <is>
          <t>2026-09-17</t>
        </is>
      </c>
      <c r="M5" s="4" t="n">
        <v>17</v>
      </c>
      <c r="N5" s="11" t="n">
        <v>540</v>
      </c>
      <c r="O5" s="11" t="n">
        <v>1185295</v>
      </c>
      <c r="P5" s="4" t="n">
        <v>0</v>
      </c>
      <c r="Q5" s="13" t="n">
        <v>0</v>
      </c>
      <c r="R5" s="4" t="inlineStr">
        <is>
          <t>STOCKOUT</t>
        </is>
      </c>
      <c r="S5" s="4" t="inlineStr">
        <is>
          <t>CRITICAL</t>
        </is>
      </c>
      <c r="T5" s="4" t="inlineStr">
        <is>
          <t>STOCK-OUT EXPOSURE</t>
        </is>
      </c>
    </row>
    <row r="6">
      <c r="A6" s="4" t="inlineStr">
        <is>
          <t>PO0030033</t>
        </is>
      </c>
      <c r="B6" s="4" t="inlineStr">
        <is>
          <t>WH01</t>
        </is>
      </c>
      <c r="C6" s="4" t="inlineStr">
        <is>
          <t>Gurugram DC</t>
        </is>
      </c>
      <c r="D6" s="4" t="inlineStr">
        <is>
          <t>North</t>
        </is>
      </c>
      <c r="E6" s="4" t="inlineStr">
        <is>
          <t>SKU114</t>
        </is>
      </c>
      <c r="F6" s="4" t="inlineStr">
        <is>
          <t>Cable Ties 100pk</t>
        </is>
      </c>
      <c r="G6" s="4" t="inlineStr">
        <is>
          <t>Packaging &amp; Supplies</t>
        </is>
      </c>
      <c r="H6" s="4" t="inlineStr">
        <is>
          <t>SUP22</t>
        </is>
      </c>
      <c r="I6" s="4" t="inlineStr">
        <is>
          <t>SafeShip Packaging</t>
        </is>
      </c>
      <c r="J6" s="4" t="inlineStr">
        <is>
          <t>Tier 3</t>
        </is>
      </c>
      <c r="K6" s="4" t="inlineStr">
        <is>
          <t>2026-08-24</t>
        </is>
      </c>
      <c r="L6" s="4" t="inlineStr">
        <is>
          <t>2026-09-17</t>
        </is>
      </c>
      <c r="M6" s="4" t="n">
        <v>17</v>
      </c>
      <c r="N6" s="11" t="n">
        <v>2760</v>
      </c>
      <c r="O6" s="11" t="n">
        <v>183071</v>
      </c>
      <c r="P6" s="4" t="n">
        <v>1266</v>
      </c>
      <c r="Q6" s="13" t="n">
        <v>2.7</v>
      </c>
      <c r="R6" s="4" t="inlineStr">
        <is>
          <t>HEALTHY</t>
        </is>
      </c>
      <c r="S6" s="4" t="inlineStr">
        <is>
          <t>CRITICAL</t>
        </is>
      </c>
      <c r="T6" s="4" t="inlineStr">
        <is>
          <t>NO IMMEDIATE EXPOSURE</t>
        </is>
      </c>
    </row>
    <row r="7">
      <c r="A7" s="4" t="inlineStr">
        <is>
          <t>PO0030252</t>
        </is>
      </c>
      <c r="B7" s="4" t="inlineStr">
        <is>
          <t>WH06</t>
        </is>
      </c>
      <c r="C7" s="4" t="inlineStr">
        <is>
          <t>Ahmedabad DC</t>
        </is>
      </c>
      <c r="D7" s="4" t="inlineStr">
        <is>
          <t>West</t>
        </is>
      </c>
      <c r="E7" s="4" t="inlineStr">
        <is>
          <t>SKU078</t>
        </is>
      </c>
      <c r="F7" s="4" t="inlineStr">
        <is>
          <t>Power Bank 10000mAh</t>
        </is>
      </c>
      <c r="G7" s="4" t="inlineStr">
        <is>
          <t>Electronics Accessories</t>
        </is>
      </c>
      <c r="H7" s="4" t="inlineStr">
        <is>
          <t>SUP17</t>
        </is>
      </c>
      <c r="I7" s="4" t="inlineStr">
        <is>
          <t>ConnectPro Gadgets</t>
        </is>
      </c>
      <c r="J7" s="4" t="inlineStr">
        <is>
          <t>Tier 3</t>
        </is>
      </c>
      <c r="K7" s="4" t="inlineStr">
        <is>
          <t>2026-08-25</t>
        </is>
      </c>
      <c r="L7" s="4" t="inlineStr">
        <is>
          <t>2026-09-17</t>
        </is>
      </c>
      <c r="M7" s="4" t="n">
        <v>17</v>
      </c>
      <c r="N7" s="11" t="n">
        <v>410</v>
      </c>
      <c r="O7" s="11" t="n">
        <v>144833</v>
      </c>
      <c r="P7" s="4" t="n">
        <v>0</v>
      </c>
      <c r="Q7" s="13" t="n">
        <v>0</v>
      </c>
      <c r="R7" s="4" t="inlineStr">
        <is>
          <t>STOCKOUT</t>
        </is>
      </c>
      <c r="S7" s="4" t="inlineStr">
        <is>
          <t>CRITICAL</t>
        </is>
      </c>
      <c r="T7" s="4" t="inlineStr">
        <is>
          <t>STOCK-OUT EXPOSURE</t>
        </is>
      </c>
    </row>
    <row r="8">
      <c r="A8" s="4" t="inlineStr">
        <is>
          <t>PO0030704</t>
        </is>
      </c>
      <c r="B8" s="4" t="inlineStr">
        <is>
          <t>WH06</t>
        </is>
      </c>
      <c r="C8" s="4" t="inlineStr">
        <is>
          <t>Ahmedabad DC</t>
        </is>
      </c>
      <c r="D8" s="4" t="inlineStr">
        <is>
          <t>West</t>
        </is>
      </c>
      <c r="E8" s="4" t="inlineStr">
        <is>
          <t>SKU059</t>
        </is>
      </c>
      <c r="F8" s="4" t="inlineStr">
        <is>
          <t>Lip Balm</t>
        </is>
      </c>
      <c r="G8" s="4" t="inlineStr">
        <is>
          <t>Personal Care</t>
        </is>
      </c>
      <c r="H8" s="4" t="inlineStr">
        <is>
          <t>SUP12</t>
        </is>
      </c>
      <c r="I8" s="4" t="inlineStr">
        <is>
          <t>PureSkin Personal Care</t>
        </is>
      </c>
      <c r="J8" s="4" t="inlineStr">
        <is>
          <t>Tier 3</t>
        </is>
      </c>
      <c r="K8" s="4" t="inlineStr">
        <is>
          <t>2026-09-07</t>
        </is>
      </c>
      <c r="L8" s="4" t="inlineStr">
        <is>
          <t>2026-09-17</t>
        </is>
      </c>
      <c r="M8" s="4" t="n">
        <v>17</v>
      </c>
      <c r="N8" s="11" t="n">
        <v>828</v>
      </c>
      <c r="O8" s="11" t="n">
        <v>123918</v>
      </c>
      <c r="P8" s="4" t="n">
        <v>0</v>
      </c>
      <c r="Q8" s="13" t="n">
        <v>0</v>
      </c>
      <c r="R8" s="4" t="inlineStr">
        <is>
          <t>STOCKOUT</t>
        </is>
      </c>
      <c r="S8" s="4" t="inlineStr">
        <is>
          <t>CRITICAL</t>
        </is>
      </c>
      <c r="T8" s="4" t="inlineStr">
        <is>
          <t>STOCK-OUT EXPOSURE</t>
        </is>
      </c>
    </row>
    <row r="9">
      <c r="A9" s="4" t="inlineStr">
        <is>
          <t>PO0030235</t>
        </is>
      </c>
      <c r="B9" s="4" t="inlineStr">
        <is>
          <t>WH05</t>
        </is>
      </c>
      <c r="C9" s="4" t="inlineStr">
        <is>
          <t>Pune DC</t>
        </is>
      </c>
      <c r="D9" s="4" t="inlineStr">
        <is>
          <t>West</t>
        </is>
      </c>
      <c r="E9" s="4" t="inlineStr">
        <is>
          <t>SKU082</t>
        </is>
      </c>
      <c r="F9" s="4" t="inlineStr">
        <is>
          <t>Phone Case</t>
        </is>
      </c>
      <c r="G9" s="4" t="inlineStr">
        <is>
          <t>Electronics Accessories</t>
        </is>
      </c>
      <c r="H9" s="4" t="inlineStr">
        <is>
          <t>SUP17</t>
        </is>
      </c>
      <c r="I9" s="4" t="inlineStr">
        <is>
          <t>ConnectPro Gadgets</t>
        </is>
      </c>
      <c r="J9" s="4" t="inlineStr">
        <is>
          <t>Tier 3</t>
        </is>
      </c>
      <c r="K9" s="4" t="inlineStr">
        <is>
          <t>2026-08-25</t>
        </is>
      </c>
      <c r="L9" s="4" t="inlineStr">
        <is>
          <t>2026-09-18</t>
        </is>
      </c>
      <c r="M9" s="4" t="n">
        <v>16</v>
      </c>
      <c r="N9" s="11" t="n">
        <v>470</v>
      </c>
      <c r="O9" s="11" t="n">
        <v>304936</v>
      </c>
      <c r="P9" s="4" t="n">
        <v>13</v>
      </c>
      <c r="Q9" s="13" t="n">
        <v>0.13</v>
      </c>
      <c r="R9" s="4" t="inlineStr">
        <is>
          <t>CRITICAL</t>
        </is>
      </c>
      <c r="S9" s="4" t="inlineStr">
        <is>
          <t>CRITICAL</t>
        </is>
      </c>
      <c r="T9" s="4" t="inlineStr">
        <is>
          <t>STOCK-OUT EXPOSURE</t>
        </is>
      </c>
    </row>
    <row r="10">
      <c r="A10" s="4" t="inlineStr">
        <is>
          <t>PO0030680</t>
        </is>
      </c>
      <c r="B10" s="4" t="inlineStr">
        <is>
          <t>WH04</t>
        </is>
      </c>
      <c r="C10" s="4" t="inlineStr">
        <is>
          <t>Bhiwandi DC</t>
        </is>
      </c>
      <c r="D10" s="4" t="inlineStr">
        <is>
          <t>West</t>
        </is>
      </c>
      <c r="E10" s="4" t="inlineStr">
        <is>
          <t>SKU052</t>
        </is>
      </c>
      <c r="F10" s="4" t="inlineStr">
        <is>
          <t>Deodorant 150ml</t>
        </is>
      </c>
      <c r="G10" s="4" t="inlineStr">
        <is>
          <t>Personal Care</t>
        </is>
      </c>
      <c r="H10" s="4" t="inlineStr">
        <is>
          <t>SUP12</t>
        </is>
      </c>
      <c r="I10" s="4" t="inlineStr">
        <is>
          <t>PureSkin Personal Care</t>
        </is>
      </c>
      <c r="J10" s="4" t="inlineStr">
        <is>
          <t>Tier 3</t>
        </is>
      </c>
      <c r="K10" s="4" t="inlineStr">
        <is>
          <t>2026-09-07</t>
        </is>
      </c>
      <c r="L10" s="4" t="inlineStr">
        <is>
          <t>2026-09-19</t>
        </is>
      </c>
      <c r="M10" s="4" t="n">
        <v>15</v>
      </c>
      <c r="N10" s="11" t="n">
        <v>3132</v>
      </c>
      <c r="O10" s="11" t="n">
        <v>407692</v>
      </c>
      <c r="P10" s="4" t="n">
        <v>28</v>
      </c>
      <c r="Q10" s="13" t="n">
        <v>0.05</v>
      </c>
      <c r="R10" s="4" t="inlineStr">
        <is>
          <t>CRITICAL</t>
        </is>
      </c>
      <c r="S10" s="4" t="inlineStr">
        <is>
          <t>CRITICAL</t>
        </is>
      </c>
      <c r="T10" s="4" t="inlineStr">
        <is>
          <t>STOCK-OUT EXPOSURE</t>
        </is>
      </c>
    </row>
    <row r="11">
      <c r="A11" s="4" t="inlineStr">
        <is>
          <t>PO0030386</t>
        </is>
      </c>
      <c r="B11" s="4" t="inlineStr">
        <is>
          <t>WH06</t>
        </is>
      </c>
      <c r="C11" s="4" t="inlineStr">
        <is>
          <t>Ahmedabad DC</t>
        </is>
      </c>
      <c r="D11" s="4" t="inlineStr">
        <is>
          <t>West</t>
        </is>
      </c>
      <c r="E11" s="4" t="inlineStr">
        <is>
          <t>SKU080</t>
        </is>
      </c>
      <c r="F11" s="4" t="inlineStr">
        <is>
          <t>TWS Earbuds</t>
        </is>
      </c>
      <c r="G11" s="4" t="inlineStr">
        <is>
          <t>Electronics Accessories</t>
        </is>
      </c>
      <c r="H11" s="4" t="inlineStr">
        <is>
          <t>SUP17</t>
        </is>
      </c>
      <c r="I11" s="4" t="inlineStr">
        <is>
          <t>ConnectPro Gadgets</t>
        </is>
      </c>
      <c r="J11" s="4" t="inlineStr">
        <is>
          <t>Tier 3</t>
        </is>
      </c>
      <c r="K11" s="4" t="inlineStr">
        <is>
          <t>2026-08-31</t>
        </is>
      </c>
      <c r="L11" s="4" t="inlineStr">
        <is>
          <t>2026-09-21</t>
        </is>
      </c>
      <c r="M11" s="4" t="n">
        <v>13</v>
      </c>
      <c r="N11" s="11" t="n">
        <v>1260</v>
      </c>
      <c r="O11" s="11" t="n">
        <v>2857768</v>
      </c>
      <c r="P11" s="4" t="n">
        <v>0</v>
      </c>
      <c r="Q11" s="13" t="n">
        <v>0</v>
      </c>
      <c r="R11" s="4" t="inlineStr">
        <is>
          <t>STOCKOUT</t>
        </is>
      </c>
      <c r="S11" s="4" t="inlineStr">
        <is>
          <t>CRITICAL</t>
        </is>
      </c>
      <c r="T11" s="4" t="inlineStr">
        <is>
          <t>STOCK-OUT EXPOSURE</t>
        </is>
      </c>
    </row>
    <row r="12">
      <c r="A12" s="4" t="inlineStr">
        <is>
          <t>PO0031008</t>
        </is>
      </c>
      <c r="B12" s="4" t="inlineStr">
        <is>
          <t>WH03</t>
        </is>
      </c>
      <c r="C12" s="4" t="inlineStr">
        <is>
          <t>Lucknow DC</t>
        </is>
      </c>
      <c r="D12" s="4" t="inlineStr">
        <is>
          <t>North</t>
        </is>
      </c>
      <c r="E12" s="4" t="inlineStr">
        <is>
          <t>SKU007</t>
        </is>
      </c>
      <c r="F12" s="4" t="inlineStr">
        <is>
          <t>Sugar 1kg</t>
        </is>
      </c>
      <c r="G12" s="4" t="inlineStr">
        <is>
          <t>Packaged Staples</t>
        </is>
      </c>
      <c r="H12" s="4" t="inlineStr">
        <is>
          <t>SUP02</t>
        </is>
      </c>
      <c r="I12" s="4" t="inlineStr">
        <is>
          <t>Annapurna Staples Pvt Ltd</t>
        </is>
      </c>
      <c r="J12" s="4" t="inlineStr">
        <is>
          <t>Tier 2</t>
        </is>
      </c>
      <c r="K12" s="4" t="inlineStr">
        <is>
          <t>2026-09-14</t>
        </is>
      </c>
      <c r="L12" s="4" t="inlineStr">
        <is>
          <t>2026-09-24</t>
        </is>
      </c>
      <c r="M12" s="4" t="n">
        <v>10</v>
      </c>
      <c r="N12" s="11" t="n">
        <v>4284</v>
      </c>
      <c r="O12" s="11" t="n">
        <v>555678</v>
      </c>
      <c r="P12" s="4" t="n">
        <v>0</v>
      </c>
      <c r="Q12" s="13" t="n">
        <v>0</v>
      </c>
      <c r="R12" s="4" t="inlineStr">
        <is>
          <t>STOCKOUT</t>
        </is>
      </c>
      <c r="S12" s="4" t="inlineStr">
        <is>
          <t>CRITICAL</t>
        </is>
      </c>
      <c r="T12" s="4" t="inlineStr">
        <is>
          <t>STOCK-OUT EXPOSURE</t>
        </is>
      </c>
    </row>
    <row r="13">
      <c r="A13" s="4" t="inlineStr">
        <is>
          <t>PO0031070</t>
        </is>
      </c>
      <c r="B13" s="4" t="inlineStr">
        <is>
          <t>WH06</t>
        </is>
      </c>
      <c r="C13" s="4" t="inlineStr">
        <is>
          <t>Ahmedabad DC</t>
        </is>
      </c>
      <c r="D13" s="4" t="inlineStr">
        <is>
          <t>West</t>
        </is>
      </c>
      <c r="E13" s="4" t="inlineStr">
        <is>
          <t>SKU055</t>
        </is>
      </c>
      <c r="F13" s="4" t="inlineStr">
        <is>
          <t>Talc 300g</t>
        </is>
      </c>
      <c r="G13" s="4" t="inlineStr">
        <is>
          <t>Personal Care</t>
        </is>
      </c>
      <c r="H13" s="4" t="inlineStr">
        <is>
          <t>SUP12</t>
        </is>
      </c>
      <c r="I13" s="4" t="inlineStr">
        <is>
          <t>PureSkin Personal Care</t>
        </is>
      </c>
      <c r="J13" s="4" t="inlineStr">
        <is>
          <t>Tier 3</t>
        </is>
      </c>
      <c r="K13" s="4" t="inlineStr">
        <is>
          <t>2026-09-14</t>
        </is>
      </c>
      <c r="L13" s="4" t="inlineStr">
        <is>
          <t>2026-09-24</t>
        </is>
      </c>
      <c r="M13" s="4" t="n">
        <v>10</v>
      </c>
      <c r="N13" s="11" t="n">
        <v>1644</v>
      </c>
      <c r="O13" s="11" t="n">
        <v>126966</v>
      </c>
      <c r="P13" s="4" t="n">
        <v>0</v>
      </c>
      <c r="Q13" s="13" t="n">
        <v>0</v>
      </c>
      <c r="R13" s="4" t="inlineStr">
        <is>
          <t>STOCKOUT</t>
        </is>
      </c>
      <c r="S13" s="4" t="inlineStr">
        <is>
          <t>CRITICAL</t>
        </is>
      </c>
      <c r="T13" s="4" t="inlineStr">
        <is>
          <t>STOCK-OUT EXPOSURE</t>
        </is>
      </c>
    </row>
    <row r="14">
      <c r="A14" s="4" t="inlineStr">
        <is>
          <t>PO0030901</t>
        </is>
      </c>
      <c r="B14" s="4" t="inlineStr">
        <is>
          <t>WH07</t>
        </is>
      </c>
      <c r="C14" s="4" t="inlineStr">
        <is>
          <t>Bengaluru DC</t>
        </is>
      </c>
      <c r="D14" s="4" t="inlineStr">
        <is>
          <t>South</t>
        </is>
      </c>
      <c r="E14" s="4" t="inlineStr">
        <is>
          <t>SKU089</t>
        </is>
      </c>
      <c r="F14" s="4" t="inlineStr">
        <is>
          <t>USB Keyboard</t>
        </is>
      </c>
      <c r="G14" s="4" t="inlineStr">
        <is>
          <t>Electronics Accessories</t>
        </is>
      </c>
      <c r="H14" s="4" t="inlineStr">
        <is>
          <t>SUP16</t>
        </is>
      </c>
      <c r="I14" s="4" t="inlineStr">
        <is>
          <t>VoltEdge Electronics</t>
        </is>
      </c>
      <c r="J14" s="4" t="inlineStr">
        <is>
          <t>Tier 1</t>
        </is>
      </c>
      <c r="K14" s="4" t="inlineStr">
        <is>
          <t>2026-09-08</t>
        </is>
      </c>
      <c r="L14" s="4" t="inlineStr">
        <is>
          <t>2026-09-25</t>
        </is>
      </c>
      <c r="M14" s="4" t="n">
        <v>9</v>
      </c>
      <c r="N14" s="11" t="n">
        <v>1090</v>
      </c>
      <c r="O14" s="11" t="n">
        <v>2384746</v>
      </c>
      <c r="P14" s="4" t="n">
        <v>0</v>
      </c>
      <c r="Q14" s="13" t="n">
        <v>0</v>
      </c>
      <c r="R14" s="4" t="inlineStr">
        <is>
          <t>STOCKOUT</t>
        </is>
      </c>
      <c r="S14" s="4" t="inlineStr">
        <is>
          <t>CRITICAL</t>
        </is>
      </c>
      <c r="T14" s="4" t="inlineStr">
        <is>
          <t>STOCK-OUT EXPOSURE</t>
        </is>
      </c>
    </row>
    <row r="15">
      <c r="A15" s="4" t="inlineStr">
        <is>
          <t>PO0031277</t>
        </is>
      </c>
      <c r="B15" s="4" t="inlineStr">
        <is>
          <t>WH09</t>
        </is>
      </c>
      <c r="C15" s="4" t="inlineStr">
        <is>
          <t>Hyderabad DC</t>
        </is>
      </c>
      <c r="D15" s="4" t="inlineStr">
        <is>
          <t>South</t>
        </is>
      </c>
      <c r="E15" s="4" t="inlineStr">
        <is>
          <t>SKU011</t>
        </is>
      </c>
      <c r="F15" s="4" t="inlineStr">
        <is>
          <t>Besan 1kg</t>
        </is>
      </c>
      <c r="G15" s="4" t="inlineStr">
        <is>
          <t>Packaged Staples</t>
        </is>
      </c>
      <c r="H15" s="4" t="inlineStr">
        <is>
          <t>SUP03</t>
        </is>
      </c>
      <c r="I15" s="4" t="inlineStr">
        <is>
          <t>Kisan Mill Traders</t>
        </is>
      </c>
      <c r="J15" s="4" t="inlineStr">
        <is>
          <t>Tier 3</t>
        </is>
      </c>
      <c r="K15" s="4" t="inlineStr">
        <is>
          <t>2026-09-15</t>
        </is>
      </c>
      <c r="L15" s="4" t="inlineStr">
        <is>
          <t>2026-09-25</t>
        </is>
      </c>
      <c r="M15" s="4" t="n">
        <v>9</v>
      </c>
      <c r="N15" s="11" t="n">
        <v>3936</v>
      </c>
      <c r="O15" s="11" t="n">
        <v>432684</v>
      </c>
      <c r="P15" s="4" t="n">
        <v>0</v>
      </c>
      <c r="Q15" s="13" t="n">
        <v>0</v>
      </c>
      <c r="R15" s="4" t="inlineStr">
        <is>
          <t>STOCKOUT</t>
        </is>
      </c>
      <c r="S15" s="4" t="inlineStr">
        <is>
          <t>CRITICAL</t>
        </is>
      </c>
      <c r="T15" s="4" t="inlineStr">
        <is>
          <t>STOCK-OUT EXPOSURE</t>
        </is>
      </c>
    </row>
    <row r="16">
      <c r="A16" s="4" t="inlineStr">
        <is>
          <t>PO0031010</t>
        </is>
      </c>
      <c r="B16" s="4" t="inlineStr">
        <is>
          <t>WH03</t>
        </is>
      </c>
      <c r="C16" s="4" t="inlineStr">
        <is>
          <t>Lucknow DC</t>
        </is>
      </c>
      <c r="D16" s="4" t="inlineStr">
        <is>
          <t>North</t>
        </is>
      </c>
      <c r="E16" s="4" t="inlineStr">
        <is>
          <t>SKU013</t>
        </is>
      </c>
      <c r="F16" s="4" t="inlineStr">
        <is>
          <t>Jaggery 1kg</t>
        </is>
      </c>
      <c r="G16" s="4" t="inlineStr">
        <is>
          <t>Packaged Staples</t>
        </is>
      </c>
      <c r="H16" s="4" t="inlineStr">
        <is>
          <t>SUP03</t>
        </is>
      </c>
      <c r="I16" s="4" t="inlineStr">
        <is>
          <t>Kisan Mill Traders</t>
        </is>
      </c>
      <c r="J16" s="4" t="inlineStr">
        <is>
          <t>Tier 3</t>
        </is>
      </c>
      <c r="K16" s="4" t="inlineStr">
        <is>
          <t>2026-09-14</t>
        </is>
      </c>
      <c r="L16" s="4" t="inlineStr">
        <is>
          <t>2026-09-25</t>
        </is>
      </c>
      <c r="M16" s="4" t="n">
        <v>9</v>
      </c>
      <c r="N16" s="11" t="n">
        <v>3156</v>
      </c>
      <c r="O16" s="11" t="n">
        <v>403526</v>
      </c>
      <c r="P16" s="4" t="n">
        <v>0</v>
      </c>
      <c r="Q16" s="13" t="n">
        <v>0</v>
      </c>
      <c r="R16" s="4" t="inlineStr">
        <is>
          <t>STOCKOUT</t>
        </is>
      </c>
      <c r="S16" s="4" t="inlineStr">
        <is>
          <t>CRITICAL</t>
        </is>
      </c>
      <c r="T16" s="4" t="inlineStr">
        <is>
          <t>STOCK-OUT EXPOSURE</t>
        </is>
      </c>
    </row>
    <row r="17">
      <c r="A17" s="4" t="inlineStr">
        <is>
          <t>PO0031069</t>
        </is>
      </c>
      <c r="B17" s="4" t="inlineStr">
        <is>
          <t>WH06</t>
        </is>
      </c>
      <c r="C17" s="4" t="inlineStr">
        <is>
          <t>Ahmedabad DC</t>
        </is>
      </c>
      <c r="D17" s="4" t="inlineStr">
        <is>
          <t>West</t>
        </is>
      </c>
      <c r="E17" s="4" t="inlineStr">
        <is>
          <t>SKU047</t>
        </is>
      </c>
      <c r="F17" s="4" t="inlineStr">
        <is>
          <t>Soap 4-pack</t>
        </is>
      </c>
      <c r="G17" s="4" t="inlineStr">
        <is>
          <t>Personal Care</t>
        </is>
      </c>
      <c r="H17" s="4" t="inlineStr">
        <is>
          <t>SUP12</t>
        </is>
      </c>
      <c r="I17" s="4" t="inlineStr">
        <is>
          <t>PureSkin Personal Care</t>
        </is>
      </c>
      <c r="J17" s="4" t="inlineStr">
        <is>
          <t>Tier 3</t>
        </is>
      </c>
      <c r="K17" s="4" t="inlineStr">
        <is>
          <t>2026-09-14</t>
        </is>
      </c>
      <c r="L17" s="4" t="inlineStr">
        <is>
          <t>2026-09-25</t>
        </is>
      </c>
      <c r="M17" s="4" t="n">
        <v>9</v>
      </c>
      <c r="N17" s="11" t="n">
        <v>2196</v>
      </c>
      <c r="O17" s="11" t="n">
        <v>82328</v>
      </c>
      <c r="P17" s="4" t="n">
        <v>0</v>
      </c>
      <c r="Q17" s="13" t="n">
        <v>0</v>
      </c>
      <c r="R17" s="4" t="inlineStr">
        <is>
          <t>STOCKOUT</t>
        </is>
      </c>
      <c r="S17" s="4" t="inlineStr">
        <is>
          <t>CRITICAL</t>
        </is>
      </c>
      <c r="T17" s="4" t="inlineStr">
        <is>
          <t>STOCK-OUT EXPOSURE</t>
        </is>
      </c>
    </row>
    <row r="18">
      <c r="A18" s="4" t="inlineStr">
        <is>
          <t>PO0031171</t>
        </is>
      </c>
      <c r="B18" s="4" t="inlineStr">
        <is>
          <t>WH12</t>
        </is>
      </c>
      <c r="C18" s="4" t="inlineStr">
        <is>
          <t>Nagpur DC</t>
        </is>
      </c>
      <c r="D18" s="4" t="inlineStr">
        <is>
          <t>Central</t>
        </is>
      </c>
      <c r="E18" s="4" t="inlineStr">
        <is>
          <t>SKU047</t>
        </is>
      </c>
      <c r="F18" s="4" t="inlineStr">
        <is>
          <t>Soap 4-pack</t>
        </is>
      </c>
      <c r="G18" s="4" t="inlineStr">
        <is>
          <t>Personal Care</t>
        </is>
      </c>
      <c r="H18" s="4" t="inlineStr">
        <is>
          <t>SUP12</t>
        </is>
      </c>
      <c r="I18" s="4" t="inlineStr">
        <is>
          <t>PureSkin Personal Care</t>
        </is>
      </c>
      <c r="J18" s="4" t="inlineStr">
        <is>
          <t>Tier 3</t>
        </is>
      </c>
      <c r="K18" s="4" t="inlineStr">
        <is>
          <t>2026-09-14</t>
        </is>
      </c>
      <c r="L18" s="4" t="inlineStr">
        <is>
          <t>2026-09-25</t>
        </is>
      </c>
      <c r="M18" s="4" t="n">
        <v>9</v>
      </c>
      <c r="N18" s="11" t="n">
        <v>1392</v>
      </c>
      <c r="O18" s="11" t="n">
        <v>50404</v>
      </c>
      <c r="P18" s="4" t="n">
        <v>0</v>
      </c>
      <c r="Q18" s="13" t="n">
        <v>0</v>
      </c>
      <c r="R18" s="4" t="inlineStr">
        <is>
          <t>STOCKOUT</t>
        </is>
      </c>
      <c r="S18" s="4" t="inlineStr">
        <is>
          <t>CRITICAL</t>
        </is>
      </c>
      <c r="T18" s="4" t="inlineStr">
        <is>
          <t>STOCK-OUT EXPOSURE</t>
        </is>
      </c>
    </row>
    <row r="19">
      <c r="A19" s="4" t="inlineStr">
        <is>
          <t>PO0031226</t>
        </is>
      </c>
      <c r="B19" s="4" t="inlineStr">
        <is>
          <t>WH06</t>
        </is>
      </c>
      <c r="C19" s="4" t="inlineStr">
        <is>
          <t>Ahmedabad DC</t>
        </is>
      </c>
      <c r="D19" s="4" t="inlineStr">
        <is>
          <t>West</t>
        </is>
      </c>
      <c r="E19" s="4" t="inlineStr">
        <is>
          <t>SKU013</t>
        </is>
      </c>
      <c r="F19" s="4" t="inlineStr">
        <is>
          <t>Jaggery 1kg</t>
        </is>
      </c>
      <c r="G19" s="4" t="inlineStr">
        <is>
          <t>Packaged Staples</t>
        </is>
      </c>
      <c r="H19" s="4" t="inlineStr">
        <is>
          <t>SUP03</t>
        </is>
      </c>
      <c r="I19" s="4" t="inlineStr">
        <is>
          <t>Kisan Mill Traders</t>
        </is>
      </c>
      <c r="J19" s="4" t="inlineStr">
        <is>
          <t>Tier 3</t>
        </is>
      </c>
      <c r="K19" s="4" t="inlineStr">
        <is>
          <t>2026-09-15</t>
        </is>
      </c>
      <c r="L19" s="4" t="inlineStr">
        <is>
          <t>2026-09-26</t>
        </is>
      </c>
      <c r="M19" s="4" t="n">
        <v>8</v>
      </c>
      <c r="N19" s="11" t="n">
        <v>2508</v>
      </c>
      <c r="O19" s="11" t="n">
        <v>314177</v>
      </c>
      <c r="P19" s="4" t="n">
        <v>0</v>
      </c>
      <c r="Q19" s="13" t="n">
        <v>0</v>
      </c>
      <c r="R19" s="4" t="inlineStr">
        <is>
          <t>STOCKOUT</t>
        </is>
      </c>
      <c r="S19" s="4" t="inlineStr">
        <is>
          <t>CRITICAL</t>
        </is>
      </c>
      <c r="T19" s="4" t="inlineStr">
        <is>
          <t>STOCK-OUT EXPOSURE</t>
        </is>
      </c>
    </row>
    <row r="20">
      <c r="A20" s="4" t="inlineStr">
        <is>
          <t>PO0030460</t>
        </is>
      </c>
      <c r="B20" s="4" t="inlineStr">
        <is>
          <t>WH11</t>
        </is>
      </c>
      <c r="C20" s="4" t="inlineStr">
        <is>
          <t>Guwahati DC</t>
        </is>
      </c>
      <c r="D20" s="4" t="inlineStr">
        <is>
          <t>East</t>
        </is>
      </c>
      <c r="E20" s="4" t="inlineStr">
        <is>
          <t>SKU077</t>
        </is>
      </c>
      <c r="F20" s="4" t="inlineStr">
        <is>
          <t>Fast Charger 25W</t>
        </is>
      </c>
      <c r="G20" s="4" t="inlineStr">
        <is>
          <t>Electronics Accessories</t>
        </is>
      </c>
      <c r="H20" s="4" t="inlineStr">
        <is>
          <t>SUP17</t>
        </is>
      </c>
      <c r="I20" s="4" t="inlineStr">
        <is>
          <t>ConnectPro Gadgets</t>
        </is>
      </c>
      <c r="J20" s="4" t="inlineStr">
        <is>
          <t>Tier 3</t>
        </is>
      </c>
      <c r="K20" s="4" t="inlineStr">
        <is>
          <t>2026-08-31</t>
        </is>
      </c>
      <c r="L20" s="4" t="inlineStr">
        <is>
          <t>2026-09-26</t>
        </is>
      </c>
      <c r="M20" s="4" t="n">
        <v>8</v>
      </c>
      <c r="N20" s="11" t="n">
        <v>450</v>
      </c>
      <c r="O20" s="11" t="n">
        <v>167387</v>
      </c>
      <c r="P20" s="4" t="n">
        <v>0</v>
      </c>
      <c r="Q20" s="13" t="n">
        <v>0</v>
      </c>
      <c r="R20" s="4" t="inlineStr">
        <is>
          <t>STOCKOUT</t>
        </is>
      </c>
      <c r="S20" s="4" t="inlineStr">
        <is>
          <t>CRITICAL</t>
        </is>
      </c>
      <c r="T20" s="4" t="inlineStr">
        <is>
          <t>STOCK-OUT EXPOSURE</t>
        </is>
      </c>
    </row>
    <row r="21">
      <c r="A21" s="4" t="inlineStr">
        <is>
          <t>PO0030417</t>
        </is>
      </c>
      <c r="B21" s="4" t="inlineStr">
        <is>
          <t>WH08</t>
        </is>
      </c>
      <c r="C21" s="4" t="inlineStr">
        <is>
          <t>Chennai DC</t>
        </is>
      </c>
      <c r="D21" s="4" t="inlineStr">
        <is>
          <t>South</t>
        </is>
      </c>
      <c r="E21" s="4" t="inlineStr">
        <is>
          <t>SKU078</t>
        </is>
      </c>
      <c r="F21" s="4" t="inlineStr">
        <is>
          <t>Power Bank 10000mAh</t>
        </is>
      </c>
      <c r="G21" s="4" t="inlineStr">
        <is>
          <t>Electronics Accessories</t>
        </is>
      </c>
      <c r="H21" s="4" t="inlineStr">
        <is>
          <t>SUP17</t>
        </is>
      </c>
      <c r="I21" s="4" t="inlineStr">
        <is>
          <t>ConnectPro Gadgets</t>
        </is>
      </c>
      <c r="J21" s="4" t="inlineStr">
        <is>
          <t>Tier 3</t>
        </is>
      </c>
      <c r="K21" s="4" t="inlineStr">
        <is>
          <t>2026-08-31</t>
        </is>
      </c>
      <c r="L21" s="4" t="inlineStr">
        <is>
          <t>2026-09-26</t>
        </is>
      </c>
      <c r="M21" s="4" t="n">
        <v>8</v>
      </c>
      <c r="N21" s="11" t="n">
        <v>450</v>
      </c>
      <c r="O21" s="11" t="n">
        <v>159314</v>
      </c>
      <c r="P21" s="4" t="n">
        <v>0</v>
      </c>
      <c r="Q21" s="13" t="n">
        <v>0</v>
      </c>
      <c r="R21" s="4" t="inlineStr">
        <is>
          <t>STOCKOUT</t>
        </is>
      </c>
      <c r="S21" s="4" t="inlineStr">
        <is>
          <t>CRITICAL</t>
        </is>
      </c>
      <c r="T21" s="4" t="inlineStr">
        <is>
          <t>STOCK-OUT EXPOSURE</t>
        </is>
      </c>
    </row>
    <row r="22">
      <c r="A22" s="4" t="inlineStr">
        <is>
          <t>PO0031297</t>
        </is>
      </c>
      <c r="B22" s="4" t="inlineStr">
        <is>
          <t>WH10</t>
        </is>
      </c>
      <c r="C22" s="4" t="inlineStr">
        <is>
          <t>Kolkata DC</t>
        </is>
      </c>
      <c r="D22" s="4" t="inlineStr">
        <is>
          <t>East</t>
        </is>
      </c>
      <c r="E22" s="4" t="inlineStr">
        <is>
          <t>SKU043</t>
        </is>
      </c>
      <c r="F22" s="4" t="inlineStr">
        <is>
          <t>Soan Papdi 500g</t>
        </is>
      </c>
      <c r="G22" s="4" t="inlineStr">
        <is>
          <t>Snacks &amp; Confectionery</t>
        </is>
      </c>
      <c r="H22" s="4" t="inlineStr">
        <is>
          <t>SUP08</t>
        </is>
      </c>
      <c r="I22" s="4" t="inlineStr">
        <is>
          <t>Mithaiwala Confectionery</t>
        </is>
      </c>
      <c r="J22" s="4" t="inlineStr">
        <is>
          <t>Tier 2</t>
        </is>
      </c>
      <c r="K22" s="4" t="inlineStr">
        <is>
          <t>2026-09-15</t>
        </is>
      </c>
      <c r="L22" s="4" t="inlineStr">
        <is>
          <t>2026-09-26</t>
        </is>
      </c>
      <c r="M22" s="4" t="n">
        <v>8</v>
      </c>
      <c r="N22" s="11" t="n">
        <v>2604</v>
      </c>
      <c r="O22" s="11" t="n">
        <v>39685</v>
      </c>
      <c r="P22" s="4" t="n">
        <v>0</v>
      </c>
      <c r="Q22" s="13" t="n">
        <v>0</v>
      </c>
      <c r="R22" s="4" t="inlineStr">
        <is>
          <t>STOCKOUT</t>
        </is>
      </c>
      <c r="S22" s="4" t="inlineStr">
        <is>
          <t>CRITICAL</t>
        </is>
      </c>
      <c r="T22" s="4" t="inlineStr">
        <is>
          <t>STOCK-OUT EXPOSURE</t>
        </is>
      </c>
    </row>
    <row r="23">
      <c r="A23" s="4" t="inlineStr">
        <is>
          <t>PO0030966</t>
        </is>
      </c>
      <c r="B23" s="4" t="inlineStr">
        <is>
          <t>WH11</t>
        </is>
      </c>
      <c r="C23" s="4" t="inlineStr">
        <is>
          <t>Guwahati DC</t>
        </is>
      </c>
      <c r="D23" s="4" t="inlineStr">
        <is>
          <t>East</t>
        </is>
      </c>
      <c r="E23" s="4" t="inlineStr">
        <is>
          <t>SKU048</t>
        </is>
      </c>
      <c r="F23" s="4" t="inlineStr">
        <is>
          <t>Toothpaste 150g</t>
        </is>
      </c>
      <c r="G23" s="4" t="inlineStr">
        <is>
          <t>Personal Care</t>
        </is>
      </c>
      <c r="H23" s="4" t="inlineStr">
        <is>
          <t>SUP11</t>
        </is>
      </c>
      <c r="I23" s="4" t="inlineStr">
        <is>
          <t>Ayur Beauty Labs</t>
        </is>
      </c>
      <c r="J23" s="4" t="inlineStr">
        <is>
          <t>Tier 2</t>
        </is>
      </c>
      <c r="K23" s="4" t="inlineStr">
        <is>
          <t>2026-09-08</t>
        </is>
      </c>
      <c r="L23" s="4" t="inlineStr">
        <is>
          <t>2026-09-26</t>
        </is>
      </c>
      <c r="M23" s="4" t="n">
        <v>8</v>
      </c>
      <c r="N23" s="11" t="n">
        <v>732</v>
      </c>
      <c r="O23" s="11" t="n">
        <v>36336</v>
      </c>
      <c r="P23" s="4" t="n">
        <v>0</v>
      </c>
      <c r="Q23" s="13" t="n">
        <v>0</v>
      </c>
      <c r="R23" s="4" t="inlineStr">
        <is>
          <t>STOCKOUT</t>
        </is>
      </c>
      <c r="S23" s="4" t="inlineStr">
        <is>
          <t>CRITICAL</t>
        </is>
      </c>
      <c r="T23" s="4" t="inlineStr">
        <is>
          <t>STOCK-OUT EXPOSURE</t>
        </is>
      </c>
    </row>
    <row r="24">
      <c r="A24" s="4" t="inlineStr">
        <is>
          <t>PO0031045</t>
        </is>
      </c>
      <c r="B24" s="4" t="inlineStr">
        <is>
          <t>WH05</t>
        </is>
      </c>
      <c r="C24" s="4" t="inlineStr">
        <is>
          <t>Pune DC</t>
        </is>
      </c>
      <c r="D24" s="4" t="inlineStr">
        <is>
          <t>West</t>
        </is>
      </c>
      <c r="E24" s="4" t="inlineStr">
        <is>
          <t>SKU001</t>
        </is>
      </c>
      <c r="F24" s="4" t="inlineStr">
        <is>
          <t>Atta 5kg</t>
        </is>
      </c>
      <c r="G24" s="4" t="inlineStr">
        <is>
          <t>Packaged Staples</t>
        </is>
      </c>
      <c r="H24" s="4" t="inlineStr">
        <is>
          <t>SUP02</t>
        </is>
      </c>
      <c r="I24" s="4" t="inlineStr">
        <is>
          <t>Annapurna Staples Pvt Ltd</t>
        </is>
      </c>
      <c r="J24" s="4" t="inlineStr">
        <is>
          <t>Tier 2</t>
        </is>
      </c>
      <c r="K24" s="4" t="inlineStr">
        <is>
          <t>2026-09-14</t>
        </is>
      </c>
      <c r="L24" s="4" t="inlineStr">
        <is>
          <t>2026-09-27</t>
        </is>
      </c>
      <c r="M24" s="4" t="n">
        <v>7</v>
      </c>
      <c r="N24" s="11" t="n">
        <v>2820</v>
      </c>
      <c r="O24" s="11" t="n">
        <v>416881</v>
      </c>
      <c r="P24" s="4" t="n">
        <v>0</v>
      </c>
      <c r="Q24" s="13" t="n">
        <v>0</v>
      </c>
      <c r="R24" s="4" t="inlineStr">
        <is>
          <t>STOCKOUT</t>
        </is>
      </c>
      <c r="S24" s="4" t="inlineStr">
        <is>
          <t>CRITICAL</t>
        </is>
      </c>
      <c r="T24" s="4" t="inlineStr">
        <is>
          <t>STOCK-OUT EXPOSURE</t>
        </is>
      </c>
    </row>
    <row r="25">
      <c r="A25" s="4" t="inlineStr">
        <is>
          <t>PO0030690</t>
        </is>
      </c>
      <c r="B25" s="4" t="inlineStr">
        <is>
          <t>WH05</t>
        </is>
      </c>
      <c r="C25" s="4" t="inlineStr">
        <is>
          <t>Pune DC</t>
        </is>
      </c>
      <c r="D25" s="4" t="inlineStr">
        <is>
          <t>West</t>
        </is>
      </c>
      <c r="E25" s="4" t="inlineStr">
        <is>
          <t>SKU077</t>
        </is>
      </c>
      <c r="F25" s="4" t="inlineStr">
        <is>
          <t>Fast Charger 25W</t>
        </is>
      </c>
      <c r="G25" s="4" t="inlineStr">
        <is>
          <t>Electronics Accessories</t>
        </is>
      </c>
      <c r="H25" s="4" t="inlineStr">
        <is>
          <t>SUP17</t>
        </is>
      </c>
      <c r="I25" s="4" t="inlineStr">
        <is>
          <t>ConnectPro Gadgets</t>
        </is>
      </c>
      <c r="J25" s="4" t="inlineStr">
        <is>
          <t>Tier 3</t>
        </is>
      </c>
      <c r="K25" s="4" t="inlineStr">
        <is>
          <t>2026-09-07</t>
        </is>
      </c>
      <c r="L25" s="4" t="inlineStr">
        <is>
          <t>2026-09-27</t>
        </is>
      </c>
      <c r="M25" s="4" t="n">
        <v>7</v>
      </c>
      <c r="N25" s="11" t="n">
        <v>790</v>
      </c>
      <c r="O25" s="11" t="n">
        <v>281659</v>
      </c>
      <c r="P25" s="4" t="n">
        <v>0</v>
      </c>
      <c r="Q25" s="13" t="n">
        <v>0</v>
      </c>
      <c r="R25" s="4" t="inlineStr">
        <is>
          <t>STOCKOUT</t>
        </is>
      </c>
      <c r="S25" s="4" t="inlineStr">
        <is>
          <t>CRITICAL</t>
        </is>
      </c>
      <c r="T25" s="4" t="inlineStr">
        <is>
          <t>STOCK-OUT EXPOSURE</t>
        </is>
      </c>
    </row>
    <row r="26">
      <c r="A26" s="4" t="inlineStr">
        <is>
          <t>PO0031248</t>
        </is>
      </c>
      <c r="B26" s="4" t="inlineStr">
        <is>
          <t>WH07</t>
        </is>
      </c>
      <c r="C26" s="4" t="inlineStr">
        <is>
          <t>Bengaluru DC</t>
        </is>
      </c>
      <c r="D26" s="4" t="inlineStr">
        <is>
          <t>South</t>
        </is>
      </c>
      <c r="E26" s="4" t="inlineStr">
        <is>
          <t>SKU052</t>
        </is>
      </c>
      <c r="F26" s="4" t="inlineStr">
        <is>
          <t>Deodorant 150ml</t>
        </is>
      </c>
      <c r="G26" s="4" t="inlineStr">
        <is>
          <t>Personal Care</t>
        </is>
      </c>
      <c r="H26" s="4" t="inlineStr">
        <is>
          <t>SUP12</t>
        </is>
      </c>
      <c r="I26" s="4" t="inlineStr">
        <is>
          <t>PureSkin Personal Care</t>
        </is>
      </c>
      <c r="J26" s="4" t="inlineStr">
        <is>
          <t>Tier 3</t>
        </is>
      </c>
      <c r="K26" s="4" t="inlineStr">
        <is>
          <t>2026-09-15</t>
        </is>
      </c>
      <c r="L26" s="4" t="inlineStr">
        <is>
          <t>2026-09-27</t>
        </is>
      </c>
      <c r="M26" s="4" t="n">
        <v>7</v>
      </c>
      <c r="N26" s="11" t="n">
        <v>2112</v>
      </c>
      <c r="O26" s="11" t="n">
        <v>281530</v>
      </c>
      <c r="P26" s="4" t="n">
        <v>121</v>
      </c>
      <c r="Q26" s="13" t="n">
        <v>0.31</v>
      </c>
      <c r="R26" s="4" t="inlineStr">
        <is>
          <t>CRITICAL</t>
        </is>
      </c>
      <c r="S26" s="4" t="inlineStr">
        <is>
          <t>CRITICAL</t>
        </is>
      </c>
      <c r="T26" s="4" t="inlineStr">
        <is>
          <t>STOCK-OUT EXPOSURE</t>
        </is>
      </c>
    </row>
    <row r="27">
      <c r="A27" s="4" t="inlineStr">
        <is>
          <t>PO0031060</t>
        </is>
      </c>
      <c r="B27" s="4" t="inlineStr">
        <is>
          <t>WH05</t>
        </is>
      </c>
      <c r="C27" s="4" t="inlineStr">
        <is>
          <t>Pune DC</t>
        </is>
      </c>
      <c r="D27" s="4" t="inlineStr">
        <is>
          <t>West</t>
        </is>
      </c>
      <c r="E27" s="4" t="inlineStr">
        <is>
          <t>SKU107</t>
        </is>
      </c>
      <c r="F27" s="4" t="inlineStr">
        <is>
          <t>Stretch Film 500mm</t>
        </is>
      </c>
      <c r="G27" s="4" t="inlineStr">
        <is>
          <t>Packaging &amp; Supplies</t>
        </is>
      </c>
      <c r="H27" s="4" t="inlineStr">
        <is>
          <t>SUP22</t>
        </is>
      </c>
      <c r="I27" s="4" t="inlineStr">
        <is>
          <t>SafeShip Packaging</t>
        </is>
      </c>
      <c r="J27" s="4" t="inlineStr">
        <is>
          <t>Tier 3</t>
        </is>
      </c>
      <c r="K27" s="4" t="inlineStr">
        <is>
          <t>2026-09-14</t>
        </is>
      </c>
      <c r="L27" s="4" t="inlineStr">
        <is>
          <t>2026-09-27</t>
        </is>
      </c>
      <c r="M27" s="4" t="n">
        <v>7</v>
      </c>
      <c r="N27" s="11" t="n">
        <v>640</v>
      </c>
      <c r="O27" s="11" t="n">
        <v>202733</v>
      </c>
      <c r="P27" s="4" t="n">
        <v>0</v>
      </c>
      <c r="Q27" s="13" t="n">
        <v>0</v>
      </c>
      <c r="R27" s="4" t="inlineStr">
        <is>
          <t>STOCKOUT</t>
        </is>
      </c>
      <c r="S27" s="4" t="inlineStr">
        <is>
          <t>CRITICAL</t>
        </is>
      </c>
      <c r="T27" s="4" t="inlineStr">
        <is>
          <t>STOCK-OUT EXPOSURE</t>
        </is>
      </c>
    </row>
    <row r="28">
      <c r="A28" s="4" t="inlineStr">
        <is>
          <t>PO0030565</t>
        </is>
      </c>
      <c r="B28" s="4" t="inlineStr">
        <is>
          <t>WH07</t>
        </is>
      </c>
      <c r="C28" s="4" t="inlineStr">
        <is>
          <t>Bengaluru DC</t>
        </is>
      </c>
      <c r="D28" s="4" t="inlineStr">
        <is>
          <t>South</t>
        </is>
      </c>
      <c r="E28" s="4" t="inlineStr">
        <is>
          <t>SKU078</t>
        </is>
      </c>
      <c r="F28" s="4" t="inlineStr">
        <is>
          <t>Power Bank 10000mAh</t>
        </is>
      </c>
      <c r="G28" s="4" t="inlineStr">
        <is>
          <t>Electronics Accessories</t>
        </is>
      </c>
      <c r="H28" s="4" t="inlineStr">
        <is>
          <t>SUP17</t>
        </is>
      </c>
      <c r="I28" s="4" t="inlineStr">
        <is>
          <t>ConnectPro Gadgets</t>
        </is>
      </c>
      <c r="J28" s="4" t="inlineStr">
        <is>
          <t>Tier 3</t>
        </is>
      </c>
      <c r="K28" s="4" t="inlineStr">
        <is>
          <t>2026-09-01</t>
        </is>
      </c>
      <c r="L28" s="4" t="inlineStr">
        <is>
          <t>2026-09-27</t>
        </is>
      </c>
      <c r="M28" s="4" t="n">
        <v>7</v>
      </c>
      <c r="N28" s="11" t="n">
        <v>530</v>
      </c>
      <c r="O28" s="11" t="n">
        <v>187079</v>
      </c>
      <c r="P28" s="4" t="n">
        <v>0</v>
      </c>
      <c r="Q28" s="13" t="n">
        <v>0</v>
      </c>
      <c r="R28" s="4" t="inlineStr">
        <is>
          <t>STOCKOUT</t>
        </is>
      </c>
      <c r="S28" s="4" t="inlineStr">
        <is>
          <t>CRITICAL</t>
        </is>
      </c>
      <c r="T28" s="4" t="inlineStr">
        <is>
          <t>STOCK-OUT EXPOSURE</t>
        </is>
      </c>
    </row>
    <row r="29">
      <c r="A29" s="4" t="inlineStr">
        <is>
          <t>PO0030347</t>
        </is>
      </c>
      <c r="B29" s="4" t="inlineStr">
        <is>
          <t>WH03</t>
        </is>
      </c>
      <c r="C29" s="4" t="inlineStr">
        <is>
          <t>Lucknow DC</t>
        </is>
      </c>
      <c r="D29" s="4" t="inlineStr">
        <is>
          <t>North</t>
        </is>
      </c>
      <c r="E29" s="4" t="inlineStr">
        <is>
          <t>SKU082</t>
        </is>
      </c>
      <c r="F29" s="4" t="inlineStr">
        <is>
          <t>Phone Case</t>
        </is>
      </c>
      <c r="G29" s="4" t="inlineStr">
        <is>
          <t>Electronics Accessories</t>
        </is>
      </c>
      <c r="H29" s="4" t="inlineStr">
        <is>
          <t>SUP17</t>
        </is>
      </c>
      <c r="I29" s="4" t="inlineStr">
        <is>
          <t>ConnectPro Gadgets</t>
        </is>
      </c>
      <c r="J29" s="4" t="inlineStr">
        <is>
          <t>Tier 3</t>
        </is>
      </c>
      <c r="K29" s="4" t="inlineStr">
        <is>
          <t>2026-08-31</t>
        </is>
      </c>
      <c r="L29" s="4" t="inlineStr">
        <is>
          <t>2026-09-27</t>
        </is>
      </c>
      <c r="M29" s="4" t="n">
        <v>7</v>
      </c>
      <c r="N29" s="11" t="n">
        <v>280</v>
      </c>
      <c r="O29" s="11" t="n">
        <v>184736</v>
      </c>
      <c r="P29" s="4" t="n">
        <v>0</v>
      </c>
      <c r="Q29" s="13" t="n">
        <v>0</v>
      </c>
      <c r="R29" s="4" t="inlineStr">
        <is>
          <t>STOCKOUT</t>
        </is>
      </c>
      <c r="S29" s="4" t="inlineStr">
        <is>
          <t>CRITICAL</t>
        </is>
      </c>
      <c r="T29" s="4" t="inlineStr">
        <is>
          <t>STOCK-OUT EXPOSURE</t>
        </is>
      </c>
    </row>
    <row r="30">
      <c r="A30" s="4" t="inlineStr">
        <is>
          <t>PO0031145</t>
        </is>
      </c>
      <c r="B30" s="4" t="inlineStr">
        <is>
          <t>WH10</t>
        </is>
      </c>
      <c r="C30" s="4" t="inlineStr">
        <is>
          <t>Kolkata DC</t>
        </is>
      </c>
      <c r="D30" s="4" t="inlineStr">
        <is>
          <t>East</t>
        </is>
      </c>
      <c r="E30" s="4" t="inlineStr">
        <is>
          <t>SKU107</t>
        </is>
      </c>
      <c r="F30" s="4" t="inlineStr">
        <is>
          <t>Stretch Film 500mm</t>
        </is>
      </c>
      <c r="G30" s="4" t="inlineStr">
        <is>
          <t>Packaging &amp; Supplies</t>
        </is>
      </c>
      <c r="H30" s="4" t="inlineStr">
        <is>
          <t>SUP22</t>
        </is>
      </c>
      <c r="I30" s="4" t="inlineStr">
        <is>
          <t>SafeShip Packaging</t>
        </is>
      </c>
      <c r="J30" s="4" t="inlineStr">
        <is>
          <t>Tier 3</t>
        </is>
      </c>
      <c r="K30" s="4" t="inlineStr">
        <is>
          <t>2026-09-14</t>
        </is>
      </c>
      <c r="L30" s="4" t="inlineStr">
        <is>
          <t>2026-09-27</t>
        </is>
      </c>
      <c r="M30" s="4" t="n">
        <v>7</v>
      </c>
      <c r="N30" s="11" t="n">
        <v>540</v>
      </c>
      <c r="O30" s="11" t="n">
        <v>170478</v>
      </c>
      <c r="P30" s="4" t="n">
        <v>0</v>
      </c>
      <c r="Q30" s="13" t="n">
        <v>0</v>
      </c>
      <c r="R30" s="4" t="inlineStr">
        <is>
          <t>STOCKOUT</t>
        </is>
      </c>
      <c r="S30" s="4" t="inlineStr">
        <is>
          <t>CRITICAL</t>
        </is>
      </c>
      <c r="T30" s="4" t="inlineStr">
        <is>
          <t>STOCK-OUT EXPOSURE</t>
        </is>
      </c>
    </row>
    <row r="31">
      <c r="A31" s="4" t="inlineStr">
        <is>
          <t>PO0031084</t>
        </is>
      </c>
      <c r="B31" s="4" t="inlineStr">
        <is>
          <t>WH07</t>
        </is>
      </c>
      <c r="C31" s="4" t="inlineStr">
        <is>
          <t>Bengaluru DC</t>
        </is>
      </c>
      <c r="D31" s="4" t="inlineStr">
        <is>
          <t>South</t>
        </is>
      </c>
      <c r="E31" s="4" t="inlineStr">
        <is>
          <t>SKU049</t>
        </is>
      </c>
      <c r="F31" s="4" t="inlineStr">
        <is>
          <t>Face Wash 100ml</t>
        </is>
      </c>
      <c r="G31" s="4" t="inlineStr">
        <is>
          <t>Personal Care</t>
        </is>
      </c>
      <c r="H31" s="4" t="inlineStr">
        <is>
          <t>SUP12</t>
        </is>
      </c>
      <c r="I31" s="4" t="inlineStr">
        <is>
          <t>PureSkin Personal Care</t>
        </is>
      </c>
      <c r="J31" s="4" t="inlineStr">
        <is>
          <t>Tier 3</t>
        </is>
      </c>
      <c r="K31" s="4" t="inlineStr">
        <is>
          <t>2026-09-14</t>
        </is>
      </c>
      <c r="L31" s="4" t="inlineStr">
        <is>
          <t>2026-09-27</t>
        </is>
      </c>
      <c r="M31" s="4" t="n">
        <v>7</v>
      </c>
      <c r="N31" s="11" t="n">
        <v>1836</v>
      </c>
      <c r="O31" s="11" t="n">
        <v>59303</v>
      </c>
      <c r="P31" s="4" t="n">
        <v>0</v>
      </c>
      <c r="Q31" s="13" t="n">
        <v>0</v>
      </c>
      <c r="R31" s="4" t="inlineStr">
        <is>
          <t>STOCKOUT</t>
        </is>
      </c>
      <c r="S31" s="4" t="inlineStr">
        <is>
          <t>CRITICAL</t>
        </is>
      </c>
      <c r="T31" s="4" t="inlineStr">
        <is>
          <t>STOCK-OUT EXPOSURE</t>
        </is>
      </c>
    </row>
    <row r="32">
      <c r="A32" s="4" t="inlineStr">
        <is>
          <t>PO0030463</t>
        </is>
      </c>
      <c r="B32" s="4" t="inlineStr">
        <is>
          <t>WH11</t>
        </is>
      </c>
      <c r="C32" s="4" t="inlineStr">
        <is>
          <t>Guwahati DC</t>
        </is>
      </c>
      <c r="D32" s="4" t="inlineStr">
        <is>
          <t>East</t>
        </is>
      </c>
      <c r="E32" s="4" t="inlineStr">
        <is>
          <t>SKU114</t>
        </is>
      </c>
      <c r="F32" s="4" t="inlineStr">
        <is>
          <t>Cable Ties 100pk</t>
        </is>
      </c>
      <c r="G32" s="4" t="inlineStr">
        <is>
          <t>Packaging &amp; Supplies</t>
        </is>
      </c>
      <c r="H32" s="4" t="inlineStr">
        <is>
          <t>SUP22</t>
        </is>
      </c>
      <c r="I32" s="4" t="inlineStr">
        <is>
          <t>SafeShip Packaging</t>
        </is>
      </c>
      <c r="J32" s="4" t="inlineStr">
        <is>
          <t>Tier 3</t>
        </is>
      </c>
      <c r="K32" s="4" t="inlineStr">
        <is>
          <t>2026-08-31</t>
        </is>
      </c>
      <c r="L32" s="4" t="inlineStr">
        <is>
          <t>2026-09-27</t>
        </is>
      </c>
      <c r="M32" s="4" t="n">
        <v>7</v>
      </c>
      <c r="N32" s="11" t="n">
        <v>660</v>
      </c>
      <c r="O32" s="11" t="n">
        <v>44002</v>
      </c>
      <c r="P32" s="4" t="n">
        <v>0</v>
      </c>
      <c r="Q32" s="13" t="n">
        <v>0</v>
      </c>
      <c r="R32" s="4" t="inlineStr">
        <is>
          <t>STOCKOUT</t>
        </is>
      </c>
      <c r="S32" s="4" t="inlineStr">
        <is>
          <t>CRITICAL</t>
        </is>
      </c>
      <c r="T32" s="4" t="inlineStr">
        <is>
          <t>STOCK-OUT EXPOSURE</t>
        </is>
      </c>
    </row>
    <row r="33">
      <c r="A33" s="4" t="inlineStr">
        <is>
          <t>PO0031237</t>
        </is>
      </c>
      <c r="B33" s="4" t="inlineStr">
        <is>
          <t>WH06</t>
        </is>
      </c>
      <c r="C33" s="4" t="inlineStr">
        <is>
          <t>Ahmedabad DC</t>
        </is>
      </c>
      <c r="D33" s="4" t="inlineStr">
        <is>
          <t>West</t>
        </is>
      </c>
      <c r="E33" s="4" t="inlineStr">
        <is>
          <t>SKU107</t>
        </is>
      </c>
      <c r="F33" s="4" t="inlineStr">
        <is>
          <t>Stretch Film 500mm</t>
        </is>
      </c>
      <c r="G33" s="4" t="inlineStr">
        <is>
          <t>Packaging &amp; Supplies</t>
        </is>
      </c>
      <c r="H33" s="4" t="inlineStr">
        <is>
          <t>SUP22</t>
        </is>
      </c>
      <c r="I33" s="4" t="inlineStr">
        <is>
          <t>SafeShip Packaging</t>
        </is>
      </c>
      <c r="J33" s="4" t="inlineStr">
        <is>
          <t>Tier 3</t>
        </is>
      </c>
      <c r="K33" s="4" t="inlineStr">
        <is>
          <t>2026-09-15</t>
        </is>
      </c>
      <c r="L33" s="4" t="inlineStr">
        <is>
          <t>2026-09-28</t>
        </is>
      </c>
      <c r="M33" s="4" t="n">
        <v>6</v>
      </c>
      <c r="N33" s="11" t="n">
        <v>1300</v>
      </c>
      <c r="O33" s="11" t="n">
        <v>425594</v>
      </c>
      <c r="P33" s="4" t="n">
        <v>0</v>
      </c>
      <c r="Q33" s="13" t="n">
        <v>0</v>
      </c>
      <c r="R33" s="4" t="inlineStr">
        <is>
          <t>STOCKOUT</t>
        </is>
      </c>
      <c r="S33" s="4" t="inlineStr">
        <is>
          <t>WARNING</t>
        </is>
      </c>
      <c r="T33" s="4" t="inlineStr">
        <is>
          <t>STOCK-OUT EXPOSURE</t>
        </is>
      </c>
    </row>
    <row r="34">
      <c r="A34" s="4" t="inlineStr">
        <is>
          <t>PO0031272</t>
        </is>
      </c>
      <c r="B34" s="4" t="inlineStr">
        <is>
          <t>WH08</t>
        </is>
      </c>
      <c r="C34" s="4" t="inlineStr">
        <is>
          <t>Chennai DC</t>
        </is>
      </c>
      <c r="D34" s="4" t="inlineStr">
        <is>
          <t>South</t>
        </is>
      </c>
      <c r="E34" s="4" t="inlineStr">
        <is>
          <t>SKU108</t>
        </is>
      </c>
      <c r="F34" s="4" t="inlineStr">
        <is>
          <t>BOPP Tape 48mm</t>
        </is>
      </c>
      <c r="G34" s="4" t="inlineStr">
        <is>
          <t>Packaging &amp; Supplies</t>
        </is>
      </c>
      <c r="H34" s="4" t="inlineStr">
        <is>
          <t>SUP22</t>
        </is>
      </c>
      <c r="I34" s="4" t="inlineStr">
        <is>
          <t>SafeShip Packaging</t>
        </is>
      </c>
      <c r="J34" s="4" t="inlineStr">
        <is>
          <t>Tier 3</t>
        </is>
      </c>
      <c r="K34" s="4" t="inlineStr">
        <is>
          <t>2026-09-15</t>
        </is>
      </c>
      <c r="L34" s="4" t="inlineStr">
        <is>
          <t>2026-09-28</t>
        </is>
      </c>
      <c r="M34" s="4" t="n">
        <v>6</v>
      </c>
      <c r="N34" s="11" t="n">
        <v>440</v>
      </c>
      <c r="O34" s="11" t="n">
        <v>306055</v>
      </c>
      <c r="P34" s="4" t="n">
        <v>0</v>
      </c>
      <c r="Q34" s="13" t="n">
        <v>0</v>
      </c>
      <c r="R34" s="4" t="inlineStr">
        <is>
          <t>STOCKOUT</t>
        </is>
      </c>
      <c r="S34" s="4" t="inlineStr">
        <is>
          <t>WARNING</t>
        </is>
      </c>
      <c r="T34" s="4" t="inlineStr">
        <is>
          <t>STOCK-OUT EXPOSURE</t>
        </is>
      </c>
    </row>
    <row r="35">
      <c r="A35" s="4" t="inlineStr">
        <is>
          <t>PO0031219</t>
        </is>
      </c>
      <c r="B35" s="4" t="inlineStr">
        <is>
          <t>WH05</t>
        </is>
      </c>
      <c r="C35" s="4" t="inlineStr">
        <is>
          <t>Pune DC</t>
        </is>
      </c>
      <c r="D35" s="4" t="inlineStr">
        <is>
          <t>West</t>
        </is>
      </c>
      <c r="E35" s="4" t="inlineStr">
        <is>
          <t>SKU091</t>
        </is>
      </c>
      <c r="F35" s="4" t="inlineStr">
        <is>
          <t>Paracetamol 500mg 15s</t>
        </is>
      </c>
      <c r="G35" s="4" t="inlineStr">
        <is>
          <t>OTC Pharma &amp; Wellness</t>
        </is>
      </c>
      <c r="H35" s="4" t="inlineStr">
        <is>
          <t>SUP18</t>
        </is>
      </c>
      <c r="I35" s="4" t="inlineStr">
        <is>
          <t>VitaCare Pharma Distributors</t>
        </is>
      </c>
      <c r="J35" s="4" t="inlineStr">
        <is>
          <t>Tier 1</t>
        </is>
      </c>
      <c r="K35" s="4" t="inlineStr">
        <is>
          <t>2026-09-15</t>
        </is>
      </c>
      <c r="L35" s="4" t="inlineStr">
        <is>
          <t>2026-09-28</t>
        </is>
      </c>
      <c r="M35" s="4" t="n">
        <v>6</v>
      </c>
      <c r="N35" s="11" t="n">
        <v>1548</v>
      </c>
      <c r="O35" s="11" t="n">
        <v>178562</v>
      </c>
      <c r="P35" s="4" t="n">
        <v>350</v>
      </c>
      <c r="Q35" s="13" t="n">
        <v>1.25</v>
      </c>
      <c r="R35" s="4" t="inlineStr">
        <is>
          <t>LOW</t>
        </is>
      </c>
      <c r="S35" s="4" t="inlineStr">
        <is>
          <t>WARNING</t>
        </is>
      </c>
      <c r="T35" s="4" t="inlineStr">
        <is>
          <t>LOW-STOCK EXPOSURE</t>
        </is>
      </c>
    </row>
    <row r="36">
      <c r="A36" s="4" t="inlineStr">
        <is>
          <t>PO0030598</t>
        </is>
      </c>
      <c r="B36" s="4" t="inlineStr">
        <is>
          <t>WH09</t>
        </is>
      </c>
      <c r="C36" s="4" t="inlineStr">
        <is>
          <t>Hyderabad DC</t>
        </is>
      </c>
      <c r="D36" s="4" t="inlineStr">
        <is>
          <t>South</t>
        </is>
      </c>
      <c r="E36" s="4" t="inlineStr">
        <is>
          <t>SKU081</t>
        </is>
      </c>
      <c r="F36" s="4" t="inlineStr">
        <is>
          <t>Bluetooth Speaker</t>
        </is>
      </c>
      <c r="G36" s="4" t="inlineStr">
        <is>
          <t>Electronics Accessories</t>
        </is>
      </c>
      <c r="H36" s="4" t="inlineStr">
        <is>
          <t>SUP16</t>
        </is>
      </c>
      <c r="I36" s="4" t="inlineStr">
        <is>
          <t>VoltEdge Electronics</t>
        </is>
      </c>
      <c r="J36" s="4" t="inlineStr">
        <is>
          <t>Tier 1</t>
        </is>
      </c>
      <c r="K36" s="4" t="inlineStr">
        <is>
          <t>2026-09-01</t>
        </is>
      </c>
      <c r="L36" s="4" t="inlineStr">
        <is>
          <t>2026-09-28</t>
        </is>
      </c>
      <c r="M36" s="4" t="n">
        <v>6</v>
      </c>
      <c r="N36" s="11" t="n">
        <v>780</v>
      </c>
      <c r="O36" s="11" t="n">
        <v>174611</v>
      </c>
      <c r="P36" s="4" t="n">
        <v>0</v>
      </c>
      <c r="Q36" s="13" t="n">
        <v>0</v>
      </c>
      <c r="R36" s="4" t="inlineStr">
        <is>
          <t>STOCKOUT</t>
        </is>
      </c>
      <c r="S36" s="4" t="inlineStr">
        <is>
          <t>WARNING</t>
        </is>
      </c>
      <c r="T36" s="4" t="inlineStr">
        <is>
          <t>STOCK-OUT EXPOSURE</t>
        </is>
      </c>
    </row>
    <row r="37">
      <c r="A37" s="4" t="inlineStr">
        <is>
          <t>PO0031361</t>
        </is>
      </c>
      <c r="B37" s="4" t="inlineStr">
        <is>
          <t>WH03</t>
        </is>
      </c>
      <c r="C37" s="4" t="inlineStr">
        <is>
          <t>Lucknow DC</t>
        </is>
      </c>
      <c r="D37" s="4" t="inlineStr">
        <is>
          <t>North</t>
        </is>
      </c>
      <c r="E37" s="4" t="inlineStr">
        <is>
          <t>SKU059</t>
        </is>
      </c>
      <c r="F37" s="4" t="inlineStr">
        <is>
          <t>Lip Balm</t>
        </is>
      </c>
      <c r="G37" s="4" t="inlineStr">
        <is>
          <t>Personal Care</t>
        </is>
      </c>
      <c r="H37" s="4" t="inlineStr">
        <is>
          <t>SUP12</t>
        </is>
      </c>
      <c r="I37" s="4" t="inlineStr">
        <is>
          <t>PureSkin Personal Care</t>
        </is>
      </c>
      <c r="J37" s="4" t="inlineStr">
        <is>
          <t>Tier 3</t>
        </is>
      </c>
      <c r="K37" s="4" t="inlineStr">
        <is>
          <t>2026-09-21</t>
        </is>
      </c>
      <c r="L37" s="4" t="inlineStr">
        <is>
          <t>2026-09-28</t>
        </is>
      </c>
      <c r="M37" s="4" t="n">
        <v>6</v>
      </c>
      <c r="N37" s="11" t="n">
        <v>828</v>
      </c>
      <c r="O37" s="11" t="n">
        <v>123165</v>
      </c>
      <c r="P37" s="4" t="n">
        <v>0</v>
      </c>
      <c r="Q37" s="13" t="n">
        <v>0</v>
      </c>
      <c r="R37" s="4" t="inlineStr">
        <is>
          <t>STOCKOUT</t>
        </is>
      </c>
      <c r="S37" s="4" t="inlineStr">
        <is>
          <t>WARNING</t>
        </is>
      </c>
      <c r="T37" s="4" t="inlineStr">
        <is>
          <t>STOCK-OUT EXPOSURE</t>
        </is>
      </c>
    </row>
    <row r="38">
      <c r="A38" s="4" t="inlineStr">
        <is>
          <t>PO0030763</t>
        </is>
      </c>
      <c r="B38" s="4" t="inlineStr">
        <is>
          <t>WH09</t>
        </is>
      </c>
      <c r="C38" s="4" t="inlineStr">
        <is>
          <t>Hyderabad DC</t>
        </is>
      </c>
      <c r="D38" s="4" t="inlineStr">
        <is>
          <t>South</t>
        </is>
      </c>
      <c r="E38" s="4" t="inlineStr">
        <is>
          <t>SKU109</t>
        </is>
      </c>
      <c r="F38" s="4" t="inlineStr">
        <is>
          <t>Bubble Wrap Roll</t>
        </is>
      </c>
      <c r="G38" s="4" t="inlineStr">
        <is>
          <t>Packaging &amp; Supplies</t>
        </is>
      </c>
      <c r="H38" s="4" t="inlineStr">
        <is>
          <t>SUP22</t>
        </is>
      </c>
      <c r="I38" s="4" t="inlineStr">
        <is>
          <t>SafeShip Packaging</t>
        </is>
      </c>
      <c r="J38" s="4" t="inlineStr">
        <is>
          <t>Tier 3</t>
        </is>
      </c>
      <c r="K38" s="4" t="inlineStr">
        <is>
          <t>2026-09-07</t>
        </is>
      </c>
      <c r="L38" s="4" t="inlineStr">
        <is>
          <t>2026-09-28</t>
        </is>
      </c>
      <c r="M38" s="4" t="n">
        <v>6</v>
      </c>
      <c r="N38" s="11" t="n">
        <v>1520</v>
      </c>
      <c r="O38" s="11" t="n">
        <v>103862</v>
      </c>
      <c r="P38" s="4" t="n">
        <v>537</v>
      </c>
      <c r="Q38" s="13" t="n">
        <v>1.25</v>
      </c>
      <c r="R38" s="4" t="inlineStr">
        <is>
          <t>LOW</t>
        </is>
      </c>
      <c r="S38" s="4" t="inlineStr">
        <is>
          <t>WARNING</t>
        </is>
      </c>
      <c r="T38" s="4" t="inlineStr">
        <is>
          <t>LOW-STOCK EXPOSURE</t>
        </is>
      </c>
    </row>
    <row r="39">
      <c r="A39" s="4" t="inlineStr">
        <is>
          <t>PO0031155</t>
        </is>
      </c>
      <c r="B39" s="4" t="inlineStr">
        <is>
          <t>WH11</t>
        </is>
      </c>
      <c r="C39" s="4" t="inlineStr">
        <is>
          <t>Guwahati DC</t>
        </is>
      </c>
      <c r="D39" s="4" t="inlineStr">
        <is>
          <t>East</t>
        </is>
      </c>
      <c r="E39" s="4" t="inlineStr">
        <is>
          <t>SKU047</t>
        </is>
      </c>
      <c r="F39" s="4" t="inlineStr">
        <is>
          <t>Soap 4-pack</t>
        </is>
      </c>
      <c r="G39" s="4" t="inlineStr">
        <is>
          <t>Personal Care</t>
        </is>
      </c>
      <c r="H39" s="4" t="inlineStr">
        <is>
          <t>SUP12</t>
        </is>
      </c>
      <c r="I39" s="4" t="inlineStr">
        <is>
          <t>PureSkin Personal Care</t>
        </is>
      </c>
      <c r="J39" s="4" t="inlineStr">
        <is>
          <t>Tier 3</t>
        </is>
      </c>
      <c r="K39" s="4" t="inlineStr">
        <is>
          <t>2026-09-14</t>
        </is>
      </c>
      <c r="L39" s="4" t="inlineStr">
        <is>
          <t>2026-09-28</t>
        </is>
      </c>
      <c r="M39" s="4" t="n">
        <v>6</v>
      </c>
      <c r="N39" s="11" t="n">
        <v>1392</v>
      </c>
      <c r="O39" s="11" t="n">
        <v>51351</v>
      </c>
      <c r="P39" s="4" t="n">
        <v>0</v>
      </c>
      <c r="Q39" s="13" t="n">
        <v>0</v>
      </c>
      <c r="R39" s="4" t="inlineStr">
        <is>
          <t>STOCKOUT</t>
        </is>
      </c>
      <c r="S39" s="4" t="inlineStr">
        <is>
          <t>WARNING</t>
        </is>
      </c>
      <c r="T39" s="4" t="inlineStr">
        <is>
          <t>STOCK-OUT EXPOSURE</t>
        </is>
      </c>
    </row>
    <row r="40">
      <c r="A40" s="4" t="inlineStr">
        <is>
          <t>PO0030627</t>
        </is>
      </c>
      <c r="B40" s="4" t="inlineStr">
        <is>
          <t>WH11</t>
        </is>
      </c>
      <c r="C40" s="4" t="inlineStr">
        <is>
          <t>Guwahati DC</t>
        </is>
      </c>
      <c r="D40" s="4" t="inlineStr">
        <is>
          <t>East</t>
        </is>
      </c>
      <c r="E40" s="4" t="inlineStr">
        <is>
          <t>SKU109</t>
        </is>
      </c>
      <c r="F40" s="4" t="inlineStr">
        <is>
          <t>Bubble Wrap Roll</t>
        </is>
      </c>
      <c r="G40" s="4" t="inlineStr">
        <is>
          <t>Packaging &amp; Supplies</t>
        </is>
      </c>
      <c r="H40" s="4" t="inlineStr">
        <is>
          <t>SUP22</t>
        </is>
      </c>
      <c r="I40" s="4" t="inlineStr">
        <is>
          <t>SafeShip Packaging</t>
        </is>
      </c>
      <c r="J40" s="4" t="inlineStr">
        <is>
          <t>Tier 3</t>
        </is>
      </c>
      <c r="K40" s="4" t="inlineStr">
        <is>
          <t>2026-09-01</t>
        </is>
      </c>
      <c r="L40" s="4" t="inlineStr">
        <is>
          <t>2026-09-28</t>
        </is>
      </c>
      <c r="M40" s="4" t="n">
        <v>6</v>
      </c>
      <c r="N40" s="11" t="n">
        <v>700</v>
      </c>
      <c r="O40" s="11" t="n">
        <v>46613</v>
      </c>
      <c r="P40" s="4" t="n">
        <v>0</v>
      </c>
      <c r="Q40" s="13" t="n">
        <v>0</v>
      </c>
      <c r="R40" s="4" t="inlineStr">
        <is>
          <t>STOCKOUT</t>
        </is>
      </c>
      <c r="S40" s="4" t="inlineStr">
        <is>
          <t>WARNING</t>
        </is>
      </c>
      <c r="T40" s="4" t="inlineStr">
        <is>
          <t>STOCK-OUT EXPOSURE</t>
        </is>
      </c>
    </row>
    <row r="41">
      <c r="A41" s="4" t="inlineStr">
        <is>
          <t>PO0031327</t>
        </is>
      </c>
      <c r="B41" s="4" t="inlineStr">
        <is>
          <t>WH01</t>
        </is>
      </c>
      <c r="C41" s="4" t="inlineStr">
        <is>
          <t>Gurugram DC</t>
        </is>
      </c>
      <c r="D41" s="4" t="inlineStr">
        <is>
          <t>North</t>
        </is>
      </c>
      <c r="E41" s="4" t="inlineStr">
        <is>
          <t>SKU014</t>
        </is>
      </c>
      <c r="F41" s="4" t="inlineStr">
        <is>
          <t>Ghee 500ml</t>
        </is>
      </c>
      <c r="G41" s="4" t="inlineStr">
        <is>
          <t>Packaged Staples</t>
        </is>
      </c>
      <c r="H41" s="4" t="inlineStr">
        <is>
          <t>SUP03</t>
        </is>
      </c>
      <c r="I41" s="4" t="inlineStr">
        <is>
          <t>Kisan Mill Traders</t>
        </is>
      </c>
      <c r="J41" s="4" t="inlineStr">
        <is>
          <t>Tier 3</t>
        </is>
      </c>
      <c r="K41" s="4" t="inlineStr">
        <is>
          <t>2026-09-21</t>
        </is>
      </c>
      <c r="L41" s="4" t="inlineStr">
        <is>
          <t>2026-09-29</t>
        </is>
      </c>
      <c r="M41" s="4" t="n">
        <v>5</v>
      </c>
      <c r="N41" s="11" t="n">
        <v>3900</v>
      </c>
      <c r="O41" s="11" t="n">
        <v>925782</v>
      </c>
      <c r="P41" s="4" t="n">
        <v>1732</v>
      </c>
      <c r="Q41" s="13" t="n">
        <v>2.22</v>
      </c>
      <c r="R41" s="4" t="inlineStr">
        <is>
          <t>HEALTHY</t>
        </is>
      </c>
      <c r="S41" s="4" t="inlineStr">
        <is>
          <t>WARNING</t>
        </is>
      </c>
      <c r="T41" s="4" t="inlineStr">
        <is>
          <t>NO IMMEDIATE EXPOSURE</t>
        </is>
      </c>
    </row>
    <row r="42">
      <c r="A42" s="4" t="inlineStr">
        <is>
          <t>PO0031037</t>
        </is>
      </c>
      <c r="B42" s="4" t="inlineStr">
        <is>
          <t>WH04</t>
        </is>
      </c>
      <c r="C42" s="4" t="inlineStr">
        <is>
          <t>Bhiwandi DC</t>
        </is>
      </c>
      <c r="D42" s="4" t="inlineStr">
        <is>
          <t>West</t>
        </is>
      </c>
      <c r="E42" s="4" t="inlineStr">
        <is>
          <t>SKU076</t>
        </is>
      </c>
      <c r="F42" s="4" t="inlineStr">
        <is>
          <t>USB-C Cable 1m</t>
        </is>
      </c>
      <c r="G42" s="4" t="inlineStr">
        <is>
          <t>Electronics Accessories</t>
        </is>
      </c>
      <c r="H42" s="4" t="inlineStr">
        <is>
          <t>SUP17</t>
        </is>
      </c>
      <c r="I42" s="4" t="inlineStr">
        <is>
          <t>ConnectPro Gadgets</t>
        </is>
      </c>
      <c r="J42" s="4" t="inlineStr">
        <is>
          <t>Tier 3</t>
        </is>
      </c>
      <c r="K42" s="4" t="inlineStr">
        <is>
          <t>2026-09-14</t>
        </is>
      </c>
      <c r="L42" s="4" t="inlineStr">
        <is>
          <t>2026-09-29</t>
        </is>
      </c>
      <c r="M42" s="4" t="n">
        <v>5</v>
      </c>
      <c r="N42" s="11" t="n">
        <v>1430</v>
      </c>
      <c r="O42" s="11" t="n">
        <v>634076</v>
      </c>
      <c r="P42" s="4" t="n">
        <v>908</v>
      </c>
      <c r="Q42" s="13" t="n">
        <v>2.97</v>
      </c>
      <c r="R42" s="4" t="inlineStr">
        <is>
          <t>HEALTHY</t>
        </is>
      </c>
      <c r="S42" s="4" t="inlineStr">
        <is>
          <t>WARNING</t>
        </is>
      </c>
      <c r="T42" s="4" t="inlineStr">
        <is>
          <t>NO IMMEDIATE EXPOSURE</t>
        </is>
      </c>
    </row>
    <row r="43">
      <c r="A43" s="4" t="inlineStr">
        <is>
          <t>PO0031353</t>
        </is>
      </c>
      <c r="B43" s="4" t="inlineStr">
        <is>
          <t>WH03</t>
        </is>
      </c>
      <c r="C43" s="4" t="inlineStr">
        <is>
          <t>Lucknow DC</t>
        </is>
      </c>
      <c r="D43" s="4" t="inlineStr">
        <is>
          <t>North</t>
        </is>
      </c>
      <c r="E43" s="4" t="inlineStr">
        <is>
          <t>SKU004</t>
        </is>
      </c>
      <c r="F43" s="4" t="inlineStr">
        <is>
          <t>Moong Dal 1kg</t>
        </is>
      </c>
      <c r="G43" s="4" t="inlineStr">
        <is>
          <t>Packaged Staples</t>
        </is>
      </c>
      <c r="H43" s="4" t="inlineStr">
        <is>
          <t>SUP02</t>
        </is>
      </c>
      <c r="I43" s="4" t="inlineStr">
        <is>
          <t>Annapurna Staples Pvt Ltd</t>
        </is>
      </c>
      <c r="J43" s="4" t="inlineStr">
        <is>
          <t>Tier 2</t>
        </is>
      </c>
      <c r="K43" s="4" t="inlineStr">
        <is>
          <t>2026-09-21</t>
        </is>
      </c>
      <c r="L43" s="4" t="inlineStr">
        <is>
          <t>2026-09-29</t>
        </is>
      </c>
      <c r="M43" s="4" t="n">
        <v>5</v>
      </c>
      <c r="N43" s="11" t="n">
        <v>3564</v>
      </c>
      <c r="O43" s="11" t="n">
        <v>286581</v>
      </c>
      <c r="P43" s="4" t="n">
        <v>672</v>
      </c>
      <c r="Q43" s="13" t="n">
        <v>0.65</v>
      </c>
      <c r="R43" s="4" t="inlineStr">
        <is>
          <t>LOW</t>
        </is>
      </c>
      <c r="S43" s="4" t="inlineStr">
        <is>
          <t>WARNING</t>
        </is>
      </c>
      <c r="T43" s="4" t="inlineStr">
        <is>
          <t>LOW-STOCK EXPOSURE</t>
        </is>
      </c>
    </row>
    <row r="44">
      <c r="A44" s="4" t="inlineStr">
        <is>
          <t>PO0031074</t>
        </is>
      </c>
      <c r="B44" s="4" t="inlineStr">
        <is>
          <t>WH06</t>
        </is>
      </c>
      <c r="C44" s="4" t="inlineStr">
        <is>
          <t>Ahmedabad DC</t>
        </is>
      </c>
      <c r="D44" s="4" t="inlineStr">
        <is>
          <t>West</t>
        </is>
      </c>
      <c r="E44" s="4" t="inlineStr">
        <is>
          <t>SKU076</t>
        </is>
      </c>
      <c r="F44" s="4" t="inlineStr">
        <is>
          <t>USB-C Cable 1m</t>
        </is>
      </c>
      <c r="G44" s="4" t="inlineStr">
        <is>
          <t>Electronics Accessories</t>
        </is>
      </c>
      <c r="H44" s="4" t="inlineStr">
        <is>
          <t>SUP17</t>
        </is>
      </c>
      <c r="I44" s="4" t="inlineStr">
        <is>
          <t>ConnectPro Gadgets</t>
        </is>
      </c>
      <c r="J44" s="4" t="inlineStr">
        <is>
          <t>Tier 3</t>
        </is>
      </c>
      <c r="K44" s="4" t="inlineStr">
        <is>
          <t>2026-09-14</t>
        </is>
      </c>
      <c r="L44" s="4" t="inlineStr">
        <is>
          <t>2026-09-29</t>
        </is>
      </c>
      <c r="M44" s="4" t="n">
        <v>5</v>
      </c>
      <c r="N44" s="11" t="n">
        <v>600</v>
      </c>
      <c r="O44" s="11" t="n">
        <v>271932</v>
      </c>
      <c r="P44" s="4" t="n">
        <v>80</v>
      </c>
      <c r="Q44" s="13" t="n">
        <v>0.64</v>
      </c>
      <c r="R44" s="4" t="inlineStr">
        <is>
          <t>LOW</t>
        </is>
      </c>
      <c r="S44" s="4" t="inlineStr">
        <is>
          <t>WARNING</t>
        </is>
      </c>
      <c r="T44" s="4" t="inlineStr">
        <is>
          <t>LOW-STOCK EXPOSURE</t>
        </is>
      </c>
    </row>
    <row r="45">
      <c r="A45" s="4" t="inlineStr">
        <is>
          <t>PO0031033</t>
        </is>
      </c>
      <c r="B45" s="4" t="inlineStr">
        <is>
          <t>WH04</t>
        </is>
      </c>
      <c r="C45" s="4" t="inlineStr">
        <is>
          <t>Bhiwandi DC</t>
        </is>
      </c>
      <c r="D45" s="4" t="inlineStr">
        <is>
          <t>West</t>
        </is>
      </c>
      <c r="E45" s="4" t="inlineStr">
        <is>
          <t>SKU046</t>
        </is>
      </c>
      <c r="F45" s="4" t="inlineStr">
        <is>
          <t>Shampoo 340ml</t>
        </is>
      </c>
      <c r="G45" s="4" t="inlineStr">
        <is>
          <t>Personal Care</t>
        </is>
      </c>
      <c r="H45" s="4" t="inlineStr">
        <is>
          <t>SUP12</t>
        </is>
      </c>
      <c r="I45" s="4" t="inlineStr">
        <is>
          <t>PureSkin Personal Care</t>
        </is>
      </c>
      <c r="J45" s="4" t="inlineStr">
        <is>
          <t>Tier 3</t>
        </is>
      </c>
      <c r="K45" s="4" t="inlineStr">
        <is>
          <t>2026-09-14</t>
        </is>
      </c>
      <c r="L45" s="4" t="inlineStr">
        <is>
          <t>2026-09-29</t>
        </is>
      </c>
      <c r="M45" s="4" t="n">
        <v>5</v>
      </c>
      <c r="N45" s="11" t="n">
        <v>4932</v>
      </c>
      <c r="O45" s="11" t="n">
        <v>248228</v>
      </c>
      <c r="P45" s="4" t="n">
        <v>3505</v>
      </c>
      <c r="Q45" s="13" t="n">
        <v>4.01</v>
      </c>
      <c r="R45" s="4" t="inlineStr">
        <is>
          <t>HEALTHY</t>
        </is>
      </c>
      <c r="S45" s="4" t="inlineStr">
        <is>
          <t>WARNING</t>
        </is>
      </c>
      <c r="T45" s="4" t="inlineStr">
        <is>
          <t>NO IMMEDIATE EXPOSURE</t>
        </is>
      </c>
    </row>
    <row r="46">
      <c r="A46" s="4" t="inlineStr">
        <is>
          <t>PO0031124</t>
        </is>
      </c>
      <c r="B46" s="4" t="inlineStr">
        <is>
          <t>WH09</t>
        </is>
      </c>
      <c r="C46" s="4" t="inlineStr">
        <is>
          <t>Hyderabad DC</t>
        </is>
      </c>
      <c r="D46" s="4" t="inlineStr">
        <is>
          <t>South</t>
        </is>
      </c>
      <c r="E46" s="4" t="inlineStr">
        <is>
          <t>SKU054</t>
        </is>
      </c>
      <c r="F46" s="4" t="inlineStr">
        <is>
          <t>Razor 5pk</t>
        </is>
      </c>
      <c r="G46" s="4" t="inlineStr">
        <is>
          <t>Personal Care</t>
        </is>
      </c>
      <c r="H46" s="4" t="inlineStr">
        <is>
          <t>SUP12</t>
        </is>
      </c>
      <c r="I46" s="4" t="inlineStr">
        <is>
          <t>PureSkin Personal Care</t>
        </is>
      </c>
      <c r="J46" s="4" t="inlineStr">
        <is>
          <t>Tier 3</t>
        </is>
      </c>
      <c r="K46" s="4" t="inlineStr">
        <is>
          <t>2026-09-14</t>
        </is>
      </c>
      <c r="L46" s="4" t="inlineStr">
        <is>
          <t>2026-09-29</t>
        </is>
      </c>
      <c r="M46" s="4" t="n">
        <v>5</v>
      </c>
      <c r="N46" s="11" t="n">
        <v>1404</v>
      </c>
      <c r="O46" s="11" t="n">
        <v>151843</v>
      </c>
      <c r="P46" s="4" t="n">
        <v>0</v>
      </c>
      <c r="Q46" s="13" t="n">
        <v>0</v>
      </c>
      <c r="R46" s="4" t="inlineStr">
        <is>
          <t>STOCKOUT</t>
        </is>
      </c>
      <c r="S46" s="4" t="inlineStr">
        <is>
          <t>WARNING</t>
        </is>
      </c>
      <c r="T46" s="4" t="inlineStr">
        <is>
          <t>STOCK-OUT EXPOSURE</t>
        </is>
      </c>
    </row>
    <row r="47">
      <c r="A47" s="4" t="inlineStr">
        <is>
          <t>PO0031001</t>
        </is>
      </c>
      <c r="B47" s="4" t="inlineStr">
        <is>
          <t>WH02</t>
        </is>
      </c>
      <c r="C47" s="4" t="inlineStr">
        <is>
          <t>Jaipur DC</t>
        </is>
      </c>
      <c r="D47" s="4" t="inlineStr">
        <is>
          <t>North</t>
        </is>
      </c>
      <c r="E47" s="4" t="inlineStr">
        <is>
          <t>SKU065</t>
        </is>
      </c>
      <c r="F47" s="4" t="inlineStr">
        <is>
          <t>Glass Cleaner 500ml</t>
        </is>
      </c>
      <c r="G47" s="4" t="inlineStr">
        <is>
          <t>Home Care</t>
        </is>
      </c>
      <c r="H47" s="4" t="inlineStr">
        <is>
          <t>SUP13</t>
        </is>
      </c>
      <c r="I47" s="4" t="inlineStr">
        <is>
          <t>CleanSwift Home Products</t>
        </is>
      </c>
      <c r="J47" s="4" t="inlineStr">
        <is>
          <t>Tier 1</t>
        </is>
      </c>
      <c r="K47" s="4" t="inlineStr">
        <is>
          <t>2026-09-14</t>
        </is>
      </c>
      <c r="L47" s="4" t="inlineStr">
        <is>
          <t>2026-09-29</t>
        </is>
      </c>
      <c r="M47" s="4" t="n">
        <v>5</v>
      </c>
      <c r="N47" s="11" t="n">
        <v>1512</v>
      </c>
      <c r="O47" s="11" t="n">
        <v>126449</v>
      </c>
      <c r="P47" s="4" t="n">
        <v>0</v>
      </c>
      <c r="Q47" s="13" t="n">
        <v>0</v>
      </c>
      <c r="R47" s="4" t="inlineStr">
        <is>
          <t>STOCKOUT</t>
        </is>
      </c>
      <c r="S47" s="4" t="inlineStr">
        <is>
          <t>WARNING</t>
        </is>
      </c>
      <c r="T47" s="4" t="inlineStr">
        <is>
          <t>STOCK-OUT EXPOSURE</t>
        </is>
      </c>
    </row>
    <row r="48">
      <c r="A48" s="4" t="inlineStr">
        <is>
          <t>PO0030943</t>
        </is>
      </c>
      <c r="B48" s="4" t="inlineStr">
        <is>
          <t>WH09</t>
        </is>
      </c>
      <c r="C48" s="4" t="inlineStr">
        <is>
          <t>Hyderabad DC</t>
        </is>
      </c>
      <c r="D48" s="4" t="inlineStr">
        <is>
          <t>South</t>
        </is>
      </c>
      <c r="E48" s="4" t="inlineStr">
        <is>
          <t>SKU114</t>
        </is>
      </c>
      <c r="F48" s="4" t="inlineStr">
        <is>
          <t>Cable Ties 100pk</t>
        </is>
      </c>
      <c r="G48" s="4" t="inlineStr">
        <is>
          <t>Packaging &amp; Supplies</t>
        </is>
      </c>
      <c r="H48" s="4" t="inlineStr">
        <is>
          <t>SUP22</t>
        </is>
      </c>
      <c r="I48" s="4" t="inlineStr">
        <is>
          <t>SafeShip Packaging</t>
        </is>
      </c>
      <c r="J48" s="4" t="inlineStr">
        <is>
          <t>Tier 3</t>
        </is>
      </c>
      <c r="K48" s="4" t="inlineStr">
        <is>
          <t>2026-09-08</t>
        </is>
      </c>
      <c r="L48" s="4" t="inlineStr">
        <is>
          <t>2026-09-29</t>
        </is>
      </c>
      <c r="M48" s="4" t="n">
        <v>5</v>
      </c>
      <c r="N48" s="11" t="n">
        <v>1700</v>
      </c>
      <c r="O48" s="11" t="n">
        <v>109463</v>
      </c>
      <c r="P48" s="4" t="n">
        <v>578</v>
      </c>
      <c r="Q48" s="13" t="n">
        <v>1.49</v>
      </c>
      <c r="R48" s="4" t="inlineStr">
        <is>
          <t>LOW</t>
        </is>
      </c>
      <c r="S48" s="4" t="inlineStr">
        <is>
          <t>WARNING</t>
        </is>
      </c>
      <c r="T48" s="4" t="inlineStr">
        <is>
          <t>LOW-STOCK EXPOSURE</t>
        </is>
      </c>
    </row>
    <row r="49">
      <c r="A49" s="4" t="inlineStr">
        <is>
          <t>PO0030968</t>
        </is>
      </c>
      <c r="B49" s="4" t="inlineStr">
        <is>
          <t>WH11</t>
        </is>
      </c>
      <c r="C49" s="4" t="inlineStr">
        <is>
          <t>Guwahati DC</t>
        </is>
      </c>
      <c r="D49" s="4" t="inlineStr">
        <is>
          <t>East</t>
        </is>
      </c>
      <c r="E49" s="4" t="inlineStr">
        <is>
          <t>SKU110</t>
        </is>
      </c>
      <c r="F49" s="4" t="inlineStr">
        <is>
          <t>Pallet Strapping Roll</t>
        </is>
      </c>
      <c r="G49" s="4" t="inlineStr">
        <is>
          <t>Packaging &amp; Supplies</t>
        </is>
      </c>
      <c r="H49" s="4" t="inlineStr">
        <is>
          <t>SUP22</t>
        </is>
      </c>
      <c r="I49" s="4" t="inlineStr">
        <is>
          <t>SafeShip Packaging</t>
        </is>
      </c>
      <c r="J49" s="4" t="inlineStr">
        <is>
          <t>Tier 3</t>
        </is>
      </c>
      <c r="K49" s="4" t="inlineStr">
        <is>
          <t>2026-09-08</t>
        </is>
      </c>
      <c r="L49" s="4" t="inlineStr">
        <is>
          <t>2026-09-29</t>
        </is>
      </c>
      <c r="M49" s="4" t="n">
        <v>5</v>
      </c>
      <c r="N49" s="11" t="n">
        <v>660</v>
      </c>
      <c r="O49" s="11" t="n">
        <v>29555</v>
      </c>
      <c r="P49" s="4" t="n">
        <v>0</v>
      </c>
      <c r="Q49" s="13" t="n">
        <v>0</v>
      </c>
      <c r="R49" s="4" t="inlineStr">
        <is>
          <t>STOCKOUT</t>
        </is>
      </c>
      <c r="S49" s="4" t="inlineStr">
        <is>
          <t>WARNING</t>
        </is>
      </c>
      <c r="T49" s="4" t="inlineStr">
        <is>
          <t>STOCK-OUT EXPOSURE</t>
        </is>
      </c>
    </row>
    <row r="50">
      <c r="A50" s="4" t="inlineStr">
        <is>
          <t>PO0030650</t>
        </is>
      </c>
      <c r="B50" s="4" t="inlineStr">
        <is>
          <t>WH01</t>
        </is>
      </c>
      <c r="C50" s="4" t="inlineStr">
        <is>
          <t>Gurugram DC</t>
        </is>
      </c>
      <c r="D50" s="4" t="inlineStr">
        <is>
          <t>North</t>
        </is>
      </c>
      <c r="E50" s="4" t="inlineStr">
        <is>
          <t>SKU077</t>
        </is>
      </c>
      <c r="F50" s="4" t="inlineStr">
        <is>
          <t>Fast Charger 25W</t>
        </is>
      </c>
      <c r="G50" s="4" t="inlineStr">
        <is>
          <t>Electronics Accessories</t>
        </is>
      </c>
      <c r="H50" s="4" t="inlineStr">
        <is>
          <t>SUP17</t>
        </is>
      </c>
      <c r="I50" s="4" t="inlineStr">
        <is>
          <t>ConnectPro Gadgets</t>
        </is>
      </c>
      <c r="J50" s="4" t="inlineStr">
        <is>
          <t>Tier 3</t>
        </is>
      </c>
      <c r="K50" s="4" t="inlineStr">
        <is>
          <t>2026-09-07</t>
        </is>
      </c>
      <c r="L50" s="4" t="inlineStr">
        <is>
          <t>2026-09-30</t>
        </is>
      </c>
      <c r="M50" s="4" t="n">
        <v>4</v>
      </c>
      <c r="N50" s="11" t="n">
        <v>1390</v>
      </c>
      <c r="O50" s="11" t="n">
        <v>496786</v>
      </c>
      <c r="P50" s="4" t="n">
        <v>817</v>
      </c>
      <c r="Q50" s="13" t="n">
        <v>4.15</v>
      </c>
      <c r="R50" s="4" t="inlineStr">
        <is>
          <t>HEALTHY</t>
        </is>
      </c>
      <c r="S50" s="4" t="inlineStr">
        <is>
          <t>WARNING</t>
        </is>
      </c>
      <c r="T50" s="4" t="inlineStr">
        <is>
          <t>NO IMMEDIATE EXPOSURE</t>
        </is>
      </c>
    </row>
    <row r="51">
      <c r="A51" s="4" t="inlineStr">
        <is>
          <t>PO0031564</t>
        </is>
      </c>
      <c r="B51" s="4" t="inlineStr">
        <is>
          <t>WH07</t>
        </is>
      </c>
      <c r="C51" s="4" t="inlineStr">
        <is>
          <t>Bengaluru DC</t>
        </is>
      </c>
      <c r="D51" s="4" t="inlineStr">
        <is>
          <t>South</t>
        </is>
      </c>
      <c r="E51" s="4" t="inlineStr">
        <is>
          <t>SKU014</t>
        </is>
      </c>
      <c r="F51" s="4" t="inlineStr">
        <is>
          <t>Ghee 500ml</t>
        </is>
      </c>
      <c r="G51" s="4" t="inlineStr">
        <is>
          <t>Packaged Staples</t>
        </is>
      </c>
      <c r="H51" s="4" t="inlineStr">
        <is>
          <t>SUP03</t>
        </is>
      </c>
      <c r="I51" s="4" t="inlineStr">
        <is>
          <t>Kisan Mill Traders</t>
        </is>
      </c>
      <c r="J51" s="4" t="inlineStr">
        <is>
          <t>Tier 3</t>
        </is>
      </c>
      <c r="K51" s="4" t="inlineStr">
        <is>
          <t>2026-09-22</t>
        </is>
      </c>
      <c r="L51" s="4" t="inlineStr">
        <is>
          <t>2026-09-30</t>
        </is>
      </c>
      <c r="M51" s="4" t="n">
        <v>4</v>
      </c>
      <c r="N51" s="11" t="n">
        <v>1836</v>
      </c>
      <c r="O51" s="11" t="n">
        <v>452868</v>
      </c>
      <c r="P51" s="4" t="n">
        <v>0</v>
      </c>
      <c r="Q51" s="13" t="n">
        <v>0</v>
      </c>
      <c r="R51" s="4" t="inlineStr">
        <is>
          <t>STOCKOUT</t>
        </is>
      </c>
      <c r="S51" s="4" t="inlineStr">
        <is>
          <t>WARNING</t>
        </is>
      </c>
      <c r="T51" s="4" t="inlineStr">
        <is>
          <t>STOCK-OUT EXPOSURE</t>
        </is>
      </c>
    </row>
    <row r="52">
      <c r="A52" s="4" t="inlineStr">
        <is>
          <t>PO0031647</t>
        </is>
      </c>
      <c r="B52" s="4" t="inlineStr">
        <is>
          <t>WH12</t>
        </is>
      </c>
      <c r="C52" s="4" t="inlineStr">
        <is>
          <t>Nagpur DC</t>
        </is>
      </c>
      <c r="D52" s="4" t="inlineStr">
        <is>
          <t>Central</t>
        </is>
      </c>
      <c r="E52" s="4" t="inlineStr">
        <is>
          <t>SKU014</t>
        </is>
      </c>
      <c r="F52" s="4" t="inlineStr">
        <is>
          <t>Ghee 500ml</t>
        </is>
      </c>
      <c r="G52" s="4" t="inlineStr">
        <is>
          <t>Packaged Staples</t>
        </is>
      </c>
      <c r="H52" s="4" t="inlineStr">
        <is>
          <t>SUP03</t>
        </is>
      </c>
      <c r="I52" s="4" t="inlineStr">
        <is>
          <t>Kisan Mill Traders</t>
        </is>
      </c>
      <c r="J52" s="4" t="inlineStr">
        <is>
          <t>Tier 3</t>
        </is>
      </c>
      <c r="K52" s="4" t="inlineStr">
        <is>
          <t>2026-09-22</t>
        </is>
      </c>
      <c r="L52" s="4" t="inlineStr">
        <is>
          <t>2026-09-30</t>
        </is>
      </c>
      <c r="M52" s="4" t="n">
        <v>4</v>
      </c>
      <c r="N52" s="11" t="n">
        <v>1728</v>
      </c>
      <c r="O52" s="11" t="n">
        <v>404749</v>
      </c>
      <c r="P52" s="4" t="n">
        <v>0</v>
      </c>
      <c r="Q52" s="13" t="n">
        <v>0</v>
      </c>
      <c r="R52" s="4" t="inlineStr">
        <is>
          <t>STOCKOUT</t>
        </is>
      </c>
      <c r="S52" s="4" t="inlineStr">
        <is>
          <t>WARNING</t>
        </is>
      </c>
      <c r="T52" s="4" t="inlineStr">
        <is>
          <t>STOCK-OUT EXPOSURE</t>
        </is>
      </c>
    </row>
    <row r="53">
      <c r="A53" s="4" t="inlineStr">
        <is>
          <t>PO0031492</t>
        </is>
      </c>
      <c r="B53" s="4" t="inlineStr">
        <is>
          <t>WH02</t>
        </is>
      </c>
      <c r="C53" s="4" t="inlineStr">
        <is>
          <t>Jaipur DC</t>
        </is>
      </c>
      <c r="D53" s="4" t="inlineStr">
        <is>
          <t>North</t>
        </is>
      </c>
      <c r="E53" s="4" t="inlineStr">
        <is>
          <t>SKU014</t>
        </is>
      </c>
      <c r="F53" s="4" t="inlineStr">
        <is>
          <t>Ghee 500ml</t>
        </is>
      </c>
      <c r="G53" s="4" t="inlineStr">
        <is>
          <t>Packaged Staples</t>
        </is>
      </c>
      <c r="H53" s="4" t="inlineStr">
        <is>
          <t>SUP03</t>
        </is>
      </c>
      <c r="I53" s="4" t="inlineStr">
        <is>
          <t>Kisan Mill Traders</t>
        </is>
      </c>
      <c r="J53" s="4" t="inlineStr">
        <is>
          <t>Tier 3</t>
        </is>
      </c>
      <c r="K53" s="4" t="inlineStr">
        <is>
          <t>2026-09-22</t>
        </is>
      </c>
      <c r="L53" s="4" t="inlineStr">
        <is>
          <t>2026-09-30</t>
        </is>
      </c>
      <c r="M53" s="4" t="n">
        <v>4</v>
      </c>
      <c r="N53" s="11" t="n">
        <v>1512</v>
      </c>
      <c r="O53" s="11" t="n">
        <v>359780</v>
      </c>
      <c r="P53" s="4" t="n">
        <v>0</v>
      </c>
      <c r="Q53" s="13" t="n">
        <v>0</v>
      </c>
      <c r="R53" s="4" t="inlineStr">
        <is>
          <t>STOCKOUT</t>
        </is>
      </c>
      <c r="S53" s="4" t="inlineStr">
        <is>
          <t>WARNING</t>
        </is>
      </c>
      <c r="T53" s="4" t="inlineStr">
        <is>
          <t>STOCK-OUT EXPOSURE</t>
        </is>
      </c>
    </row>
    <row r="54">
      <c r="A54" s="4" t="inlineStr">
        <is>
          <t>PO0031555</t>
        </is>
      </c>
      <c r="B54" s="4" t="inlineStr">
        <is>
          <t>WH06</t>
        </is>
      </c>
      <c r="C54" s="4" t="inlineStr">
        <is>
          <t>Ahmedabad DC</t>
        </is>
      </c>
      <c r="D54" s="4" t="inlineStr">
        <is>
          <t>West</t>
        </is>
      </c>
      <c r="E54" s="4" t="inlineStr">
        <is>
          <t>SKU040</t>
        </is>
      </c>
      <c r="F54" s="4" t="inlineStr">
        <is>
          <t>Wafers 75g</t>
        </is>
      </c>
      <c r="G54" s="4" t="inlineStr">
        <is>
          <t>Snacks &amp; Confectionery</t>
        </is>
      </c>
      <c r="H54" s="4" t="inlineStr">
        <is>
          <t>SUP09</t>
        </is>
      </c>
      <c r="I54" s="4" t="inlineStr">
        <is>
          <t>Namkeen Nation Pvt Ltd</t>
        </is>
      </c>
      <c r="J54" s="4" t="inlineStr">
        <is>
          <t>Tier 1</t>
        </is>
      </c>
      <c r="K54" s="4" t="inlineStr">
        <is>
          <t>2026-09-22</t>
        </is>
      </c>
      <c r="L54" s="4" t="inlineStr">
        <is>
          <t>2026-09-30</t>
        </is>
      </c>
      <c r="M54" s="4" t="n">
        <v>4</v>
      </c>
      <c r="N54" s="11" t="n">
        <v>3624</v>
      </c>
      <c r="O54" s="11" t="n">
        <v>332792</v>
      </c>
      <c r="P54" s="4" t="n">
        <v>389</v>
      </c>
      <c r="Q54" s="13" t="n">
        <v>0.3</v>
      </c>
      <c r="R54" s="4" t="inlineStr">
        <is>
          <t>CRITICAL</t>
        </is>
      </c>
      <c r="S54" s="4" t="inlineStr">
        <is>
          <t>WARNING</t>
        </is>
      </c>
      <c r="T54" s="4" t="inlineStr">
        <is>
          <t>STOCK-OUT EXPOSURE</t>
        </is>
      </c>
    </row>
    <row r="55">
      <c r="A55" s="4" t="inlineStr">
        <is>
          <t>PO0030764</t>
        </is>
      </c>
      <c r="B55" s="4" t="inlineStr">
        <is>
          <t>WH09</t>
        </is>
      </c>
      <c r="C55" s="4" t="inlineStr">
        <is>
          <t>Hyderabad DC</t>
        </is>
      </c>
      <c r="D55" s="4" t="inlineStr">
        <is>
          <t>South</t>
        </is>
      </c>
      <c r="E55" s="4" t="inlineStr">
        <is>
          <t>SKU111</t>
        </is>
      </c>
      <c r="F55" s="4" t="inlineStr">
        <is>
          <t>Shipping Labels 1000</t>
        </is>
      </c>
      <c r="G55" s="4" t="inlineStr">
        <is>
          <t>Packaging &amp; Supplies</t>
        </is>
      </c>
      <c r="H55" s="4" t="inlineStr">
        <is>
          <t>SUP21</t>
        </is>
      </c>
      <c r="I55" s="4" t="inlineStr">
        <is>
          <t>PackWell Industries</t>
        </is>
      </c>
      <c r="J55" s="4" t="inlineStr">
        <is>
          <t>Tier 2</t>
        </is>
      </c>
      <c r="K55" s="4" t="inlineStr">
        <is>
          <t>2026-09-07</t>
        </is>
      </c>
      <c r="L55" s="4" t="inlineStr">
        <is>
          <t>2026-09-30</t>
        </is>
      </c>
      <c r="M55" s="4" t="n">
        <v>4</v>
      </c>
      <c r="N55" s="11" t="n">
        <v>420</v>
      </c>
      <c r="O55" s="11" t="n">
        <v>258846</v>
      </c>
      <c r="P55" s="4" t="n">
        <v>76</v>
      </c>
      <c r="Q55" s="13" t="n">
        <v>0.59</v>
      </c>
      <c r="R55" s="4" t="inlineStr">
        <is>
          <t>LOW</t>
        </is>
      </c>
      <c r="S55" s="4" t="inlineStr">
        <is>
          <t>WARNING</t>
        </is>
      </c>
      <c r="T55" s="4" t="inlineStr">
        <is>
          <t>LOW-STOCK EXPOSURE</t>
        </is>
      </c>
    </row>
    <row r="56">
      <c r="A56" s="4" t="inlineStr">
        <is>
          <t>PO0030741</t>
        </is>
      </c>
      <c r="B56" s="4" t="inlineStr">
        <is>
          <t>WH08</t>
        </is>
      </c>
      <c r="C56" s="4" t="inlineStr">
        <is>
          <t>Chennai DC</t>
        </is>
      </c>
      <c r="D56" s="4" t="inlineStr">
        <is>
          <t>South</t>
        </is>
      </c>
      <c r="E56" s="4" t="inlineStr">
        <is>
          <t>SKU077</t>
        </is>
      </c>
      <c r="F56" s="4" t="inlineStr">
        <is>
          <t>Fast Charger 25W</t>
        </is>
      </c>
      <c r="G56" s="4" t="inlineStr">
        <is>
          <t>Electronics Accessories</t>
        </is>
      </c>
      <c r="H56" s="4" t="inlineStr">
        <is>
          <t>SUP17</t>
        </is>
      </c>
      <c r="I56" s="4" t="inlineStr">
        <is>
          <t>ConnectPro Gadgets</t>
        </is>
      </c>
      <c r="J56" s="4" t="inlineStr">
        <is>
          <t>Tier 3</t>
        </is>
      </c>
      <c r="K56" s="4" t="inlineStr">
        <is>
          <t>2026-09-07</t>
        </is>
      </c>
      <c r="L56" s="4" t="inlineStr">
        <is>
          <t>2026-09-30</t>
        </is>
      </c>
      <c r="M56" s="4" t="n">
        <v>4</v>
      </c>
      <c r="N56" s="11" t="n">
        <v>450</v>
      </c>
      <c r="O56" s="11" t="n">
        <v>163517</v>
      </c>
      <c r="P56" s="4" t="n">
        <v>273</v>
      </c>
      <c r="Q56" s="13" t="n">
        <v>1.59</v>
      </c>
      <c r="R56" s="4" t="inlineStr">
        <is>
          <t>HEALTHY</t>
        </is>
      </c>
      <c r="S56" s="4" t="inlineStr">
        <is>
          <t>WARNING</t>
        </is>
      </c>
      <c r="T56" s="4" t="inlineStr">
        <is>
          <t>NO IMMEDIATE EXPOSURE</t>
        </is>
      </c>
    </row>
    <row r="57">
      <c r="A57" s="4" t="inlineStr">
        <is>
          <t>PO0030625</t>
        </is>
      </c>
      <c r="B57" s="4" t="inlineStr">
        <is>
          <t>WH11</t>
        </is>
      </c>
      <c r="C57" s="4" t="inlineStr">
        <is>
          <t>Guwahati DC</t>
        </is>
      </c>
      <c r="D57" s="4" t="inlineStr">
        <is>
          <t>East</t>
        </is>
      </c>
      <c r="E57" s="4" t="inlineStr">
        <is>
          <t>SKU078</t>
        </is>
      </c>
      <c r="F57" s="4" t="inlineStr">
        <is>
          <t>Power Bank 10000mAh</t>
        </is>
      </c>
      <c r="G57" s="4" t="inlineStr">
        <is>
          <t>Electronics Accessories</t>
        </is>
      </c>
      <c r="H57" s="4" t="inlineStr">
        <is>
          <t>SUP17</t>
        </is>
      </c>
      <c r="I57" s="4" t="inlineStr">
        <is>
          <t>ConnectPro Gadgets</t>
        </is>
      </c>
      <c r="J57" s="4" t="inlineStr">
        <is>
          <t>Tier 3</t>
        </is>
      </c>
      <c r="K57" s="4" t="inlineStr">
        <is>
          <t>2026-09-01</t>
        </is>
      </c>
      <c r="L57" s="4" t="inlineStr">
        <is>
          <t>2026-09-30</t>
        </is>
      </c>
      <c r="M57" s="4" t="n">
        <v>4</v>
      </c>
      <c r="N57" s="11" t="n">
        <v>270</v>
      </c>
      <c r="O57" s="11" t="n">
        <v>95839</v>
      </c>
      <c r="P57" s="4" t="n">
        <v>0</v>
      </c>
      <c r="Q57" s="13" t="n">
        <v>0</v>
      </c>
      <c r="R57" s="4" t="inlineStr">
        <is>
          <t>STOCKOUT</t>
        </is>
      </c>
      <c r="S57" s="4" t="inlineStr">
        <is>
          <t>WARNING</t>
        </is>
      </c>
      <c r="T57" s="4" t="inlineStr">
        <is>
          <t>STOCK-OUT EXPOSURE</t>
        </is>
      </c>
    </row>
    <row r="58">
      <c r="A58" s="4" t="inlineStr">
        <is>
          <t>PO0031299</t>
        </is>
      </c>
      <c r="B58" s="4" t="inlineStr">
        <is>
          <t>WH10</t>
        </is>
      </c>
      <c r="C58" s="4" t="inlineStr">
        <is>
          <t>Kolkata DC</t>
        </is>
      </c>
      <c r="D58" s="4" t="inlineStr">
        <is>
          <t>East</t>
        </is>
      </c>
      <c r="E58" s="4" t="inlineStr">
        <is>
          <t>SKU066</t>
        </is>
      </c>
      <c r="F58" s="4" t="inlineStr">
        <is>
          <t>Fabric Softener 1L</t>
        </is>
      </c>
      <c r="G58" s="4" t="inlineStr">
        <is>
          <t>Home Care</t>
        </is>
      </c>
      <c r="H58" s="4" t="inlineStr">
        <is>
          <t>SUP14</t>
        </is>
      </c>
      <c r="I58" s="4" t="inlineStr">
        <is>
          <t>Sparkle Household Ltd</t>
        </is>
      </c>
      <c r="J58" s="4" t="inlineStr">
        <is>
          <t>Tier 2</t>
        </is>
      </c>
      <c r="K58" s="4" t="inlineStr">
        <is>
          <t>2026-09-15</t>
        </is>
      </c>
      <c r="L58" s="4" t="inlineStr">
        <is>
          <t>2026-09-30</t>
        </is>
      </c>
      <c r="M58" s="4" t="n">
        <v>4</v>
      </c>
      <c r="N58" s="11" t="n">
        <v>1764</v>
      </c>
      <c r="O58" s="11" t="n">
        <v>91763</v>
      </c>
      <c r="P58" s="4" t="n">
        <v>36</v>
      </c>
      <c r="Q58" s="13" t="n">
        <v>0.08</v>
      </c>
      <c r="R58" s="4" t="inlineStr">
        <is>
          <t>CRITICAL</t>
        </is>
      </c>
      <c r="S58" s="4" t="inlineStr">
        <is>
          <t>WARNING</t>
        </is>
      </c>
      <c r="T58" s="4" t="inlineStr">
        <is>
          <t>STOCK-OUT EXPOSURE</t>
        </is>
      </c>
    </row>
    <row r="59">
      <c r="A59" s="4" t="inlineStr">
        <is>
          <t>PO0031450</t>
        </is>
      </c>
      <c r="B59" s="4" t="inlineStr">
        <is>
          <t>WH10</t>
        </is>
      </c>
      <c r="C59" s="4" t="inlineStr">
        <is>
          <t>Kolkata DC</t>
        </is>
      </c>
      <c r="D59" s="4" t="inlineStr">
        <is>
          <t>East</t>
        </is>
      </c>
      <c r="E59" s="4" t="inlineStr">
        <is>
          <t>SKU031</t>
        </is>
      </c>
      <c r="F59" s="4" t="inlineStr">
        <is>
          <t>Potato Chips 90g</t>
        </is>
      </c>
      <c r="G59" s="4" t="inlineStr">
        <is>
          <t>Snacks &amp; Confectionery</t>
        </is>
      </c>
      <c r="H59" s="4" t="inlineStr">
        <is>
          <t>SUP07</t>
        </is>
      </c>
      <c r="I59" s="4" t="inlineStr">
        <is>
          <t>Crunchy Bite Foods</t>
        </is>
      </c>
      <c r="J59" s="4" t="inlineStr">
        <is>
          <t>Tier 1</t>
        </is>
      </c>
      <c r="K59" s="4" t="inlineStr">
        <is>
          <t>2026-09-21</t>
        </is>
      </c>
      <c r="L59" s="4" t="inlineStr">
        <is>
          <t>2026-09-30</t>
        </is>
      </c>
      <c r="M59" s="4" t="n">
        <v>4</v>
      </c>
      <c r="N59" s="11" t="n">
        <v>4800</v>
      </c>
      <c r="O59" s="11" t="n">
        <v>63984</v>
      </c>
      <c r="P59" s="4" t="n">
        <v>729</v>
      </c>
      <c r="Q59" s="13" t="n">
        <v>0.66</v>
      </c>
      <c r="R59" s="4" t="inlineStr">
        <is>
          <t>LOW</t>
        </is>
      </c>
      <c r="S59" s="4" t="inlineStr">
        <is>
          <t>WARNING</t>
        </is>
      </c>
      <c r="T59" s="4" t="inlineStr">
        <is>
          <t>LOW-STOCK EXPOSURE</t>
        </is>
      </c>
    </row>
    <row r="60">
      <c r="A60" s="4" t="inlineStr">
        <is>
          <t>PO0031635</t>
        </is>
      </c>
      <c r="B60" s="4" t="inlineStr">
        <is>
          <t>WH11</t>
        </is>
      </c>
      <c r="C60" s="4" t="inlineStr">
        <is>
          <t>Guwahati DC</t>
        </is>
      </c>
      <c r="D60" s="4" t="inlineStr">
        <is>
          <t>East</t>
        </is>
      </c>
      <c r="E60" s="4" t="inlineStr">
        <is>
          <t>SKU015</t>
        </is>
      </c>
      <c r="F60" s="4" t="inlineStr">
        <is>
          <t>Suji 1kg</t>
        </is>
      </c>
      <c r="G60" s="4" t="inlineStr">
        <is>
          <t>Packaged Staples</t>
        </is>
      </c>
      <c r="H60" s="4" t="inlineStr">
        <is>
          <t>SUP03</t>
        </is>
      </c>
      <c r="I60" s="4" t="inlineStr">
        <is>
          <t>Kisan Mill Traders</t>
        </is>
      </c>
      <c r="J60" s="4" t="inlineStr">
        <is>
          <t>Tier 3</t>
        </is>
      </c>
      <c r="K60" s="4" t="inlineStr">
        <is>
          <t>2026-09-22</t>
        </is>
      </c>
      <c r="L60" s="4" t="inlineStr">
        <is>
          <t>2026-09-30</t>
        </is>
      </c>
      <c r="M60" s="4" t="n">
        <v>4</v>
      </c>
      <c r="N60" s="11" t="n">
        <v>1416</v>
      </c>
      <c r="O60" s="11" t="n">
        <v>57716</v>
      </c>
      <c r="P60" s="4" t="n">
        <v>0</v>
      </c>
      <c r="Q60" s="13" t="n">
        <v>0</v>
      </c>
      <c r="R60" s="4" t="inlineStr">
        <is>
          <t>STOCKOUT</t>
        </is>
      </c>
      <c r="S60" s="4" t="inlineStr">
        <is>
          <t>WARNING</t>
        </is>
      </c>
      <c r="T60" s="4" t="inlineStr">
        <is>
          <t>STOCK-OUT EXPOSURE</t>
        </is>
      </c>
    </row>
    <row r="61">
      <c r="A61" s="4" t="inlineStr">
        <is>
          <t>PO0031288</t>
        </is>
      </c>
      <c r="B61" s="4" t="inlineStr">
        <is>
          <t>WH09</t>
        </is>
      </c>
      <c r="C61" s="4" t="inlineStr">
        <is>
          <t>Hyderabad DC</t>
        </is>
      </c>
      <c r="D61" s="4" t="inlineStr">
        <is>
          <t>South</t>
        </is>
      </c>
      <c r="E61" s="4" t="inlineStr">
        <is>
          <t>SKU110</t>
        </is>
      </c>
      <c r="F61" s="4" t="inlineStr">
        <is>
          <t>Pallet Strapping Roll</t>
        </is>
      </c>
      <c r="G61" s="4" t="inlineStr">
        <is>
          <t>Packaging &amp; Supplies</t>
        </is>
      </c>
      <c r="H61" s="4" t="inlineStr">
        <is>
          <t>SUP22</t>
        </is>
      </c>
      <c r="I61" s="4" t="inlineStr">
        <is>
          <t>SafeShip Packaging</t>
        </is>
      </c>
      <c r="J61" s="4" t="inlineStr">
        <is>
          <t>Tier 3</t>
        </is>
      </c>
      <c r="K61" s="4" t="inlineStr">
        <is>
          <t>2026-09-15</t>
        </is>
      </c>
      <c r="L61" s="4" t="inlineStr">
        <is>
          <t>2026-09-30</t>
        </is>
      </c>
      <c r="M61" s="4" t="n">
        <v>4</v>
      </c>
      <c r="N61" s="11" t="n">
        <v>860</v>
      </c>
      <c r="O61" s="11" t="n">
        <v>39620</v>
      </c>
      <c r="P61" s="4" t="n">
        <v>176</v>
      </c>
      <c r="Q61" s="13" t="n">
        <v>0.64</v>
      </c>
      <c r="R61" s="4" t="inlineStr">
        <is>
          <t>LOW</t>
        </is>
      </c>
      <c r="S61" s="4" t="inlineStr">
        <is>
          <t>WARNING</t>
        </is>
      </c>
      <c r="T61" s="4" t="inlineStr">
        <is>
          <t>LOW-STOCK EXPOSURE</t>
        </is>
      </c>
    </row>
    <row r="62">
      <c r="A62" s="4" t="inlineStr">
        <is>
          <t>PO0030742</t>
        </is>
      </c>
      <c r="B62" s="4" t="inlineStr">
        <is>
          <t>WH08</t>
        </is>
      </c>
      <c r="C62" s="4" t="inlineStr">
        <is>
          <t>Chennai DC</t>
        </is>
      </c>
      <c r="D62" s="4" t="inlineStr">
        <is>
          <t>South</t>
        </is>
      </c>
      <c r="E62" s="4" t="inlineStr">
        <is>
          <t>SKU080</t>
        </is>
      </c>
      <c r="F62" s="4" t="inlineStr">
        <is>
          <t>TWS Earbuds</t>
        </is>
      </c>
      <c r="G62" s="4" t="inlineStr">
        <is>
          <t>Electronics Accessories</t>
        </is>
      </c>
      <c r="H62" s="4" t="inlineStr">
        <is>
          <t>SUP17</t>
        </is>
      </c>
      <c r="I62" s="4" t="inlineStr">
        <is>
          <t>ConnectPro Gadgets</t>
        </is>
      </c>
      <c r="J62" s="4" t="inlineStr">
        <is>
          <t>Tier 3</t>
        </is>
      </c>
      <c r="K62" s="4" t="inlineStr">
        <is>
          <t>2026-09-07</t>
        </is>
      </c>
      <c r="L62" s="4" t="inlineStr">
        <is>
          <t>2026-10-01</t>
        </is>
      </c>
      <c r="M62" s="4" t="n">
        <v>3</v>
      </c>
      <c r="N62" s="11" t="n">
        <v>450</v>
      </c>
      <c r="O62" s="11" t="n">
        <v>994833</v>
      </c>
      <c r="P62" s="4" t="n">
        <v>0</v>
      </c>
      <c r="Q62" s="13" t="n">
        <v>0</v>
      </c>
      <c r="R62" s="4" t="inlineStr">
        <is>
          <t>STOCKOUT</t>
        </is>
      </c>
      <c r="S62" s="4" t="inlineStr">
        <is>
          <t>WARNING</t>
        </is>
      </c>
      <c r="T62" s="4" t="inlineStr">
        <is>
          <t>STOCK-OUT EXPOSURE</t>
        </is>
      </c>
    </row>
    <row r="63">
      <c r="A63" s="4" t="inlineStr">
        <is>
          <t>PO0031325</t>
        </is>
      </c>
      <c r="B63" s="4" t="inlineStr">
        <is>
          <t>WH01</t>
        </is>
      </c>
      <c r="C63" s="4" t="inlineStr">
        <is>
          <t>Gurugram DC</t>
        </is>
      </c>
      <c r="D63" s="4" t="inlineStr">
        <is>
          <t>North</t>
        </is>
      </c>
      <c r="E63" s="4" t="inlineStr">
        <is>
          <t>SKU009</t>
        </is>
      </c>
      <c r="F63" s="4" t="inlineStr">
        <is>
          <t>Tea Leaves 500g</t>
        </is>
      </c>
      <c r="G63" s="4" t="inlineStr">
        <is>
          <t>Packaged Staples</t>
        </is>
      </c>
      <c r="H63" s="4" t="inlineStr">
        <is>
          <t>SUP02</t>
        </is>
      </c>
      <c r="I63" s="4" t="inlineStr">
        <is>
          <t>Annapurna Staples Pvt Ltd</t>
        </is>
      </c>
      <c r="J63" s="4" t="inlineStr">
        <is>
          <t>Tier 2</t>
        </is>
      </c>
      <c r="K63" s="4" t="inlineStr">
        <is>
          <t>2026-09-21</t>
        </is>
      </c>
      <c r="L63" s="4" t="inlineStr">
        <is>
          <t>2026-10-01</t>
        </is>
      </c>
      <c r="M63" s="4" t="n">
        <v>3</v>
      </c>
      <c r="N63" s="11" t="n">
        <v>7860</v>
      </c>
      <c r="O63" s="11" t="n">
        <v>794803</v>
      </c>
      <c r="P63" s="4" t="n">
        <v>2565</v>
      </c>
      <c r="Q63" s="13" t="n">
        <v>1.94</v>
      </c>
      <c r="R63" s="4" t="inlineStr">
        <is>
          <t>HEALTHY</t>
        </is>
      </c>
      <c r="S63" s="4" t="inlineStr">
        <is>
          <t>WARNING</t>
        </is>
      </c>
      <c r="T63" s="4" t="inlineStr">
        <is>
          <t>NO IMMEDIATE EXPOSURE</t>
        </is>
      </c>
    </row>
    <row r="64">
      <c r="A64" s="4" t="inlineStr">
        <is>
          <t>PO0031481</t>
        </is>
      </c>
      <c r="B64" s="4" t="inlineStr">
        <is>
          <t>WH01</t>
        </is>
      </c>
      <c r="C64" s="4" t="inlineStr">
        <is>
          <t>Gurugram DC</t>
        </is>
      </c>
      <c r="D64" s="4" t="inlineStr">
        <is>
          <t>North</t>
        </is>
      </c>
      <c r="E64" s="4" t="inlineStr">
        <is>
          <t>SKU028</t>
        </is>
      </c>
      <c r="F64" s="4" t="inlineStr">
        <is>
          <t>Sports Drink 500ml</t>
        </is>
      </c>
      <c r="G64" s="4" t="inlineStr">
        <is>
          <t>Beverages</t>
        </is>
      </c>
      <c r="H64" s="4" t="inlineStr">
        <is>
          <t>SUP06</t>
        </is>
      </c>
      <c r="I64" s="4" t="inlineStr">
        <is>
          <t>Sunrise Fruit Drinks</t>
        </is>
      </c>
      <c r="J64" s="4" t="inlineStr">
        <is>
          <t>Tier 2</t>
        </is>
      </c>
      <c r="K64" s="4" t="inlineStr">
        <is>
          <t>2026-09-22</t>
        </is>
      </c>
      <c r="L64" s="4" t="inlineStr">
        <is>
          <t>2026-10-01</t>
        </is>
      </c>
      <c r="M64" s="4" t="n">
        <v>3</v>
      </c>
      <c r="N64" s="11" t="n">
        <v>5880</v>
      </c>
      <c r="O64" s="11" t="n">
        <v>649387</v>
      </c>
      <c r="P64" s="4" t="n">
        <v>2820</v>
      </c>
      <c r="Q64" s="13" t="n">
        <v>2.51</v>
      </c>
      <c r="R64" s="4" t="inlineStr">
        <is>
          <t>HEALTHY</t>
        </is>
      </c>
      <c r="S64" s="4" t="inlineStr">
        <is>
          <t>WARNING</t>
        </is>
      </c>
      <c r="T64" s="4" t="inlineStr">
        <is>
          <t>NO IMMEDIATE EXPOSURE</t>
        </is>
      </c>
    </row>
    <row r="65">
      <c r="A65" s="4" t="inlineStr">
        <is>
          <t>PO0031223</t>
        </is>
      </c>
      <c r="B65" s="4" t="inlineStr">
        <is>
          <t>WH05</t>
        </is>
      </c>
      <c r="C65" s="4" t="inlineStr">
        <is>
          <t>Pune DC</t>
        </is>
      </c>
      <c r="D65" s="4" t="inlineStr">
        <is>
          <t>West</t>
        </is>
      </c>
      <c r="E65" s="4" t="inlineStr">
        <is>
          <t>SKU108</t>
        </is>
      </c>
      <c r="F65" s="4" t="inlineStr">
        <is>
          <t>BOPP Tape 48mm</t>
        </is>
      </c>
      <c r="G65" s="4" t="inlineStr">
        <is>
          <t>Packaging &amp; Supplies</t>
        </is>
      </c>
      <c r="H65" s="4" t="inlineStr">
        <is>
          <t>SUP22</t>
        </is>
      </c>
      <c r="I65" s="4" t="inlineStr">
        <is>
          <t>SafeShip Packaging</t>
        </is>
      </c>
      <c r="J65" s="4" t="inlineStr">
        <is>
          <t>Tier 3</t>
        </is>
      </c>
      <c r="K65" s="4" t="inlineStr">
        <is>
          <t>2026-09-15</t>
        </is>
      </c>
      <c r="L65" s="4" t="inlineStr">
        <is>
          <t>2026-10-01</t>
        </is>
      </c>
      <c r="M65" s="4" t="n">
        <v>3</v>
      </c>
      <c r="N65" s="11" t="n">
        <v>880</v>
      </c>
      <c r="O65" s="11" t="n">
        <v>633433</v>
      </c>
      <c r="P65" s="4" t="n">
        <v>135</v>
      </c>
      <c r="Q65" s="13" t="n">
        <v>0.55</v>
      </c>
      <c r="R65" s="4" t="inlineStr">
        <is>
          <t>LOW</t>
        </is>
      </c>
      <c r="S65" s="4" t="inlineStr">
        <is>
          <t>WARNING</t>
        </is>
      </c>
      <c r="T65" s="4" t="inlineStr">
        <is>
          <t>LOW-STOCK EXPOSURE</t>
        </is>
      </c>
    </row>
    <row r="66">
      <c r="A66" s="4" t="inlineStr">
        <is>
          <t>PO0031238</t>
        </is>
      </c>
      <c r="B66" s="4" t="inlineStr">
        <is>
          <t>WH06</t>
        </is>
      </c>
      <c r="C66" s="4" t="inlineStr">
        <is>
          <t>Ahmedabad DC</t>
        </is>
      </c>
      <c r="D66" s="4" t="inlineStr">
        <is>
          <t>West</t>
        </is>
      </c>
      <c r="E66" s="4" t="inlineStr">
        <is>
          <t>SKU108</t>
        </is>
      </c>
      <c r="F66" s="4" t="inlineStr">
        <is>
          <t>BOPP Tape 48mm</t>
        </is>
      </c>
      <c r="G66" s="4" t="inlineStr">
        <is>
          <t>Packaging &amp; Supplies</t>
        </is>
      </c>
      <c r="H66" s="4" t="inlineStr">
        <is>
          <t>SUP22</t>
        </is>
      </c>
      <c r="I66" s="4" t="inlineStr">
        <is>
          <t>SafeShip Packaging</t>
        </is>
      </c>
      <c r="J66" s="4" t="inlineStr">
        <is>
          <t>Tier 3</t>
        </is>
      </c>
      <c r="K66" s="4" t="inlineStr">
        <is>
          <t>2026-09-15</t>
        </is>
      </c>
      <c r="L66" s="4" t="inlineStr">
        <is>
          <t>2026-10-01</t>
        </is>
      </c>
      <c r="M66" s="4" t="n">
        <v>3</v>
      </c>
      <c r="N66" s="11" t="n">
        <v>840</v>
      </c>
      <c r="O66" s="11" t="n">
        <v>574904</v>
      </c>
      <c r="P66" s="4" t="n">
        <v>0</v>
      </c>
      <c r="Q66" s="13" t="n">
        <v>0</v>
      </c>
      <c r="R66" s="4" t="inlineStr">
        <is>
          <t>STOCKOUT</t>
        </is>
      </c>
      <c r="S66" s="4" t="inlineStr">
        <is>
          <t>WARNING</t>
        </is>
      </c>
      <c r="T66" s="4" t="inlineStr">
        <is>
          <t>STOCK-OUT EXPOSURE</t>
        </is>
      </c>
    </row>
    <row r="67">
      <c r="A67" s="4" t="inlineStr">
        <is>
          <t>PO0030580</t>
        </is>
      </c>
      <c r="B67" s="4" t="inlineStr">
        <is>
          <t>WH08</t>
        </is>
      </c>
      <c r="C67" s="4" t="inlineStr">
        <is>
          <t>Chennai DC</t>
        </is>
      </c>
      <c r="D67" s="4" t="inlineStr">
        <is>
          <t>South</t>
        </is>
      </c>
      <c r="E67" s="4" t="inlineStr">
        <is>
          <t>SKU079</t>
        </is>
      </c>
      <c r="F67" s="4" t="inlineStr">
        <is>
          <t>Wired Earphones</t>
        </is>
      </c>
      <c r="G67" s="4" t="inlineStr">
        <is>
          <t>Electronics Accessories</t>
        </is>
      </c>
      <c r="H67" s="4" t="inlineStr">
        <is>
          <t>SUP16</t>
        </is>
      </c>
      <c r="I67" s="4" t="inlineStr">
        <is>
          <t>VoltEdge Electronics</t>
        </is>
      </c>
      <c r="J67" s="4" t="inlineStr">
        <is>
          <t>Tier 1</t>
        </is>
      </c>
      <c r="K67" s="4" t="inlineStr">
        <is>
          <t>2026-09-01</t>
        </is>
      </c>
      <c r="L67" s="4" t="inlineStr">
        <is>
          <t>2026-10-01</t>
        </is>
      </c>
      <c r="M67" s="4" t="n">
        <v>3</v>
      </c>
      <c r="N67" s="11" t="n">
        <v>510</v>
      </c>
      <c r="O67" s="11" t="n">
        <v>552621</v>
      </c>
      <c r="P67" s="4" t="n">
        <v>0</v>
      </c>
      <c r="Q67" s="13" t="n">
        <v>0</v>
      </c>
      <c r="R67" s="4" t="inlineStr">
        <is>
          <t>STOCKOUT</t>
        </is>
      </c>
      <c r="S67" s="4" t="inlineStr">
        <is>
          <t>WARNING</t>
        </is>
      </c>
      <c r="T67" s="4" t="inlineStr">
        <is>
          <t>STOCK-OUT EXPOSURE</t>
        </is>
      </c>
    </row>
    <row r="68">
      <c r="A68" s="4" t="inlineStr">
        <is>
          <t>PO0031553</t>
        </is>
      </c>
      <c r="B68" s="4" t="inlineStr">
        <is>
          <t>WH06</t>
        </is>
      </c>
      <c r="C68" s="4" t="inlineStr">
        <is>
          <t>Ahmedabad DC</t>
        </is>
      </c>
      <c r="D68" s="4" t="inlineStr">
        <is>
          <t>West</t>
        </is>
      </c>
      <c r="E68" s="4" t="inlineStr">
        <is>
          <t>SKU034</t>
        </is>
      </c>
      <c r="F68" s="4" t="inlineStr">
        <is>
          <t>Cream Biscuits 120g</t>
        </is>
      </c>
      <c r="G68" s="4" t="inlineStr">
        <is>
          <t>Snacks &amp; Confectionery</t>
        </is>
      </c>
      <c r="H68" s="4" t="inlineStr">
        <is>
          <t>SUP08</t>
        </is>
      </c>
      <c r="I68" s="4" t="inlineStr">
        <is>
          <t>Mithaiwala Confectionery</t>
        </is>
      </c>
      <c r="J68" s="4" t="inlineStr">
        <is>
          <t>Tier 2</t>
        </is>
      </c>
      <c r="K68" s="4" t="inlineStr">
        <is>
          <t>2026-09-22</t>
        </is>
      </c>
      <c r="L68" s="4" t="inlineStr">
        <is>
          <t>2026-10-01</t>
        </is>
      </c>
      <c r="M68" s="4" t="n">
        <v>3</v>
      </c>
      <c r="N68" s="11" t="n">
        <v>7272</v>
      </c>
      <c r="O68" s="11" t="n">
        <v>433048</v>
      </c>
      <c r="P68" s="4" t="n">
        <v>0</v>
      </c>
      <c r="Q68" s="13" t="n">
        <v>0</v>
      </c>
      <c r="R68" s="4" t="inlineStr">
        <is>
          <t>STOCKOUT</t>
        </is>
      </c>
      <c r="S68" s="4" t="inlineStr">
        <is>
          <t>WARNING</t>
        </is>
      </c>
      <c r="T68" s="4" t="inlineStr">
        <is>
          <t>STOCK-OUT EXPOSURE</t>
        </is>
      </c>
    </row>
    <row r="69">
      <c r="A69" s="4" t="inlineStr">
        <is>
          <t>PO0030926</t>
        </is>
      </c>
      <c r="B69" s="4" t="inlineStr">
        <is>
          <t>WH08</t>
        </is>
      </c>
      <c r="C69" s="4" t="inlineStr">
        <is>
          <t>Chennai DC</t>
        </is>
      </c>
      <c r="D69" s="4" t="inlineStr">
        <is>
          <t>South</t>
        </is>
      </c>
      <c r="E69" s="4" t="inlineStr">
        <is>
          <t>SKU111</t>
        </is>
      </c>
      <c r="F69" s="4" t="inlineStr">
        <is>
          <t>Shipping Labels 1000</t>
        </is>
      </c>
      <c r="G69" s="4" t="inlineStr">
        <is>
          <t>Packaging &amp; Supplies</t>
        </is>
      </c>
      <c r="H69" s="4" t="inlineStr">
        <is>
          <t>SUP21</t>
        </is>
      </c>
      <c r="I69" s="4" t="inlineStr">
        <is>
          <t>PackWell Industries</t>
        </is>
      </c>
      <c r="J69" s="4" t="inlineStr">
        <is>
          <t>Tier 2</t>
        </is>
      </c>
      <c r="K69" s="4" t="inlineStr">
        <is>
          <t>2026-09-08</t>
        </is>
      </c>
      <c r="L69" s="4" t="inlineStr">
        <is>
          <t>2026-10-01</t>
        </is>
      </c>
      <c r="M69" s="4" t="n">
        <v>3</v>
      </c>
      <c r="N69" s="11" t="n">
        <v>660</v>
      </c>
      <c r="O69" s="11" t="n">
        <v>405445</v>
      </c>
      <c r="P69" s="4" t="n">
        <v>0</v>
      </c>
      <c r="Q69" s="13" t="n">
        <v>0</v>
      </c>
      <c r="R69" s="4" t="inlineStr">
        <is>
          <t>STOCKOUT</t>
        </is>
      </c>
      <c r="S69" s="4" t="inlineStr">
        <is>
          <t>WARNING</t>
        </is>
      </c>
      <c r="T69" s="4" t="inlineStr">
        <is>
          <t>STOCK-OUT EXPOSURE</t>
        </is>
      </c>
    </row>
    <row r="70">
      <c r="A70" s="4" t="inlineStr">
        <is>
          <t>PO0031440</t>
        </is>
      </c>
      <c r="B70" s="4" t="inlineStr">
        <is>
          <t>WH09</t>
        </is>
      </c>
      <c r="C70" s="4" t="inlineStr">
        <is>
          <t>Hyderabad DC</t>
        </is>
      </c>
      <c r="D70" s="4" t="inlineStr">
        <is>
          <t>South</t>
        </is>
      </c>
      <c r="E70" s="4" t="inlineStr">
        <is>
          <t>SKU059</t>
        </is>
      </c>
      <c r="F70" s="4" t="inlineStr">
        <is>
          <t>Lip Balm</t>
        </is>
      </c>
      <c r="G70" s="4" t="inlineStr">
        <is>
          <t>Personal Care</t>
        </is>
      </c>
      <c r="H70" s="4" t="inlineStr">
        <is>
          <t>SUP12</t>
        </is>
      </c>
      <c r="I70" s="4" t="inlineStr">
        <is>
          <t>PureSkin Personal Care</t>
        </is>
      </c>
      <c r="J70" s="4" t="inlineStr">
        <is>
          <t>Tier 3</t>
        </is>
      </c>
      <c r="K70" s="4" t="inlineStr">
        <is>
          <t>2026-09-21</t>
        </is>
      </c>
      <c r="L70" s="4" t="inlineStr">
        <is>
          <t>2026-10-01</t>
        </is>
      </c>
      <c r="M70" s="4" t="n">
        <v>3</v>
      </c>
      <c r="N70" s="11" t="n">
        <v>1884</v>
      </c>
      <c r="O70" s="11" t="n">
        <v>284898</v>
      </c>
      <c r="P70" s="4" t="n">
        <v>563</v>
      </c>
      <c r="Q70" s="13" t="n">
        <v>1</v>
      </c>
      <c r="R70" s="4" t="inlineStr">
        <is>
          <t>LOW</t>
        </is>
      </c>
      <c r="S70" s="4" t="inlineStr">
        <is>
          <t>WARNING</t>
        </is>
      </c>
      <c r="T70" s="4" t="inlineStr">
        <is>
          <t>LOW-STOCK EXPOSURE</t>
        </is>
      </c>
    </row>
    <row r="71">
      <c r="A71" s="4" t="inlineStr">
        <is>
          <t>PO0031341</t>
        </is>
      </c>
      <c r="B71" s="4" t="inlineStr">
        <is>
          <t>WH02</t>
        </is>
      </c>
      <c r="C71" s="4" t="inlineStr">
        <is>
          <t>Jaipur DC</t>
        </is>
      </c>
      <c r="D71" s="4" t="inlineStr">
        <is>
          <t>North</t>
        </is>
      </c>
      <c r="E71" s="4" t="inlineStr">
        <is>
          <t>SKU019</t>
        </is>
      </c>
      <c r="F71" s="4" t="inlineStr">
        <is>
          <t>Packaged Water 1L</t>
        </is>
      </c>
      <c r="G71" s="4" t="inlineStr">
        <is>
          <t>Beverages</t>
        </is>
      </c>
      <c r="H71" s="4" t="inlineStr">
        <is>
          <t>SUP06</t>
        </is>
      </c>
      <c r="I71" s="4" t="inlineStr">
        <is>
          <t>Sunrise Fruit Drinks</t>
        </is>
      </c>
      <c r="J71" s="4" t="inlineStr">
        <is>
          <t>Tier 2</t>
        </is>
      </c>
      <c r="K71" s="4" t="inlineStr">
        <is>
          <t>2026-09-21</t>
        </is>
      </c>
      <c r="L71" s="4" t="inlineStr">
        <is>
          <t>2026-10-01</t>
        </is>
      </c>
      <c r="M71" s="4" t="n">
        <v>3</v>
      </c>
      <c r="N71" s="11" t="n">
        <v>2520</v>
      </c>
      <c r="O71" s="11" t="n">
        <v>142128</v>
      </c>
      <c r="P71" s="4" t="n">
        <v>0</v>
      </c>
      <c r="Q71" s="13" t="n">
        <v>0</v>
      </c>
      <c r="R71" s="4" t="inlineStr">
        <is>
          <t>STOCKOUT</t>
        </is>
      </c>
      <c r="S71" s="4" t="inlineStr">
        <is>
          <t>WARNING</t>
        </is>
      </c>
      <c r="T71" s="4" t="inlineStr">
        <is>
          <t>STOCK-OUT EXPOSURE</t>
        </is>
      </c>
    </row>
    <row r="72">
      <c r="A72" s="4" t="inlineStr">
        <is>
          <t>PO0031411</t>
        </is>
      </c>
      <c r="B72" s="4" t="inlineStr">
        <is>
          <t>WH07</t>
        </is>
      </c>
      <c r="C72" s="4" t="inlineStr">
        <is>
          <t>Bengaluru DC</t>
        </is>
      </c>
      <c r="D72" s="4" t="inlineStr">
        <is>
          <t>South</t>
        </is>
      </c>
      <c r="E72" s="4" t="inlineStr">
        <is>
          <t>SKU055</t>
        </is>
      </c>
      <c r="F72" s="4" t="inlineStr">
        <is>
          <t>Talc 300g</t>
        </is>
      </c>
      <c r="G72" s="4" t="inlineStr">
        <is>
          <t>Personal Care</t>
        </is>
      </c>
      <c r="H72" s="4" t="inlineStr">
        <is>
          <t>SUP12</t>
        </is>
      </c>
      <c r="I72" s="4" t="inlineStr">
        <is>
          <t>PureSkin Personal Care</t>
        </is>
      </c>
      <c r="J72" s="4" t="inlineStr">
        <is>
          <t>Tier 3</t>
        </is>
      </c>
      <c r="K72" s="4" t="inlineStr">
        <is>
          <t>2026-09-21</t>
        </is>
      </c>
      <c r="L72" s="4" t="inlineStr">
        <is>
          <t>2026-10-01</t>
        </is>
      </c>
      <c r="M72" s="4" t="n">
        <v>3</v>
      </c>
      <c r="N72" s="11" t="n">
        <v>1272</v>
      </c>
      <c r="O72" s="11" t="n">
        <v>99140</v>
      </c>
      <c r="P72" s="4" t="n">
        <v>94</v>
      </c>
      <c r="Q72" s="13" t="n">
        <v>0.22</v>
      </c>
      <c r="R72" s="4" t="inlineStr">
        <is>
          <t>CRITICAL</t>
        </is>
      </c>
      <c r="S72" s="4" t="inlineStr">
        <is>
          <t>WARNING</t>
        </is>
      </c>
      <c r="T72" s="4" t="inlineStr">
        <is>
          <t>STOCK-OUT EXPOSURE</t>
        </is>
      </c>
    </row>
    <row r="73">
      <c r="A73" s="4" t="inlineStr">
        <is>
          <t>PO0030806</t>
        </is>
      </c>
      <c r="B73" s="4" t="inlineStr">
        <is>
          <t>WH12</t>
        </is>
      </c>
      <c r="C73" s="4" t="inlineStr">
        <is>
          <t>Nagpur DC</t>
        </is>
      </c>
      <c r="D73" s="4" t="inlineStr">
        <is>
          <t>Central</t>
        </is>
      </c>
      <c r="E73" s="4" t="inlineStr">
        <is>
          <t>SKU114</t>
        </is>
      </c>
      <c r="F73" s="4" t="inlineStr">
        <is>
          <t>Cable Ties 100pk</t>
        </is>
      </c>
      <c r="G73" s="4" t="inlineStr">
        <is>
          <t>Packaging &amp; Supplies</t>
        </is>
      </c>
      <c r="H73" s="4" t="inlineStr">
        <is>
          <t>SUP22</t>
        </is>
      </c>
      <c r="I73" s="4" t="inlineStr">
        <is>
          <t>SafeShip Packaging</t>
        </is>
      </c>
      <c r="J73" s="4" t="inlineStr">
        <is>
          <t>Tier 3</t>
        </is>
      </c>
      <c r="K73" s="4" t="inlineStr">
        <is>
          <t>2026-09-07</t>
        </is>
      </c>
      <c r="L73" s="4" t="inlineStr">
        <is>
          <t>2026-10-01</t>
        </is>
      </c>
      <c r="M73" s="4" t="n">
        <v>3</v>
      </c>
      <c r="N73" s="11" t="n">
        <v>740</v>
      </c>
      <c r="O73" s="11" t="n">
        <v>49750</v>
      </c>
      <c r="P73" s="4" t="n">
        <v>0</v>
      </c>
      <c r="Q73" s="13" t="n">
        <v>0</v>
      </c>
      <c r="R73" s="4" t="inlineStr">
        <is>
          <t>STOCKOUT</t>
        </is>
      </c>
      <c r="S73" s="4" t="inlineStr">
        <is>
          <t>WARNING</t>
        </is>
      </c>
      <c r="T73" s="4" t="inlineStr">
        <is>
          <t>STOCK-OUT EXPOSURE</t>
        </is>
      </c>
    </row>
    <row r="74">
      <c r="A74" s="4" t="inlineStr">
        <is>
          <t>PO0031434</t>
        </is>
      </c>
      <c r="B74" s="4" t="inlineStr">
        <is>
          <t>WH08</t>
        </is>
      </c>
      <c r="C74" s="4" t="inlineStr">
        <is>
          <t>Chennai DC</t>
        </is>
      </c>
      <c r="D74" s="4" t="inlineStr">
        <is>
          <t>South</t>
        </is>
      </c>
      <c r="E74" s="4" t="inlineStr">
        <is>
          <t>SKU116</t>
        </is>
      </c>
      <c r="F74" s="4" t="inlineStr">
        <is>
          <t>Pallet Wrap Hand</t>
        </is>
      </c>
      <c r="G74" s="4" t="inlineStr">
        <is>
          <t>Packaging &amp; Supplies</t>
        </is>
      </c>
      <c r="H74" s="4" t="inlineStr">
        <is>
          <t>SUP22</t>
        </is>
      </c>
      <c r="I74" s="4" t="inlineStr">
        <is>
          <t>SafeShip Packaging</t>
        </is>
      </c>
      <c r="J74" s="4" t="inlineStr">
        <is>
          <t>Tier 3</t>
        </is>
      </c>
      <c r="K74" s="4" t="inlineStr">
        <is>
          <t>2026-09-21</t>
        </is>
      </c>
      <c r="L74" s="4" t="inlineStr">
        <is>
          <t>2026-10-01</t>
        </is>
      </c>
      <c r="M74" s="4" t="n">
        <v>3</v>
      </c>
      <c r="N74" s="11" t="n">
        <v>320</v>
      </c>
      <c r="O74" s="11" t="n">
        <v>12550</v>
      </c>
      <c r="P74" s="4" t="n">
        <v>0</v>
      </c>
      <c r="Q74" s="13" t="n">
        <v>0</v>
      </c>
      <c r="R74" s="4" t="inlineStr">
        <is>
          <t>STOCKOUT</t>
        </is>
      </c>
      <c r="S74" s="4" t="inlineStr">
        <is>
          <t>WARNING</t>
        </is>
      </c>
      <c r="T74" s="4" t="inlineStr">
        <is>
          <t>STOCK-OUT EXPOSURE</t>
        </is>
      </c>
    </row>
    <row r="75">
      <c r="A75" s="4" t="inlineStr">
        <is>
          <t>PO0031314</t>
        </is>
      </c>
      <c r="B75" s="4" t="inlineStr">
        <is>
          <t>WH11</t>
        </is>
      </c>
      <c r="C75" s="4" t="inlineStr">
        <is>
          <t>Guwahati DC</t>
        </is>
      </c>
      <c r="D75" s="4" t="inlineStr">
        <is>
          <t>East</t>
        </is>
      </c>
      <c r="E75" s="4" t="inlineStr">
        <is>
          <t>SKU116</t>
        </is>
      </c>
      <c r="F75" s="4" t="inlineStr">
        <is>
          <t>Pallet Wrap Hand</t>
        </is>
      </c>
      <c r="G75" s="4" t="inlineStr">
        <is>
          <t>Packaging &amp; Supplies</t>
        </is>
      </c>
      <c r="H75" s="4" t="inlineStr">
        <is>
          <t>SUP22</t>
        </is>
      </c>
      <c r="I75" s="4" t="inlineStr">
        <is>
          <t>SafeShip Packaging</t>
        </is>
      </c>
      <c r="J75" s="4" t="inlineStr">
        <is>
          <t>Tier 3</t>
        </is>
      </c>
      <c r="K75" s="4" t="inlineStr">
        <is>
          <t>2026-09-15</t>
        </is>
      </c>
      <c r="L75" s="4" t="inlineStr">
        <is>
          <t>2026-10-01</t>
        </is>
      </c>
      <c r="M75" s="4" t="n">
        <v>3</v>
      </c>
      <c r="N75" s="11" t="n">
        <v>240</v>
      </c>
      <c r="O75" s="11" t="n">
        <v>9631</v>
      </c>
      <c r="P75" s="4" t="n">
        <v>0</v>
      </c>
      <c r="Q75" s="13" t="n">
        <v>0</v>
      </c>
      <c r="R75" s="4" t="inlineStr">
        <is>
          <t>STOCKOUT</t>
        </is>
      </c>
      <c r="S75" s="4" t="inlineStr">
        <is>
          <t>WARNING</t>
        </is>
      </c>
      <c r="T75" s="4" t="inlineStr">
        <is>
          <t>STOCK-OUT EXPOSURE</t>
        </is>
      </c>
    </row>
  </sheetData>
  <autoFilter ref="A4:T7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pane="bottomLeft" activeCell="A1" sqref="A1"/>
    </sheetView>
  </sheetViews>
  <sheetFormatPr baseColWidth="8" defaultRowHeight="15"/>
  <cols>
    <col width="46" customWidth="1" min="1" max="1"/>
    <col width="19.1" customWidth="1" min="2" max="2"/>
    <col width="16.4" customWidth="1" min="3" max="3"/>
    <col width="19.1" customWidth="1" min="4" max="4"/>
    <col width="20.9" customWidth="1" min="5" max="5"/>
    <col width="18.2" customWidth="1" min="6" max="6"/>
    <col width="14.6" customWidth="1" min="7" max="7"/>
    <col width="16.4" customWidth="1" min="8" max="8"/>
    <col width="15.5" customWidth="1" min="9" max="9"/>
    <col width="21.8" customWidth="1" min="10" max="10"/>
  </cols>
  <sheetData>
    <row r="1">
      <c r="A1" s="1" t="inlineStr">
        <is>
          <t>Root-cause analysis of stock-out events</t>
        </is>
      </c>
    </row>
    <row r="2">
      <c r="A2" s="2" t="inlineStr">
        <is>
          <t>Source: sp_stockout_root_cause. One primary cause per event; precedence documented in the procedure header.</t>
        </is>
      </c>
    </row>
    <row r="4" ht="30" customHeight="1">
      <c r="A4" s="18" t="inlineStr">
        <is>
          <t>primary_cause</t>
        </is>
      </c>
      <c r="B4" s="18" t="inlineStr">
        <is>
          <t>stockout_events</t>
        </is>
      </c>
      <c r="C4" s="18" t="inlineStr">
        <is>
          <t>lost_units</t>
        </is>
      </c>
      <c r="D4" s="18" t="inlineStr">
        <is>
          <t>lost_revenue_inr</t>
        </is>
      </c>
      <c r="E4" s="18" t="inlineStr">
        <is>
          <t>lost_margin_inr</t>
        </is>
      </c>
      <c r="F4" s="18" t="inlineStr">
        <is>
          <t>pct_of_lost_revenue</t>
        </is>
      </c>
    </row>
    <row r="5">
      <c r="A5" s="4" t="inlineStr">
        <is>
          <t>1 Planning policy gap (reorder point too low)</t>
        </is>
      </c>
      <c r="B5" s="11" t="n">
        <v>3171</v>
      </c>
      <c r="C5" s="11" t="n">
        <v>638164</v>
      </c>
      <c r="D5" s="11" t="n">
        <v>125676139</v>
      </c>
      <c r="E5" s="11" t="n">
        <v>25035076</v>
      </c>
      <c r="F5" s="20" t="n">
        <v>31.7</v>
      </c>
    </row>
    <row r="6">
      <c r="A6" s="4" t="inlineStr">
        <is>
          <t>2 Supplier delay</t>
        </is>
      </c>
      <c r="B6" s="11" t="n">
        <v>2912</v>
      </c>
      <c r="C6" s="11" t="n">
        <v>802969</v>
      </c>
      <c r="D6" s="11" t="n">
        <v>153078514</v>
      </c>
      <c r="E6" s="11" t="n">
        <v>30183914</v>
      </c>
      <c r="F6" s="20" t="n">
        <v>38.6</v>
      </c>
    </row>
    <row r="7">
      <c r="A7" s="4" t="inlineStr">
        <is>
          <t>3 Supplier short-shipment</t>
        </is>
      </c>
      <c r="B7" s="11" t="n">
        <v>221</v>
      </c>
      <c r="C7" s="11" t="n">
        <v>43627</v>
      </c>
      <c r="D7" s="11" t="n">
        <v>8379544</v>
      </c>
      <c r="E7" s="11" t="n">
        <v>1665856</v>
      </c>
      <c r="F7" s="20" t="n">
        <v>2.1</v>
      </c>
    </row>
    <row r="8">
      <c r="A8" s="4" t="inlineStr">
        <is>
          <t>4 Unforecast demand spike</t>
        </is>
      </c>
      <c r="B8" s="11" t="n">
        <v>769</v>
      </c>
      <c r="C8" s="11" t="n">
        <v>153742</v>
      </c>
      <c r="D8" s="11" t="n">
        <v>49592869</v>
      </c>
      <c r="E8" s="11" t="n">
        <v>10426046</v>
      </c>
      <c r="F8" s="20" t="n">
        <v>12.5</v>
      </c>
    </row>
    <row r="9">
      <c r="A9" s="4" t="inlineStr">
        <is>
          <t>5 Demand variability / thin safety stock</t>
        </is>
      </c>
      <c r="B9" s="11" t="n">
        <v>2105</v>
      </c>
      <c r="C9" s="11" t="n">
        <v>292167</v>
      </c>
      <c r="D9" s="11" t="n">
        <v>59341318</v>
      </c>
      <c r="E9" s="11" t="n">
        <v>11911789</v>
      </c>
      <c r="F9" s="20" t="n">
        <v>15</v>
      </c>
    </row>
    <row r="10">
      <c r="A10" s="5" t="inlineStr">
        <is>
          <t>TOTAL</t>
        </is>
      </c>
      <c r="B10" s="7">
        <f>SUM(B5:B9)</f>
        <v/>
      </c>
      <c r="C10" s="7">
        <f>SUM(C5:C9)</f>
        <v/>
      </c>
      <c r="D10" s="7">
        <f>SUM(D5:D9)</f>
        <v/>
      </c>
      <c r="E10" s="7">
        <f>SUM(E5:E9)</f>
        <v/>
      </c>
      <c r="F10" s="22">
        <f>SUM(F5:F9)</f>
        <v/>
      </c>
    </row>
    <row r="12">
      <c r="A12" s="5" t="inlineStr">
        <is>
          <t>Lost revenue (INR) by warehouse and primary cause</t>
        </is>
      </c>
    </row>
    <row r="13" ht="30" customHeight="1">
      <c r="A13" s="18" t="inlineStr">
        <is>
          <t>warehouse_id</t>
        </is>
      </c>
      <c r="B13" s="18" t="inlineStr">
        <is>
          <t>warehouse_name</t>
        </is>
      </c>
      <c r="C13" s="18" t="inlineStr">
        <is>
          <t>region</t>
        </is>
      </c>
      <c r="D13" s="18" t="inlineStr">
        <is>
          <t>stockout_events</t>
        </is>
      </c>
      <c r="E13" s="18" t="inlineStr">
        <is>
          <t>policy_gap_inr</t>
        </is>
      </c>
      <c r="F13" s="18" t="inlineStr">
        <is>
          <t>supplier_delay_inr</t>
        </is>
      </c>
      <c r="G13" s="18" t="inlineStr">
        <is>
          <t>short_ship_inr</t>
        </is>
      </c>
      <c r="H13" s="18" t="inlineStr">
        <is>
          <t>demand_spike_inr</t>
        </is>
      </c>
      <c r="I13" s="18" t="inlineStr">
        <is>
          <t>variability_inr</t>
        </is>
      </c>
      <c r="J13" s="18" t="inlineStr">
        <is>
          <t>total_lost_revenue_inr</t>
        </is>
      </c>
    </row>
    <row r="14">
      <c r="A14" s="4" t="inlineStr">
        <is>
          <t>WH08</t>
        </is>
      </c>
      <c r="B14" s="4" t="inlineStr">
        <is>
          <t>Chennai DC</t>
        </is>
      </c>
      <c r="C14" s="4" t="inlineStr">
        <is>
          <t>South</t>
        </is>
      </c>
      <c r="D14" s="11" t="n">
        <v>2645</v>
      </c>
      <c r="E14" s="11" t="n">
        <v>94352169</v>
      </c>
      <c r="F14" s="11" t="n">
        <v>26762683</v>
      </c>
      <c r="G14" s="11" t="n">
        <v>1731043</v>
      </c>
      <c r="H14" s="11" t="n">
        <v>11466513</v>
      </c>
      <c r="I14" s="11" t="n">
        <v>9634612</v>
      </c>
      <c r="J14" s="11" t="n">
        <v>143947020</v>
      </c>
    </row>
    <row r="15">
      <c r="A15" s="4" t="inlineStr">
        <is>
          <t>WH11</t>
        </is>
      </c>
      <c r="B15" s="4" t="inlineStr">
        <is>
          <t>Guwahati DC</t>
        </is>
      </c>
      <c r="C15" s="4" t="inlineStr">
        <is>
          <t>East</t>
        </is>
      </c>
      <c r="D15" s="11" t="n">
        <v>2132</v>
      </c>
      <c r="E15" s="11" t="n">
        <v>28604484</v>
      </c>
      <c r="F15" s="11" t="n">
        <v>14411670</v>
      </c>
      <c r="G15" s="11" t="n">
        <v>490657</v>
      </c>
      <c r="H15" s="11" t="n">
        <v>6042416</v>
      </c>
      <c r="I15" s="11" t="n">
        <v>9581113</v>
      </c>
      <c r="J15" s="11" t="n">
        <v>59130340</v>
      </c>
    </row>
    <row r="16">
      <c r="A16" s="4" t="inlineStr">
        <is>
          <t>WH10</t>
        </is>
      </c>
      <c r="B16" s="4" t="inlineStr">
        <is>
          <t>Kolkata DC</t>
        </is>
      </c>
      <c r="C16" s="4" t="inlineStr">
        <is>
          <t>East</t>
        </is>
      </c>
      <c r="D16" s="11" t="n">
        <v>923</v>
      </c>
      <c r="E16" s="11" t="n">
        <v>806907</v>
      </c>
      <c r="F16" s="11" t="n">
        <v>23202847</v>
      </c>
      <c r="G16" s="11" t="n">
        <v>1958569</v>
      </c>
      <c r="H16" s="11" t="n">
        <v>6054607</v>
      </c>
      <c r="I16" s="11" t="n">
        <v>9031787</v>
      </c>
      <c r="J16" s="11" t="n">
        <v>41054717</v>
      </c>
    </row>
    <row r="17">
      <c r="A17" s="4" t="inlineStr">
        <is>
          <t>WH06</t>
        </is>
      </c>
      <c r="B17" s="4" t="inlineStr">
        <is>
          <t>Ahmedabad DC</t>
        </is>
      </c>
      <c r="C17" s="4" t="inlineStr">
        <is>
          <t>West</t>
        </is>
      </c>
      <c r="D17" s="11" t="n">
        <v>574</v>
      </c>
      <c r="E17" s="11" t="n">
        <v>18642</v>
      </c>
      <c r="F17" s="11" t="n">
        <v>15913238</v>
      </c>
      <c r="G17" s="11" t="n">
        <v>532592</v>
      </c>
      <c r="H17" s="11" t="n">
        <v>11689260</v>
      </c>
      <c r="I17" s="11" t="n">
        <v>5802261</v>
      </c>
      <c r="J17" s="11" t="n">
        <v>33955993</v>
      </c>
    </row>
    <row r="18">
      <c r="A18" s="4" t="inlineStr">
        <is>
          <t>WH09</t>
        </is>
      </c>
      <c r="B18" s="4" t="inlineStr">
        <is>
          <t>Hyderabad DC</t>
        </is>
      </c>
      <c r="C18" s="4" t="inlineStr">
        <is>
          <t>South</t>
        </is>
      </c>
      <c r="D18" s="11" t="n">
        <v>555</v>
      </c>
      <c r="E18" s="11" t="n">
        <v>41738</v>
      </c>
      <c r="F18" s="11" t="n">
        <v>20062588</v>
      </c>
      <c r="G18" s="11" t="n">
        <v>1592963</v>
      </c>
      <c r="H18" s="11" t="n">
        <v>3096270</v>
      </c>
      <c r="I18" s="11" t="n">
        <v>5768002</v>
      </c>
      <c r="J18" s="11" t="n">
        <v>30561561</v>
      </c>
    </row>
    <row r="19">
      <c r="A19" s="4" t="inlineStr">
        <is>
          <t>WH07</t>
        </is>
      </c>
      <c r="B19" s="4" t="inlineStr">
        <is>
          <t>Bengaluru DC</t>
        </is>
      </c>
      <c r="C19" s="4" t="inlineStr">
        <is>
          <t>South</t>
        </is>
      </c>
      <c r="D19" s="11" t="n">
        <v>550</v>
      </c>
      <c r="E19" s="11" t="n">
        <v>1630828</v>
      </c>
      <c r="F19" s="11" t="n">
        <v>18950941</v>
      </c>
      <c r="G19" s="11" t="n">
        <v>240867</v>
      </c>
      <c r="H19" s="11" t="n">
        <v>3857572</v>
      </c>
      <c r="I19" s="11" t="n">
        <v>5377676</v>
      </c>
      <c r="J19" s="11" t="n">
        <v>30057884</v>
      </c>
    </row>
    <row r="20">
      <c r="A20" s="4" t="inlineStr">
        <is>
          <t>WH12</t>
        </is>
      </c>
      <c r="B20" s="4" t="inlineStr">
        <is>
          <t>Nagpur DC</t>
        </is>
      </c>
      <c r="C20" s="4" t="inlineStr">
        <is>
          <t>Central</t>
        </is>
      </c>
      <c r="D20" s="11" t="n">
        <v>446</v>
      </c>
      <c r="E20" s="11" t="n">
        <v>3278</v>
      </c>
      <c r="F20" s="11" t="n">
        <v>8286779</v>
      </c>
      <c r="G20" s="11" t="n">
        <v>308010</v>
      </c>
      <c r="H20" s="11" t="n">
        <v>2052754</v>
      </c>
      <c r="I20" s="11" t="n">
        <v>3562672</v>
      </c>
      <c r="J20" s="11" t="n">
        <v>14213493</v>
      </c>
    </row>
    <row r="21">
      <c r="A21" s="4" t="inlineStr">
        <is>
          <t>WH03</t>
        </is>
      </c>
      <c r="B21" s="4" t="inlineStr">
        <is>
          <t>Lucknow DC</t>
        </is>
      </c>
      <c r="C21" s="4" t="inlineStr">
        <is>
          <t>North</t>
        </is>
      </c>
      <c r="D21" s="11" t="n">
        <v>500</v>
      </c>
      <c r="E21" s="11" t="n">
        <v>218093</v>
      </c>
      <c r="F21" s="11" t="n">
        <v>7879854</v>
      </c>
      <c r="G21" s="11" t="n">
        <v>255094</v>
      </c>
      <c r="H21" s="11" t="n">
        <v>1506728</v>
      </c>
      <c r="I21" s="11" t="n">
        <v>4110883</v>
      </c>
      <c r="J21" s="11" t="n">
        <v>13970652</v>
      </c>
    </row>
    <row r="22">
      <c r="A22" s="4" t="inlineStr">
        <is>
          <t>WH02</t>
        </is>
      </c>
      <c r="B22" s="4" t="inlineStr">
        <is>
          <t>Jaipur DC</t>
        </is>
      </c>
      <c r="C22" s="4" t="inlineStr">
        <is>
          <t>North</t>
        </is>
      </c>
      <c r="D22" s="11" t="n">
        <v>480</v>
      </c>
      <c r="E22" s="11" t="n">
        <v>0</v>
      </c>
      <c r="F22" s="11" t="n">
        <v>8703722</v>
      </c>
      <c r="G22" s="11" t="n">
        <v>922785</v>
      </c>
      <c r="H22" s="11" t="n">
        <v>1169906</v>
      </c>
      <c r="I22" s="11" t="n">
        <v>2288385</v>
      </c>
      <c r="J22" s="11" t="n">
        <v>13084798</v>
      </c>
    </row>
    <row r="23">
      <c r="A23" s="4" t="inlineStr">
        <is>
          <t>WH05</t>
        </is>
      </c>
      <c r="B23" s="4" t="inlineStr">
        <is>
          <t>Pune DC</t>
        </is>
      </c>
      <c r="C23" s="4" t="inlineStr">
        <is>
          <t>West</t>
        </is>
      </c>
      <c r="D23" s="11" t="n">
        <v>339</v>
      </c>
      <c r="E23" s="11" t="n">
        <v>0</v>
      </c>
      <c r="F23" s="11" t="n">
        <v>6719402</v>
      </c>
      <c r="G23" s="11" t="n">
        <v>346964</v>
      </c>
      <c r="H23" s="11" t="n">
        <v>2159846</v>
      </c>
      <c r="I23" s="11" t="n">
        <v>2589645</v>
      </c>
      <c r="J23" s="11" t="n">
        <v>11815857</v>
      </c>
    </row>
    <row r="24">
      <c r="A24" s="4" t="inlineStr">
        <is>
          <t>WH04</t>
        </is>
      </c>
      <c r="B24" s="4" t="inlineStr">
        <is>
          <t>Bhiwandi DC</t>
        </is>
      </c>
      <c r="C24" s="4" t="inlineStr">
        <is>
          <t>West</t>
        </is>
      </c>
      <c r="D24" s="11" t="n">
        <v>14</v>
      </c>
      <c r="E24" s="11" t="n">
        <v>0</v>
      </c>
      <c r="F24" s="11" t="n">
        <v>759913</v>
      </c>
      <c r="G24" s="11" t="n">
        <v>0</v>
      </c>
      <c r="H24" s="11" t="n">
        <v>495485</v>
      </c>
      <c r="I24" s="11" t="n">
        <v>1269402</v>
      </c>
      <c r="J24" s="11" t="n">
        <v>2524800</v>
      </c>
    </row>
    <row r="25">
      <c r="A25" s="4" t="inlineStr">
        <is>
          <t>WH01</t>
        </is>
      </c>
      <c r="B25" s="4" t="inlineStr">
        <is>
          <t>Gurugram DC</t>
        </is>
      </c>
      <c r="C25" s="4" t="inlineStr">
        <is>
          <t>North</t>
        </is>
      </c>
      <c r="D25" s="11" t="n">
        <v>20</v>
      </c>
      <c r="E25" s="11" t="n">
        <v>0</v>
      </c>
      <c r="F25" s="11" t="n">
        <v>1424877</v>
      </c>
      <c r="G25" s="11" t="n">
        <v>0</v>
      </c>
      <c r="H25" s="11" t="n">
        <v>1512</v>
      </c>
      <c r="I25" s="11" t="n">
        <v>324880</v>
      </c>
      <c r="J25" s="11" t="n">
        <v>1751269</v>
      </c>
    </row>
    <row r="26">
      <c r="A26" s="5" t="inlineStr">
        <is>
          <t>TOTAL</t>
        </is>
      </c>
      <c r="D26" s="7">
        <f>SUM(D14:D25)</f>
        <v/>
      </c>
      <c r="E26" s="7">
        <f>SUM(E14:E25)</f>
        <v/>
      </c>
      <c r="F26" s="7">
        <f>SUM(F14:F25)</f>
        <v/>
      </c>
      <c r="G26" s="7">
        <f>SUM(G14:G25)</f>
        <v/>
      </c>
      <c r="H26" s="7">
        <f>SUM(H14:H25)</f>
        <v/>
      </c>
      <c r="I26" s="7">
        <f>SUM(I14:I25)</f>
        <v/>
      </c>
      <c r="J26" s="7">
        <f>SUM(J14:J25)</f>
        <v/>
      </c>
    </row>
    <row r="29">
      <c r="A29" s="5" t="inlineStr">
        <is>
          <t>How often each factor was present (events can have several)</t>
        </is>
      </c>
    </row>
    <row r="30" ht="30" customHeight="1">
      <c r="A30" s="18" t="inlineStr">
        <is>
          <t>stockout_events</t>
        </is>
      </c>
      <c r="B30" s="18" t="inlineStr">
        <is>
          <t>pct_with_policy_gap</t>
        </is>
      </c>
      <c r="C30" s="18" t="inlineStr">
        <is>
          <t>pct_with_late_po</t>
        </is>
      </c>
      <c r="D30" s="18" t="inlineStr">
        <is>
          <t>pct_with_short_ship</t>
        </is>
      </c>
      <c r="E30" s="18" t="inlineStr">
        <is>
          <t>pct_with_demand_spike</t>
        </is>
      </c>
    </row>
    <row r="31">
      <c r="A31" s="11" t="n">
        <v>9178</v>
      </c>
      <c r="B31" s="20" t="n">
        <v>34.6</v>
      </c>
      <c r="C31" s="20" t="n">
        <v>40.2</v>
      </c>
      <c r="D31" s="20" t="n">
        <v>6</v>
      </c>
      <c r="E31" s="20" t="n">
        <v>16.2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29"/>
  <sheetViews>
    <sheetView showGridLines="0" workbookViewId="0">
      <selection pane="bottomLeft" activeCell="A1" sqref="A1"/>
    </sheetView>
  </sheetViews>
  <sheetFormatPr baseColWidth="8" defaultRowHeight="15"/>
  <cols>
    <col width="24" customWidth="1" min="1" max="1"/>
    <col width="20.9" customWidth="1" min="2" max="2"/>
    <col width="16.4" customWidth="1" min="3" max="3"/>
    <col width="19.1" customWidth="1" min="4" max="4"/>
    <col width="32.6" customWidth="1" min="5" max="5"/>
    <col width="27.2" customWidth="1" min="6" max="6"/>
    <col width="20.9" customWidth="1" min="7" max="7"/>
    <col width="27.2" customWidth="1" min="8" max="8"/>
    <col width="24.5" customWidth="1" min="9" max="9"/>
    <col width="35.3" customWidth="1" min="10" max="10"/>
    <col width="21.8" customWidth="1" min="11" max="11"/>
    <col width="26.3" customWidth="1" min="12" max="12"/>
    <col width="16.4" customWidth="1" min="13" max="13"/>
    <col width="20.9" customWidth="1" min="14" max="14"/>
  </cols>
  <sheetData>
    <row r="1">
      <c r="A1" s="1" t="inlineStr">
        <is>
          <t>Excess and above-target inventory</t>
        </is>
      </c>
    </row>
    <row r="2">
      <c r="A2" s="2" t="inlineStr">
        <is>
          <t>Source: sp_excess_inventory_waste. Above-target = stock beyond 4 weeks of cover; excess = beyond 8 weeks.</t>
        </is>
      </c>
    </row>
    <row r="4" ht="30" customHeight="1">
      <c r="A4" s="18" t="inlineStr">
        <is>
          <t>warehouse_id</t>
        </is>
      </c>
      <c r="B4" s="18" t="inlineStr">
        <is>
          <t>warehouse_name</t>
        </is>
      </c>
      <c r="C4" s="18" t="inlineStr">
        <is>
          <t>region</t>
        </is>
      </c>
      <c r="D4" s="18" t="inlineStr">
        <is>
          <t>total_stock_value_inr</t>
        </is>
      </c>
      <c r="E4" s="18" t="inlineStr">
        <is>
          <t>excess_value_inr</t>
        </is>
      </c>
      <c r="F4" s="18" t="inlineStr">
        <is>
          <t>excess_pct_of_stock</t>
        </is>
      </c>
      <c r="G4" s="18" t="inlineStr">
        <is>
          <t>annual_carrying_cost_on_excess_inr</t>
        </is>
      </c>
      <c r="H4" s="18" t="inlineStr">
        <is>
          <t>above_target_cover_value_inr</t>
        </is>
      </c>
      <c r="I4" s="18" t="inlineStr">
        <is>
          <t>above_target_pct_of_stock</t>
        </is>
      </c>
      <c r="J4" s="18" t="inlineStr">
        <is>
          <t>annual_carrying_cost_above_target_inr</t>
        </is>
      </c>
      <c r="K4" s="18" t="inlineStr">
        <is>
          <t>obsolescence_risk_skus</t>
        </is>
      </c>
      <c r="L4" s="18" t="inlineStr">
        <is>
          <t>obsolescence_risk_value_inr</t>
        </is>
      </c>
      <c r="M4" s="18" t="inlineStr">
        <is>
          <t>expiry_risk_skus</t>
        </is>
      </c>
      <c r="N4" s="18" t="inlineStr">
        <is>
          <t>expiry_risk_value_inr</t>
        </is>
      </c>
    </row>
    <row r="5">
      <c r="A5" s="4" t="inlineStr">
        <is>
          <t>WH04</t>
        </is>
      </c>
      <c r="B5" s="4" t="inlineStr">
        <is>
          <t>Bhiwandi DC</t>
        </is>
      </c>
      <c r="C5" s="4" t="inlineStr">
        <is>
          <t>West</t>
        </is>
      </c>
      <c r="D5" s="11" t="n">
        <v>78119785</v>
      </c>
      <c r="E5" s="11" t="n">
        <v>6589930</v>
      </c>
      <c r="F5" s="20" t="n">
        <v>8.4</v>
      </c>
      <c r="G5" s="11" t="n">
        <v>1449785</v>
      </c>
      <c r="H5" s="11" t="n">
        <v>32089121</v>
      </c>
      <c r="I5" s="20" t="n">
        <v>41.1</v>
      </c>
      <c r="J5" s="11" t="n">
        <v>7059607</v>
      </c>
      <c r="K5" s="4" t="n">
        <v>0</v>
      </c>
      <c r="L5" s="11" t="n">
        <v>0</v>
      </c>
      <c r="M5" s="4" t="n">
        <v>5</v>
      </c>
      <c r="N5" s="11" t="n">
        <v>4510546</v>
      </c>
    </row>
    <row r="6">
      <c r="A6" s="4" t="inlineStr">
        <is>
          <t>WH01</t>
        </is>
      </c>
      <c r="B6" s="4" t="inlineStr">
        <is>
          <t>Gurugram DC</t>
        </is>
      </c>
      <c r="C6" s="4" t="inlineStr">
        <is>
          <t>North</t>
        </is>
      </c>
      <c r="D6" s="11" t="n">
        <v>53413145</v>
      </c>
      <c r="E6" s="11" t="n">
        <v>3843427</v>
      </c>
      <c r="F6" s="20" t="n">
        <v>7.2</v>
      </c>
      <c r="G6" s="11" t="n">
        <v>845554</v>
      </c>
      <c r="H6" s="11" t="n">
        <v>21092465</v>
      </c>
      <c r="I6" s="20" t="n">
        <v>39.5</v>
      </c>
      <c r="J6" s="11" t="n">
        <v>4640342</v>
      </c>
      <c r="K6" s="4" t="n">
        <v>0</v>
      </c>
      <c r="L6" s="11" t="n">
        <v>0</v>
      </c>
      <c r="M6" s="4" t="n">
        <v>1</v>
      </c>
      <c r="N6" s="11" t="n">
        <v>115200</v>
      </c>
    </row>
    <row r="7">
      <c r="A7" s="4" t="inlineStr">
        <is>
          <t>WH12</t>
        </is>
      </c>
      <c r="B7" s="4" t="inlineStr">
        <is>
          <t>Nagpur DC</t>
        </is>
      </c>
      <c r="C7" s="4" t="inlineStr">
        <is>
          <t>Central</t>
        </is>
      </c>
      <c r="D7" s="11" t="n">
        <v>10849035</v>
      </c>
      <c r="E7" s="11" t="n">
        <v>800147</v>
      </c>
      <c r="F7" s="20" t="n">
        <v>7.4</v>
      </c>
      <c r="G7" s="11" t="n">
        <v>176032</v>
      </c>
      <c r="H7" s="11" t="n">
        <v>1814046</v>
      </c>
      <c r="I7" s="20" t="n">
        <v>16.7</v>
      </c>
      <c r="J7" s="11" t="n">
        <v>399090</v>
      </c>
      <c r="K7" s="4" t="n">
        <v>0</v>
      </c>
      <c r="L7" s="11" t="n">
        <v>0</v>
      </c>
      <c r="M7" s="4" t="n">
        <v>3</v>
      </c>
      <c r="N7" s="11" t="n">
        <v>339648</v>
      </c>
    </row>
    <row r="8">
      <c r="A8" s="4" t="inlineStr">
        <is>
          <t>WH02</t>
        </is>
      </c>
      <c r="B8" s="4" t="inlineStr">
        <is>
          <t>Jaipur DC</t>
        </is>
      </c>
      <c r="C8" s="4" t="inlineStr">
        <is>
          <t>North</t>
        </is>
      </c>
      <c r="D8" s="11" t="n">
        <v>12386634</v>
      </c>
      <c r="E8" s="11" t="n">
        <v>622305</v>
      </c>
      <c r="F8" s="20" t="n">
        <v>5</v>
      </c>
      <c r="G8" s="11" t="n">
        <v>136907</v>
      </c>
      <c r="H8" s="11" t="n">
        <v>1730856</v>
      </c>
      <c r="I8" s="20" t="n">
        <v>14</v>
      </c>
      <c r="J8" s="11" t="n">
        <v>380788</v>
      </c>
      <c r="K8" s="4" t="n">
        <v>2</v>
      </c>
      <c r="L8" s="11" t="n">
        <v>412538</v>
      </c>
      <c r="M8" s="4" t="n">
        <v>6</v>
      </c>
      <c r="N8" s="11" t="n">
        <v>889239</v>
      </c>
    </row>
    <row r="9">
      <c r="A9" s="4" t="inlineStr">
        <is>
          <t>WH03</t>
        </is>
      </c>
      <c r="B9" s="4" t="inlineStr">
        <is>
          <t>Lucknow DC</t>
        </is>
      </c>
      <c r="C9" s="4" t="inlineStr">
        <is>
          <t>North</t>
        </is>
      </c>
      <c r="D9" s="11" t="n">
        <v>12746845</v>
      </c>
      <c r="E9" s="11" t="n">
        <v>616716</v>
      </c>
      <c r="F9" s="20" t="n">
        <v>4.8</v>
      </c>
      <c r="G9" s="11" t="n">
        <v>135678</v>
      </c>
      <c r="H9" s="11" t="n">
        <v>1753603</v>
      </c>
      <c r="I9" s="20" t="n">
        <v>13.8</v>
      </c>
      <c r="J9" s="11" t="n">
        <v>385793</v>
      </c>
      <c r="K9" s="4" t="n">
        <v>2</v>
      </c>
      <c r="L9" s="11" t="n">
        <v>264198</v>
      </c>
      <c r="M9" s="4" t="n">
        <v>2</v>
      </c>
      <c r="N9" s="11" t="n">
        <v>245964</v>
      </c>
    </row>
    <row r="10">
      <c r="A10" s="4" t="inlineStr">
        <is>
          <t>WH06</t>
        </is>
      </c>
      <c r="B10" s="4" t="inlineStr">
        <is>
          <t>Ahmedabad DC</t>
        </is>
      </c>
      <c r="C10" s="4" t="inlineStr">
        <is>
          <t>West</t>
        </is>
      </c>
      <c r="D10" s="11" t="n">
        <v>14011100</v>
      </c>
      <c r="E10" s="11" t="n">
        <v>270638</v>
      </c>
      <c r="F10" s="20" t="n">
        <v>1.9</v>
      </c>
      <c r="G10" s="11" t="n">
        <v>59540</v>
      </c>
      <c r="H10" s="11" t="n">
        <v>1428177</v>
      </c>
      <c r="I10" s="20" t="n">
        <v>10.2</v>
      </c>
      <c r="J10" s="11" t="n">
        <v>314199</v>
      </c>
      <c r="K10" s="4" t="n">
        <v>0</v>
      </c>
      <c r="L10" s="11" t="n">
        <v>0</v>
      </c>
      <c r="M10" s="4" t="n">
        <v>0</v>
      </c>
      <c r="N10" s="11" t="n">
        <v>0</v>
      </c>
    </row>
    <row r="11">
      <c r="A11" s="4" t="inlineStr">
        <is>
          <t>WH11</t>
        </is>
      </c>
      <c r="B11" s="4" t="inlineStr">
        <is>
          <t>Guwahati DC</t>
        </is>
      </c>
      <c r="C11" s="4" t="inlineStr">
        <is>
          <t>East</t>
        </is>
      </c>
      <c r="D11" s="11" t="n">
        <v>7118011</v>
      </c>
      <c r="E11" s="11" t="n">
        <v>230462</v>
      </c>
      <c r="F11" s="20" t="n">
        <v>3.2</v>
      </c>
      <c r="G11" s="11" t="n">
        <v>50702</v>
      </c>
      <c r="H11" s="11" t="n">
        <v>1089999</v>
      </c>
      <c r="I11" s="20" t="n">
        <v>15.3</v>
      </c>
      <c r="J11" s="11" t="n">
        <v>239800</v>
      </c>
      <c r="K11" s="4" t="n">
        <v>4</v>
      </c>
      <c r="L11" s="11" t="n">
        <v>167259</v>
      </c>
      <c r="M11" s="4" t="n">
        <v>4</v>
      </c>
      <c r="N11" s="11" t="n">
        <v>153764</v>
      </c>
    </row>
    <row r="12">
      <c r="A12" s="4" t="inlineStr">
        <is>
          <t>WH05</t>
        </is>
      </c>
      <c r="B12" s="4" t="inlineStr">
        <is>
          <t>Pune DC</t>
        </is>
      </c>
      <c r="C12" s="4" t="inlineStr">
        <is>
          <t>West</t>
        </is>
      </c>
      <c r="D12" s="11" t="n">
        <v>17279062</v>
      </c>
      <c r="E12" s="11" t="n">
        <v>110817</v>
      </c>
      <c r="F12" s="20" t="n">
        <v>0.6</v>
      </c>
      <c r="G12" s="11" t="n">
        <v>24380</v>
      </c>
      <c r="H12" s="11" t="n">
        <v>2488211</v>
      </c>
      <c r="I12" s="20" t="n">
        <v>14.4</v>
      </c>
      <c r="J12" s="11" t="n">
        <v>547406</v>
      </c>
      <c r="K12" s="4" t="n">
        <v>0</v>
      </c>
      <c r="L12" s="11" t="n">
        <v>0</v>
      </c>
      <c r="M12" s="4" t="n">
        <v>1</v>
      </c>
      <c r="N12" s="11" t="n">
        <v>127185</v>
      </c>
    </row>
    <row r="13">
      <c r="A13" s="4" t="inlineStr">
        <is>
          <t>WH09</t>
        </is>
      </c>
      <c r="B13" s="4" t="inlineStr">
        <is>
          <t>Hyderabad DC</t>
        </is>
      </c>
      <c r="C13" s="4" t="inlineStr">
        <is>
          <t>South</t>
        </is>
      </c>
      <c r="D13" s="11" t="n">
        <v>23416807</v>
      </c>
      <c r="E13" s="11" t="n">
        <v>79365</v>
      </c>
      <c r="F13" s="20" t="n">
        <v>0.3</v>
      </c>
      <c r="G13" s="11" t="n">
        <v>17460</v>
      </c>
      <c r="H13" s="11" t="n">
        <v>3251831</v>
      </c>
      <c r="I13" s="20" t="n">
        <v>13.9</v>
      </c>
      <c r="J13" s="11" t="n">
        <v>715403</v>
      </c>
      <c r="K13" s="4" t="n">
        <v>0</v>
      </c>
      <c r="L13" s="11" t="n">
        <v>0</v>
      </c>
      <c r="M13" s="4" t="n">
        <v>0</v>
      </c>
      <c r="N13" s="11" t="n">
        <v>0</v>
      </c>
    </row>
    <row r="14">
      <c r="A14" s="4" t="inlineStr">
        <is>
          <t>WH07</t>
        </is>
      </c>
      <c r="B14" s="4" t="inlineStr">
        <is>
          <t>Bengaluru DC</t>
        </is>
      </c>
      <c r="C14" s="4" t="inlineStr">
        <is>
          <t>South</t>
        </is>
      </c>
      <c r="D14" s="11" t="n">
        <v>20767489</v>
      </c>
      <c r="E14" s="11" t="n">
        <v>31624</v>
      </c>
      <c r="F14" s="20" t="n">
        <v>0.2</v>
      </c>
      <c r="G14" s="11" t="n">
        <v>6957</v>
      </c>
      <c r="H14" s="11" t="n">
        <v>2144763</v>
      </c>
      <c r="I14" s="20" t="n">
        <v>10.3</v>
      </c>
      <c r="J14" s="11" t="n">
        <v>471848</v>
      </c>
      <c r="K14" s="4" t="n">
        <v>0</v>
      </c>
      <c r="L14" s="11" t="n">
        <v>0</v>
      </c>
      <c r="M14" s="4" t="n">
        <v>0</v>
      </c>
      <c r="N14" s="11" t="n">
        <v>0</v>
      </c>
    </row>
    <row r="15">
      <c r="A15" s="4" t="inlineStr">
        <is>
          <t>WH08</t>
        </is>
      </c>
      <c r="B15" s="4" t="inlineStr">
        <is>
          <t>Chennai DC</t>
        </is>
      </c>
      <c r="C15" s="4" t="inlineStr">
        <is>
          <t>South</t>
        </is>
      </c>
      <c r="D15" s="11" t="n">
        <v>8162258</v>
      </c>
      <c r="E15" s="11" t="n">
        <v>23776</v>
      </c>
      <c r="F15" s="20" t="n">
        <v>0.3</v>
      </c>
      <c r="G15" s="11" t="n">
        <v>5231</v>
      </c>
      <c r="H15" s="11" t="n">
        <v>241115</v>
      </c>
      <c r="I15" s="20" t="n">
        <v>3</v>
      </c>
      <c r="J15" s="11" t="n">
        <v>53045</v>
      </c>
      <c r="K15" s="4" t="n">
        <v>0</v>
      </c>
      <c r="L15" s="11" t="n">
        <v>0</v>
      </c>
      <c r="M15" s="4" t="n">
        <v>0</v>
      </c>
      <c r="N15" s="11" t="n">
        <v>0</v>
      </c>
    </row>
    <row r="16">
      <c r="A16" s="4" t="inlineStr">
        <is>
          <t>WH10</t>
        </is>
      </c>
      <c r="B16" s="4" t="inlineStr">
        <is>
          <t>Kolkata DC</t>
        </is>
      </c>
      <c r="C16" s="4" t="inlineStr">
        <is>
          <t>East</t>
        </is>
      </c>
      <c r="D16" s="11" t="n">
        <v>17145860</v>
      </c>
      <c r="E16" s="11" t="n">
        <v>15721</v>
      </c>
      <c r="F16" s="20" t="n">
        <v>0.1</v>
      </c>
      <c r="G16" s="11" t="n">
        <v>3459</v>
      </c>
      <c r="H16" s="11" t="n">
        <v>1591298</v>
      </c>
      <c r="I16" s="20" t="n">
        <v>9.300000000000001</v>
      </c>
      <c r="J16" s="11" t="n">
        <v>350086</v>
      </c>
      <c r="K16" s="4" t="n">
        <v>0</v>
      </c>
      <c r="L16" s="11" t="n">
        <v>0</v>
      </c>
      <c r="M16" s="4" t="n">
        <v>0</v>
      </c>
      <c r="N16" s="11" t="n">
        <v>0</v>
      </c>
    </row>
    <row r="17">
      <c r="A17" s="5" t="inlineStr">
        <is>
          <t>NETWORK</t>
        </is>
      </c>
      <c r="D17" s="7">
        <f>SUM(D5:D16)</f>
        <v/>
      </c>
      <c r="E17" s="7">
        <f>SUM(E5:E16)</f>
        <v/>
      </c>
      <c r="G17" s="7">
        <f>SUM(G5:G16)</f>
        <v/>
      </c>
      <c r="H17" s="7">
        <f>SUM(H5:H16)</f>
        <v/>
      </c>
      <c r="J17" s="7">
        <f>SUM(J5:J16)</f>
        <v/>
      </c>
      <c r="K17" s="7">
        <f>SUM(K5:K16)</f>
        <v/>
      </c>
      <c r="L17" s="7">
        <f>SUM(L5:L16)</f>
        <v/>
      </c>
      <c r="M17" s="7">
        <f>SUM(M5:M16)</f>
        <v/>
      </c>
      <c r="N17" s="7">
        <f>SUM(N5:N16)</f>
        <v/>
      </c>
    </row>
    <row r="20">
      <c r="A20" s="5" t="inlineStr">
        <is>
          <t>By category</t>
        </is>
      </c>
    </row>
    <row r="21" ht="30" customHeight="1">
      <c r="A21" s="18" t="inlineStr">
        <is>
          <t>category</t>
        </is>
      </c>
      <c r="B21" s="18" t="inlineStr">
        <is>
          <t>total_stock_value_inr</t>
        </is>
      </c>
      <c r="C21" s="18" t="inlineStr">
        <is>
          <t>excess_value_inr</t>
        </is>
      </c>
      <c r="D21" s="18" t="inlineStr">
        <is>
          <t>excess_pct_of_stock</t>
        </is>
      </c>
      <c r="E21" s="18" t="inlineStr">
        <is>
          <t>annual_carrying_cost_on_excess_inr</t>
        </is>
      </c>
      <c r="F21" s="18" t="inlineStr">
        <is>
          <t>above_target_cover_value_inr</t>
        </is>
      </c>
      <c r="G21" s="18" t="inlineStr">
        <is>
          <t>expiry_risk_value_inr</t>
        </is>
      </c>
    </row>
    <row r="22">
      <c r="A22" s="4" t="inlineStr">
        <is>
          <t>Electronics Accessories</t>
        </is>
      </c>
      <c r="B22" s="11" t="n">
        <v>82522130</v>
      </c>
      <c r="C22" s="11" t="n">
        <v>7174485</v>
      </c>
      <c r="D22" s="20" t="n">
        <v>8.699999999999999</v>
      </c>
      <c r="E22" s="11" t="n">
        <v>1578387</v>
      </c>
      <c r="F22" s="11" t="n">
        <v>28180450</v>
      </c>
      <c r="G22" s="11" t="n">
        <v>0</v>
      </c>
    </row>
    <row r="23">
      <c r="A23" s="4" t="inlineStr">
        <is>
          <t>Snacks &amp; Confectionery</t>
        </is>
      </c>
      <c r="B23" s="11" t="n">
        <v>29704368</v>
      </c>
      <c r="C23" s="11" t="n">
        <v>1311456</v>
      </c>
      <c r="D23" s="20" t="n">
        <v>4.4</v>
      </c>
      <c r="E23" s="11" t="n">
        <v>288520</v>
      </c>
      <c r="F23" s="11" t="n">
        <v>6951415</v>
      </c>
      <c r="G23" s="11" t="n">
        <v>5453236</v>
      </c>
    </row>
    <row r="24">
      <c r="A24" s="4" t="inlineStr">
        <is>
          <t>Beverages</t>
        </is>
      </c>
      <c r="B24" s="11" t="n">
        <v>30381748</v>
      </c>
      <c r="C24" s="11" t="n">
        <v>1050331</v>
      </c>
      <c r="D24" s="20" t="n">
        <v>3.5</v>
      </c>
      <c r="E24" s="11" t="n">
        <v>231073</v>
      </c>
      <c r="F24" s="11" t="n">
        <v>6532208</v>
      </c>
      <c r="G24" s="11" t="n">
        <v>765011</v>
      </c>
    </row>
    <row r="25">
      <c r="A25" s="4" t="inlineStr">
        <is>
          <t>OTC Pharma &amp; Wellness</t>
        </is>
      </c>
      <c r="B25" s="11" t="n">
        <v>17867042</v>
      </c>
      <c r="C25" s="11" t="n">
        <v>1007232</v>
      </c>
      <c r="D25" s="20" t="n">
        <v>5.6</v>
      </c>
      <c r="E25" s="11" t="n">
        <v>221591</v>
      </c>
      <c r="F25" s="11" t="n">
        <v>5122219</v>
      </c>
      <c r="G25" s="11" t="n">
        <v>66459</v>
      </c>
    </row>
    <row r="26">
      <c r="A26" s="4" t="inlineStr">
        <is>
          <t>Packaging &amp; Supplies</t>
        </is>
      </c>
      <c r="B26" s="11" t="n">
        <v>19863981</v>
      </c>
      <c r="C26" s="11" t="n">
        <v>917482</v>
      </c>
      <c r="D26" s="20" t="n">
        <v>4.6</v>
      </c>
      <c r="E26" s="11" t="n">
        <v>201846</v>
      </c>
      <c r="F26" s="11" t="n">
        <v>5069697</v>
      </c>
      <c r="G26" s="11" t="n">
        <v>0</v>
      </c>
    </row>
    <row r="27">
      <c r="A27" s="4" t="inlineStr">
        <is>
          <t>Personal Care</t>
        </is>
      </c>
      <c r="B27" s="11" t="n">
        <v>25910925</v>
      </c>
      <c r="C27" s="11" t="n">
        <v>654928</v>
      </c>
      <c r="D27" s="20" t="n">
        <v>2.5</v>
      </c>
      <c r="E27" s="11" t="n">
        <v>144084</v>
      </c>
      <c r="F27" s="11" t="n">
        <v>5493938</v>
      </c>
      <c r="G27" s="11" t="n">
        <v>0</v>
      </c>
    </row>
    <row r="28">
      <c r="A28" s="4" t="inlineStr">
        <is>
          <t>Home Care</t>
        </is>
      </c>
      <c r="B28" s="11" t="n">
        <v>22772503</v>
      </c>
      <c r="C28" s="11" t="n">
        <v>565887</v>
      </c>
      <c r="D28" s="20" t="n">
        <v>2.5</v>
      </c>
      <c r="E28" s="11" t="n">
        <v>124495</v>
      </c>
      <c r="F28" s="11" t="n">
        <v>3975193</v>
      </c>
      <c r="G28" s="11" t="n">
        <v>0</v>
      </c>
    </row>
    <row r="29">
      <c r="A29" s="4" t="inlineStr">
        <is>
          <t>Packaged Staples</t>
        </is>
      </c>
      <c r="B29" s="11" t="n">
        <v>46393334</v>
      </c>
      <c r="C29" s="11" t="n">
        <v>553127</v>
      </c>
      <c r="D29" s="20" t="n">
        <v>1.2</v>
      </c>
      <c r="E29" s="11" t="n">
        <v>121688</v>
      </c>
      <c r="F29" s="11" t="n">
        <v>9390365</v>
      </c>
      <c r="G29" s="11" t="n">
        <v>96840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24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25" customWidth="1" min="3" max="3"/>
    <col width="17.3" customWidth="1" min="4" max="4"/>
    <col width="14.6" customWidth="1" min="5" max="5"/>
    <col width="11.9" customWidth="1" min="6" max="6"/>
    <col width="15.5" customWidth="1" min="7" max="7"/>
    <col width="14" customWidth="1" min="8" max="8"/>
    <col width="11" customWidth="1" min="9" max="9"/>
    <col width="15.5" customWidth="1" min="10" max="10"/>
    <col width="14.6" customWidth="1" min="11" max="11"/>
    <col width="11.9" customWidth="1" min="12" max="12"/>
    <col width="20.9" customWidth="1" min="13" max="13"/>
    <col width="15.5" customWidth="1" min="14" max="14"/>
    <col width="20" customWidth="1" min="15" max="15"/>
    <col width="19.1" customWidth="1" min="16" max="16"/>
  </cols>
  <sheetData>
    <row r="1">
      <c r="A1" s="1" t="inlineStr">
        <is>
          <t>Recommended stock transfers</t>
        </is>
      </c>
    </row>
    <row r="2">
      <c r="A2" s="2" t="inlineStr">
        <is>
          <t>Source: sp_regional_rebalance. Indicative, one replenishment cycle; freight rates are assumptions (Config).</t>
        </is>
      </c>
    </row>
    <row r="4" ht="30" customHeight="1">
      <c r="A4" s="18" t="inlineStr">
        <is>
          <t>sku_id</t>
        </is>
      </c>
      <c r="B4" s="18" t="inlineStr">
        <is>
          <t>sku_name</t>
        </is>
      </c>
      <c r="C4" s="18" t="inlineStr">
        <is>
          <t>category</t>
        </is>
      </c>
      <c r="D4" s="18" t="inlineStr">
        <is>
          <t>from_warehouse_id</t>
        </is>
      </c>
      <c r="E4" s="18" t="inlineStr">
        <is>
          <t>from_warehouse</t>
        </is>
      </c>
      <c r="F4" s="18" t="inlineStr">
        <is>
          <t>from_region</t>
        </is>
      </c>
      <c r="G4" s="18" t="inlineStr">
        <is>
          <t>to_warehouse_id</t>
        </is>
      </c>
      <c r="H4" s="18" t="inlineStr">
        <is>
          <t>to_warehouse</t>
        </is>
      </c>
      <c r="I4" s="18" t="inlineStr">
        <is>
          <t>to_region</t>
        </is>
      </c>
      <c r="J4" s="18" t="inlineStr">
        <is>
          <t>receiver_status</t>
        </is>
      </c>
      <c r="K4" s="18" t="inlineStr">
        <is>
          <t>transfer_units</t>
        </is>
      </c>
      <c r="L4" s="18" t="inlineStr">
        <is>
          <t>same_region</t>
        </is>
      </c>
      <c r="M4" s="18" t="inlineStr">
        <is>
          <t>stock_value_moved_inr</t>
        </is>
      </c>
      <c r="N4" s="18" t="inlineStr">
        <is>
          <t>est_freight_inr</t>
        </is>
      </c>
      <c r="O4" s="18" t="inlineStr">
        <is>
          <t>margin_protected_inr</t>
        </is>
      </c>
      <c r="P4" s="18" t="inlineStr">
        <is>
          <t>est_net_benefit_inr</t>
        </is>
      </c>
    </row>
    <row r="5">
      <c r="A5" s="4" t="inlineStr">
        <is>
          <t>SKU080</t>
        </is>
      </c>
      <c r="B5" s="4" t="inlineStr">
        <is>
          <t>TWS Earbuds</t>
        </is>
      </c>
      <c r="C5" s="4" t="inlineStr">
        <is>
          <t>Electronics Accessories</t>
        </is>
      </c>
      <c r="D5" s="4" t="inlineStr">
        <is>
          <t>WH01</t>
        </is>
      </c>
      <c r="E5" s="4" t="inlineStr">
        <is>
          <t>Gurugram DC</t>
        </is>
      </c>
      <c r="F5" s="4" t="inlineStr">
        <is>
          <t>North</t>
        </is>
      </c>
      <c r="G5" s="4" t="inlineStr">
        <is>
          <t>WH06</t>
        </is>
      </c>
      <c r="H5" s="4" t="inlineStr">
        <is>
          <t>Ahmedabad DC</t>
        </is>
      </c>
      <c r="I5" s="4" t="inlineStr">
        <is>
          <t>West</t>
        </is>
      </c>
      <c r="J5" s="4" t="inlineStr">
        <is>
          <t>STOCKOUT</t>
        </is>
      </c>
      <c r="K5" s="11" t="n">
        <v>995</v>
      </c>
      <c r="L5" s="4" t="n">
        <v>0</v>
      </c>
      <c r="M5" s="11" t="n">
        <v>2226810</v>
      </c>
      <c r="N5" s="11" t="n">
        <v>5970</v>
      </c>
      <c r="O5" s="11" t="n">
        <v>705455</v>
      </c>
      <c r="P5" s="11" t="n">
        <v>699485</v>
      </c>
    </row>
    <row r="6">
      <c r="A6" s="4" t="inlineStr">
        <is>
          <t>SKU080</t>
        </is>
      </c>
      <c r="B6" s="4" t="inlineStr">
        <is>
          <t>TWS Earbuds</t>
        </is>
      </c>
      <c r="C6" s="4" t="inlineStr">
        <is>
          <t>Electronics Accessories</t>
        </is>
      </c>
      <c r="D6" s="4" t="inlineStr">
        <is>
          <t>WH01</t>
        </is>
      </c>
      <c r="E6" s="4" t="inlineStr">
        <is>
          <t>Gurugram DC</t>
        </is>
      </c>
      <c r="F6" s="4" t="inlineStr">
        <is>
          <t>North</t>
        </is>
      </c>
      <c r="G6" s="4" t="inlineStr">
        <is>
          <t>WH08</t>
        </is>
      </c>
      <c r="H6" s="4" t="inlineStr">
        <is>
          <t>Chennai DC</t>
        </is>
      </c>
      <c r="I6" s="4" t="inlineStr">
        <is>
          <t>South</t>
        </is>
      </c>
      <c r="J6" s="4" t="inlineStr">
        <is>
          <t>STOCKOUT</t>
        </is>
      </c>
      <c r="K6" s="11" t="n">
        <v>542</v>
      </c>
      <c r="L6" s="4" t="n">
        <v>0</v>
      </c>
      <c r="M6" s="11" t="n">
        <v>1212996</v>
      </c>
      <c r="N6" s="11" t="n">
        <v>3252</v>
      </c>
      <c r="O6" s="11" t="n">
        <v>384278</v>
      </c>
      <c r="P6" s="11" t="n">
        <v>381026</v>
      </c>
    </row>
    <row r="7">
      <c r="A7" s="4" t="inlineStr">
        <is>
          <t>SKU087</t>
        </is>
      </c>
      <c r="B7" s="4" t="inlineStr">
        <is>
          <t>SD Card 64GB</t>
        </is>
      </c>
      <c r="C7" s="4" t="inlineStr">
        <is>
          <t>Electronics Accessories</t>
        </is>
      </c>
      <c r="D7" s="4" t="inlineStr">
        <is>
          <t>WH04</t>
        </is>
      </c>
      <c r="E7" s="4" t="inlineStr">
        <is>
          <t>Bhiwandi DC</t>
        </is>
      </c>
      <c r="F7" s="4" t="inlineStr">
        <is>
          <t>West</t>
        </is>
      </c>
      <c r="G7" s="4" t="inlineStr">
        <is>
          <t>WH07</t>
        </is>
      </c>
      <c r="H7" s="4" t="inlineStr">
        <is>
          <t>Bengaluru DC</t>
        </is>
      </c>
      <c r="I7" s="4" t="inlineStr">
        <is>
          <t>South</t>
        </is>
      </c>
      <c r="J7" s="4" t="inlineStr">
        <is>
          <t>LOW</t>
        </is>
      </c>
      <c r="K7" s="11" t="n">
        <v>526</v>
      </c>
      <c r="L7" s="4" t="n">
        <v>0</v>
      </c>
      <c r="M7" s="11" t="n">
        <v>920500</v>
      </c>
      <c r="N7" s="11" t="n">
        <v>3156</v>
      </c>
      <c r="O7" s="11" t="n">
        <v>226180</v>
      </c>
      <c r="P7" s="11" t="n">
        <v>223024</v>
      </c>
    </row>
    <row r="8">
      <c r="A8" s="4" t="inlineStr">
        <is>
          <t>SKU087</t>
        </is>
      </c>
      <c r="B8" s="4" t="inlineStr">
        <is>
          <t>SD Card 64GB</t>
        </is>
      </c>
      <c r="C8" s="4" t="inlineStr">
        <is>
          <t>Electronics Accessories</t>
        </is>
      </c>
      <c r="D8" s="4" t="inlineStr">
        <is>
          <t>WH04</t>
        </is>
      </c>
      <c r="E8" s="4" t="inlineStr">
        <is>
          <t>Bhiwandi DC</t>
        </is>
      </c>
      <c r="F8" s="4" t="inlineStr">
        <is>
          <t>West</t>
        </is>
      </c>
      <c r="G8" s="4" t="inlineStr">
        <is>
          <t>WH08</t>
        </is>
      </c>
      <c r="H8" s="4" t="inlineStr">
        <is>
          <t>Chennai DC</t>
        </is>
      </c>
      <c r="I8" s="4" t="inlineStr">
        <is>
          <t>South</t>
        </is>
      </c>
      <c r="J8" s="4" t="inlineStr">
        <is>
          <t>LOW</t>
        </is>
      </c>
      <c r="K8" s="11" t="n">
        <v>464</v>
      </c>
      <c r="L8" s="4" t="n">
        <v>0</v>
      </c>
      <c r="M8" s="11" t="n">
        <v>812000</v>
      </c>
      <c r="N8" s="11" t="n">
        <v>2784</v>
      </c>
      <c r="O8" s="11" t="n">
        <v>199520</v>
      </c>
      <c r="P8" s="11" t="n">
        <v>196736</v>
      </c>
    </row>
    <row r="9">
      <c r="A9" s="4" t="inlineStr">
        <is>
          <t>SKU079</t>
        </is>
      </c>
      <c r="B9" s="4" t="inlineStr">
        <is>
          <t>Wired Earphones</t>
        </is>
      </c>
      <c r="C9" s="4" t="inlineStr">
        <is>
          <t>Electronics Accessories</t>
        </is>
      </c>
      <c r="D9" s="4" t="inlineStr">
        <is>
          <t>WH01</t>
        </is>
      </c>
      <c r="E9" s="4" t="inlineStr">
        <is>
          <t>Gurugram DC</t>
        </is>
      </c>
      <c r="F9" s="4" t="inlineStr">
        <is>
          <t>North</t>
        </is>
      </c>
      <c r="G9" s="4" t="inlineStr">
        <is>
          <t>WH08</t>
        </is>
      </c>
      <c r="H9" s="4" t="inlineStr">
        <is>
          <t>Chennai DC</t>
        </is>
      </c>
      <c r="I9" s="4" t="inlineStr">
        <is>
          <t>South</t>
        </is>
      </c>
      <c r="J9" s="4" t="inlineStr">
        <is>
          <t>STOCKOUT</t>
        </is>
      </c>
      <c r="K9" s="11" t="n">
        <v>653</v>
      </c>
      <c r="L9" s="4" t="n">
        <v>0</v>
      </c>
      <c r="M9" s="11" t="n">
        <v>724830</v>
      </c>
      <c r="N9" s="11" t="n">
        <v>3918</v>
      </c>
      <c r="O9" s="11" t="n">
        <v>197206</v>
      </c>
      <c r="P9" s="11" t="n">
        <v>193288</v>
      </c>
    </row>
    <row r="10">
      <c r="A10" s="4" t="inlineStr">
        <is>
          <t>SKU087</t>
        </is>
      </c>
      <c r="B10" s="4" t="inlineStr">
        <is>
          <t>SD Card 64GB</t>
        </is>
      </c>
      <c r="C10" s="4" t="inlineStr">
        <is>
          <t>Electronics Accessories</t>
        </is>
      </c>
      <c r="D10" s="4" t="inlineStr">
        <is>
          <t>WH04</t>
        </is>
      </c>
      <c r="E10" s="4" t="inlineStr">
        <is>
          <t>Bhiwandi DC</t>
        </is>
      </c>
      <c r="F10" s="4" t="inlineStr">
        <is>
          <t>West</t>
        </is>
      </c>
      <c r="G10" s="4" t="inlineStr">
        <is>
          <t>WH11</t>
        </is>
      </c>
      <c r="H10" s="4" t="inlineStr">
        <is>
          <t>Guwahati DC</t>
        </is>
      </c>
      <c r="I10" s="4" t="inlineStr">
        <is>
          <t>East</t>
        </is>
      </c>
      <c r="J10" s="4" t="inlineStr">
        <is>
          <t>STOCKOUT</t>
        </is>
      </c>
      <c r="K10" s="11" t="n">
        <v>273</v>
      </c>
      <c r="L10" s="4" t="n">
        <v>0</v>
      </c>
      <c r="M10" s="11" t="n">
        <v>477750</v>
      </c>
      <c r="N10" s="11" t="n">
        <v>1638</v>
      </c>
      <c r="O10" s="11" t="n">
        <v>117390</v>
      </c>
      <c r="P10" s="11" t="n">
        <v>115752</v>
      </c>
    </row>
    <row r="11">
      <c r="A11" s="4" t="inlineStr">
        <is>
          <t>SKU079</t>
        </is>
      </c>
      <c r="B11" s="4" t="inlineStr">
        <is>
          <t>Wired Earphones</t>
        </is>
      </c>
      <c r="C11" s="4" t="inlineStr">
        <is>
          <t>Electronics Accessories</t>
        </is>
      </c>
      <c r="D11" s="4" t="inlineStr">
        <is>
          <t>WH01</t>
        </is>
      </c>
      <c r="E11" s="4" t="inlineStr">
        <is>
          <t>Gurugram DC</t>
        </is>
      </c>
      <c r="F11" s="4" t="inlineStr">
        <is>
          <t>North</t>
        </is>
      </c>
      <c r="G11" s="4" t="inlineStr">
        <is>
          <t>WH11</t>
        </is>
      </c>
      <c r="H11" s="4" t="inlineStr">
        <is>
          <t>Guwahati DC</t>
        </is>
      </c>
      <c r="I11" s="4" t="inlineStr">
        <is>
          <t>East</t>
        </is>
      </c>
      <c r="J11" s="4" t="inlineStr">
        <is>
          <t>STOCKOUT</t>
        </is>
      </c>
      <c r="K11" s="11" t="n">
        <v>375</v>
      </c>
      <c r="L11" s="4" t="n">
        <v>0</v>
      </c>
      <c r="M11" s="11" t="n">
        <v>416250</v>
      </c>
      <c r="N11" s="11" t="n">
        <v>2250</v>
      </c>
      <c r="O11" s="11" t="n">
        <v>113250</v>
      </c>
      <c r="P11" s="11" t="n">
        <v>111000</v>
      </c>
    </row>
    <row r="12">
      <c r="A12" s="4" t="inlineStr">
        <is>
          <t>SKU111</t>
        </is>
      </c>
      <c r="B12" s="4" t="inlineStr">
        <is>
          <t>Shipping Labels 1000</t>
        </is>
      </c>
      <c r="C12" s="4" t="inlineStr">
        <is>
          <t>Packaging &amp; Supplies</t>
        </is>
      </c>
      <c r="D12" s="4" t="inlineStr">
        <is>
          <t>WH04</t>
        </is>
      </c>
      <c r="E12" s="4" t="inlineStr">
        <is>
          <t>Bhiwandi DC</t>
        </is>
      </c>
      <c r="F12" s="4" t="inlineStr">
        <is>
          <t>West</t>
        </is>
      </c>
      <c r="G12" s="4" t="inlineStr">
        <is>
          <t>WH08</t>
        </is>
      </c>
      <c r="H12" s="4" t="inlineStr">
        <is>
          <t>Chennai DC</t>
        </is>
      </c>
      <c r="I12" s="4" t="inlineStr">
        <is>
          <t>South</t>
        </is>
      </c>
      <c r="J12" s="4" t="inlineStr">
        <is>
          <t>STOCKOUT</t>
        </is>
      </c>
      <c r="K12" s="11" t="n">
        <v>726</v>
      </c>
      <c r="L12" s="4" t="n">
        <v>0</v>
      </c>
      <c r="M12" s="11" t="n">
        <v>447942</v>
      </c>
      <c r="N12" s="11" t="n">
        <v>4356</v>
      </c>
      <c r="O12" s="11" t="n">
        <v>90024</v>
      </c>
      <c r="P12" s="11" t="n">
        <v>85668</v>
      </c>
    </row>
    <row r="13">
      <c r="A13" s="4" t="inlineStr">
        <is>
          <t>SKU060</t>
        </is>
      </c>
      <c r="B13" s="4" t="inlineStr">
        <is>
          <t>Mouthwash 250ml</t>
        </is>
      </c>
      <c r="C13" s="4" t="inlineStr">
        <is>
          <t>Personal Care</t>
        </is>
      </c>
      <c r="D13" s="4" t="inlineStr">
        <is>
          <t>WH12</t>
        </is>
      </c>
      <c r="E13" s="4" t="inlineStr">
        <is>
          <t>Nagpur DC</t>
        </is>
      </c>
      <c r="F13" s="4" t="inlineStr">
        <is>
          <t>Central</t>
        </is>
      </c>
      <c r="G13" s="4" t="inlineStr">
        <is>
          <t>WH06</t>
        </is>
      </c>
      <c r="H13" s="4" t="inlineStr">
        <is>
          <t>Ahmedabad DC</t>
        </is>
      </c>
      <c r="I13" s="4" t="inlineStr">
        <is>
          <t>West</t>
        </is>
      </c>
      <c r="J13" s="4" t="inlineStr">
        <is>
          <t>LOW</t>
        </is>
      </c>
      <c r="K13" s="11" t="n">
        <v>783</v>
      </c>
      <c r="L13" s="4" t="n">
        <v>0</v>
      </c>
      <c r="M13" s="11" t="n">
        <v>294408</v>
      </c>
      <c r="N13" s="11" t="n">
        <v>4698</v>
      </c>
      <c r="O13" s="11" t="n">
        <v>90045</v>
      </c>
      <c r="P13" s="11" t="n">
        <v>85347</v>
      </c>
    </row>
    <row r="14">
      <c r="A14" s="4" t="inlineStr">
        <is>
          <t>SKU082</t>
        </is>
      </c>
      <c r="B14" s="4" t="inlineStr">
        <is>
          <t>Phone Case</t>
        </is>
      </c>
      <c r="C14" s="4" t="inlineStr">
        <is>
          <t>Electronics Accessories</t>
        </is>
      </c>
      <c r="D14" s="4" t="inlineStr">
        <is>
          <t>WH04</t>
        </is>
      </c>
      <c r="E14" s="4" t="inlineStr">
        <is>
          <t>Bhiwandi DC</t>
        </is>
      </c>
      <c r="F14" s="4" t="inlineStr">
        <is>
          <t>West</t>
        </is>
      </c>
      <c r="G14" s="4" t="inlineStr">
        <is>
          <t>WH07</t>
        </is>
      </c>
      <c r="H14" s="4" t="inlineStr">
        <is>
          <t>Bengaluru DC</t>
        </is>
      </c>
      <c r="I14" s="4" t="inlineStr">
        <is>
          <t>South</t>
        </is>
      </c>
      <c r="J14" s="4" t="inlineStr">
        <is>
          <t>CRITICAL</t>
        </is>
      </c>
      <c r="K14" s="11" t="n">
        <v>449</v>
      </c>
      <c r="L14" s="4" t="n">
        <v>0</v>
      </c>
      <c r="M14" s="11" t="n">
        <v>298585</v>
      </c>
      <c r="N14" s="11" t="n">
        <v>2694</v>
      </c>
      <c r="O14" s="11" t="n">
        <v>76330</v>
      </c>
      <c r="P14" s="11" t="n">
        <v>73636</v>
      </c>
    </row>
    <row r="15">
      <c r="A15" s="4" t="inlineStr">
        <is>
          <t>SKU086</t>
        </is>
      </c>
      <c r="B15" s="4" t="inlineStr">
        <is>
          <t>AA Batteries 10pk</t>
        </is>
      </c>
      <c r="C15" s="4" t="inlineStr">
        <is>
          <t>Electronics Accessories</t>
        </is>
      </c>
      <c r="D15" s="4" t="inlineStr">
        <is>
          <t>WH01</t>
        </is>
      </c>
      <c r="E15" s="4" t="inlineStr">
        <is>
          <t>Gurugram DC</t>
        </is>
      </c>
      <c r="F15" s="4" t="inlineStr">
        <is>
          <t>North</t>
        </is>
      </c>
      <c r="G15" s="4" t="inlineStr">
        <is>
          <t>WH02</t>
        </is>
      </c>
      <c r="H15" s="4" t="inlineStr">
        <is>
          <t>Jaipur DC</t>
        </is>
      </c>
      <c r="I15" s="4" t="inlineStr">
        <is>
          <t>North</t>
        </is>
      </c>
      <c r="J15" s="4" t="inlineStr">
        <is>
          <t>LOW</t>
        </is>
      </c>
      <c r="K15" s="11" t="n">
        <v>177</v>
      </c>
      <c r="L15" s="4" t="n">
        <v>1</v>
      </c>
      <c r="M15" s="11" t="n">
        <v>236295</v>
      </c>
      <c r="N15" s="11" t="n">
        <v>443</v>
      </c>
      <c r="O15" s="11" t="n">
        <v>71685</v>
      </c>
      <c r="P15" s="11" t="n">
        <v>71243</v>
      </c>
    </row>
    <row r="16">
      <c r="A16" s="4" t="inlineStr">
        <is>
          <t>SKU089</t>
        </is>
      </c>
      <c r="B16" s="4" t="inlineStr">
        <is>
          <t>USB Keyboard</t>
        </is>
      </c>
      <c r="C16" s="4" t="inlineStr">
        <is>
          <t>Electronics Accessories</t>
        </is>
      </c>
      <c r="D16" s="4" t="inlineStr">
        <is>
          <t>WH01</t>
        </is>
      </c>
      <c r="E16" s="4" t="inlineStr">
        <is>
          <t>Gurugram DC</t>
        </is>
      </c>
      <c r="F16" s="4" t="inlineStr">
        <is>
          <t>North</t>
        </is>
      </c>
      <c r="G16" s="4" t="inlineStr">
        <is>
          <t>WH07</t>
        </is>
      </c>
      <c r="H16" s="4" t="inlineStr">
        <is>
          <t>Bengaluru DC</t>
        </is>
      </c>
      <c r="I16" s="4" t="inlineStr">
        <is>
          <t>South</t>
        </is>
      </c>
      <c r="J16" s="4" t="inlineStr">
        <is>
          <t>STOCKOUT</t>
        </is>
      </c>
      <c r="K16" s="11" t="n">
        <v>116</v>
      </c>
      <c r="L16" s="4" t="n">
        <v>0</v>
      </c>
      <c r="M16" s="11" t="n">
        <v>260884</v>
      </c>
      <c r="N16" s="11" t="n">
        <v>696</v>
      </c>
      <c r="O16" s="11" t="n">
        <v>65308</v>
      </c>
      <c r="P16" s="11" t="n">
        <v>64612</v>
      </c>
    </row>
    <row r="17">
      <c r="A17" s="4" t="inlineStr">
        <is>
          <t>SKU089</t>
        </is>
      </c>
      <c r="B17" s="4" t="inlineStr">
        <is>
          <t>USB Keyboard</t>
        </is>
      </c>
      <c r="C17" s="4" t="inlineStr">
        <is>
          <t>Electronics Accessories</t>
        </is>
      </c>
      <c r="D17" s="4" t="inlineStr">
        <is>
          <t>WH01</t>
        </is>
      </c>
      <c r="E17" s="4" t="inlineStr">
        <is>
          <t>Gurugram DC</t>
        </is>
      </c>
      <c r="F17" s="4" t="inlineStr">
        <is>
          <t>North</t>
        </is>
      </c>
      <c r="G17" s="4" t="inlineStr">
        <is>
          <t>WH12</t>
        </is>
      </c>
      <c r="H17" s="4" t="inlineStr">
        <is>
          <t>Nagpur DC</t>
        </is>
      </c>
      <c r="I17" s="4" t="inlineStr">
        <is>
          <t>Central</t>
        </is>
      </c>
      <c r="J17" s="4" t="inlineStr">
        <is>
          <t>LOW</t>
        </is>
      </c>
      <c r="K17" s="11" t="n">
        <v>115</v>
      </c>
      <c r="L17" s="4" t="n">
        <v>0</v>
      </c>
      <c r="M17" s="11" t="n">
        <v>258635</v>
      </c>
      <c r="N17" s="11" t="n">
        <v>690</v>
      </c>
      <c r="O17" s="11" t="n">
        <v>64745</v>
      </c>
      <c r="P17" s="11" t="n">
        <v>64055</v>
      </c>
    </row>
    <row r="18">
      <c r="A18" s="4" t="inlineStr">
        <is>
          <t>SKU034</t>
        </is>
      </c>
      <c r="B18" s="4" t="inlineStr">
        <is>
          <t>Cream Biscuits 120g</t>
        </is>
      </c>
      <c r="C18" s="4" t="inlineStr">
        <is>
          <t>Snacks &amp; Confectionery</t>
        </is>
      </c>
      <c r="D18" s="4" t="inlineStr">
        <is>
          <t>WH04</t>
        </is>
      </c>
      <c r="E18" s="4" t="inlineStr">
        <is>
          <t>Bhiwandi DC</t>
        </is>
      </c>
      <c r="F18" s="4" t="inlineStr">
        <is>
          <t>West</t>
        </is>
      </c>
      <c r="G18" s="4" t="inlineStr">
        <is>
          <t>WH06</t>
        </is>
      </c>
      <c r="H18" s="4" t="inlineStr">
        <is>
          <t>Ahmedabad DC</t>
        </is>
      </c>
      <c r="I18" s="4" t="inlineStr">
        <is>
          <t>West</t>
        </is>
      </c>
      <c r="J18" s="4" t="inlineStr">
        <is>
          <t>STOCKOUT</t>
        </is>
      </c>
      <c r="K18" s="11" t="n">
        <v>6616</v>
      </c>
      <c r="L18" s="4" t="n">
        <v>1</v>
      </c>
      <c r="M18" s="11" t="n">
        <v>403576</v>
      </c>
      <c r="N18" s="11" t="n">
        <v>16540</v>
      </c>
      <c r="O18" s="11" t="n">
        <v>79392</v>
      </c>
      <c r="P18" s="11" t="n">
        <v>62852</v>
      </c>
    </row>
    <row r="19">
      <c r="A19" s="4" t="inlineStr">
        <is>
          <t>SKU088</t>
        </is>
      </c>
      <c r="B19" s="4" t="inlineStr">
        <is>
          <t>Wireless Mouse</t>
        </is>
      </c>
      <c r="C19" s="4" t="inlineStr">
        <is>
          <t>Electronics Accessories</t>
        </is>
      </c>
      <c r="D19" s="4" t="inlineStr">
        <is>
          <t>WH01</t>
        </is>
      </c>
      <c r="E19" s="4" t="inlineStr">
        <is>
          <t>Gurugram DC</t>
        </is>
      </c>
      <c r="F19" s="4" t="inlineStr">
        <is>
          <t>North</t>
        </is>
      </c>
      <c r="G19" s="4" t="inlineStr">
        <is>
          <t>WH09</t>
        </is>
      </c>
      <c r="H19" s="4" t="inlineStr">
        <is>
          <t>Hyderabad DC</t>
        </is>
      </c>
      <c r="I19" s="4" t="inlineStr">
        <is>
          <t>South</t>
        </is>
      </c>
      <c r="J19" s="4" t="inlineStr">
        <is>
          <t>LOW</t>
        </is>
      </c>
      <c r="K19" s="11" t="n">
        <v>504</v>
      </c>
      <c r="L19" s="4" t="n">
        <v>0</v>
      </c>
      <c r="M19" s="11" t="n">
        <v>216216</v>
      </c>
      <c r="N19" s="11" t="n">
        <v>3024</v>
      </c>
      <c r="O19" s="11" t="n">
        <v>52920</v>
      </c>
      <c r="P19" s="11" t="n">
        <v>49896</v>
      </c>
    </row>
    <row r="20">
      <c r="A20" s="4" t="inlineStr">
        <is>
          <t>SKU082</t>
        </is>
      </c>
      <c r="B20" s="4" t="inlineStr">
        <is>
          <t>Phone Case</t>
        </is>
      </c>
      <c r="C20" s="4" t="inlineStr">
        <is>
          <t>Electronics Accessories</t>
        </is>
      </c>
      <c r="D20" s="4" t="inlineStr">
        <is>
          <t>WH04</t>
        </is>
      </c>
      <c r="E20" s="4" t="inlineStr">
        <is>
          <t>Bhiwandi DC</t>
        </is>
      </c>
      <c r="F20" s="4" t="inlineStr">
        <is>
          <t>West</t>
        </is>
      </c>
      <c r="G20" s="4" t="inlineStr">
        <is>
          <t>WH05</t>
        </is>
      </c>
      <c r="H20" s="4" t="inlineStr">
        <is>
          <t>Pune DC</t>
        </is>
      </c>
      <c r="I20" s="4" t="inlineStr">
        <is>
          <t>West</t>
        </is>
      </c>
      <c r="J20" s="4" t="inlineStr">
        <is>
          <t>CRITICAL</t>
        </is>
      </c>
      <c r="K20" s="11" t="n">
        <v>291</v>
      </c>
      <c r="L20" s="4" t="n">
        <v>1</v>
      </c>
      <c r="M20" s="11" t="n">
        <v>193515</v>
      </c>
      <c r="N20" s="11" t="n">
        <v>728</v>
      </c>
      <c r="O20" s="11" t="n">
        <v>49470</v>
      </c>
      <c r="P20" s="11" t="n">
        <v>48743</v>
      </c>
    </row>
    <row r="21">
      <c r="A21" s="4" t="inlineStr">
        <is>
          <t>SKU101</t>
        </is>
      </c>
      <c r="B21" s="4" t="inlineStr">
        <is>
          <t>Vitamin C 30s</t>
        </is>
      </c>
      <c r="C21" s="4" t="inlineStr">
        <is>
          <t>OTC Pharma &amp; Wellness</t>
        </is>
      </c>
      <c r="D21" s="4" t="inlineStr">
        <is>
          <t>WH01</t>
        </is>
      </c>
      <c r="E21" s="4" t="inlineStr">
        <is>
          <t>Gurugram DC</t>
        </is>
      </c>
      <c r="F21" s="4" t="inlineStr">
        <is>
          <t>North</t>
        </is>
      </c>
      <c r="G21" s="4" t="inlineStr">
        <is>
          <t>WH08</t>
        </is>
      </c>
      <c r="H21" s="4" t="inlineStr">
        <is>
          <t>Chennai DC</t>
        </is>
      </c>
      <c r="I21" s="4" t="inlineStr">
        <is>
          <t>South</t>
        </is>
      </c>
      <c r="J21" s="4" t="inlineStr">
        <is>
          <t>STOCKOUT</t>
        </is>
      </c>
      <c r="K21" s="11" t="n">
        <v>818</v>
      </c>
      <c r="L21" s="4" t="n">
        <v>0</v>
      </c>
      <c r="M21" s="11" t="n">
        <v>143968</v>
      </c>
      <c r="N21" s="11" t="n">
        <v>4908</v>
      </c>
      <c r="O21" s="11" t="n">
        <v>49898</v>
      </c>
      <c r="P21" s="11" t="n">
        <v>44990</v>
      </c>
    </row>
    <row r="22">
      <c r="A22" s="4" t="inlineStr">
        <is>
          <t>SKU078</t>
        </is>
      </c>
      <c r="B22" s="4" t="inlineStr">
        <is>
          <t>Power Bank 10000mAh</t>
        </is>
      </c>
      <c r="C22" s="4" t="inlineStr">
        <is>
          <t>Electronics Accessories</t>
        </is>
      </c>
      <c r="D22" s="4" t="inlineStr">
        <is>
          <t>WH04</t>
        </is>
      </c>
      <c r="E22" s="4" t="inlineStr">
        <is>
          <t>Bhiwandi DC</t>
        </is>
      </c>
      <c r="F22" s="4" t="inlineStr">
        <is>
          <t>West</t>
        </is>
      </c>
      <c r="G22" s="4" t="inlineStr">
        <is>
          <t>WH07</t>
        </is>
      </c>
      <c r="H22" s="4" t="inlineStr">
        <is>
          <t>Bengaluru DC</t>
        </is>
      </c>
      <c r="I22" s="4" t="inlineStr">
        <is>
          <t>South</t>
        </is>
      </c>
      <c r="J22" s="4" t="inlineStr">
        <is>
          <t>STOCKOUT</t>
        </is>
      </c>
      <c r="K22" s="11" t="n">
        <v>417</v>
      </c>
      <c r="L22" s="4" t="n">
        <v>0</v>
      </c>
      <c r="M22" s="11" t="n">
        <v>149703</v>
      </c>
      <c r="N22" s="11" t="n">
        <v>2502</v>
      </c>
      <c r="O22" s="11" t="n">
        <v>46704</v>
      </c>
      <c r="P22" s="11" t="n">
        <v>44202</v>
      </c>
    </row>
    <row r="23">
      <c r="A23" s="4" t="inlineStr">
        <is>
          <t>SKU081</t>
        </is>
      </c>
      <c r="B23" s="4" t="inlineStr">
        <is>
          <t>Bluetooth Speaker</t>
        </is>
      </c>
      <c r="C23" s="4" t="inlineStr">
        <is>
          <t>Electronics Accessories</t>
        </is>
      </c>
      <c r="D23" s="4" t="inlineStr">
        <is>
          <t>WH04</t>
        </is>
      </c>
      <c r="E23" s="4" t="inlineStr">
        <is>
          <t>Bhiwandi DC</t>
        </is>
      </c>
      <c r="F23" s="4" t="inlineStr">
        <is>
          <t>West</t>
        </is>
      </c>
      <c r="G23" s="4" t="inlineStr">
        <is>
          <t>WH05</t>
        </is>
      </c>
      <c r="H23" s="4" t="inlineStr">
        <is>
          <t>Pune DC</t>
        </is>
      </c>
      <c r="I23" s="4" t="inlineStr">
        <is>
          <t>West</t>
        </is>
      </c>
      <c r="J23" s="4" t="inlineStr">
        <is>
          <t>LOW</t>
        </is>
      </c>
      <c r="K23" s="11" t="n">
        <v>620</v>
      </c>
      <c r="L23" s="4" t="n">
        <v>1</v>
      </c>
      <c r="M23" s="11" t="n">
        <v>140740</v>
      </c>
      <c r="N23" s="11" t="n">
        <v>1550</v>
      </c>
      <c r="O23" s="11" t="n">
        <v>40920</v>
      </c>
      <c r="P23" s="11" t="n">
        <v>39370</v>
      </c>
    </row>
    <row r="24">
      <c r="A24" s="4" t="inlineStr">
        <is>
          <t>SKU078</t>
        </is>
      </c>
      <c r="B24" s="4" t="inlineStr">
        <is>
          <t>Power Bank 10000mAh</t>
        </is>
      </c>
      <c r="C24" s="4" t="inlineStr">
        <is>
          <t>Electronics Accessories</t>
        </is>
      </c>
      <c r="D24" s="4" t="inlineStr">
        <is>
          <t>WH04</t>
        </is>
      </c>
      <c r="E24" s="4" t="inlineStr">
        <is>
          <t>Bhiwandi DC</t>
        </is>
      </c>
      <c r="F24" s="4" t="inlineStr">
        <is>
          <t>West</t>
        </is>
      </c>
      <c r="G24" s="4" t="inlineStr">
        <is>
          <t>WH08</t>
        </is>
      </c>
      <c r="H24" s="4" t="inlineStr">
        <is>
          <t>Chennai DC</t>
        </is>
      </c>
      <c r="I24" s="4" t="inlineStr">
        <is>
          <t>South</t>
        </is>
      </c>
      <c r="J24" s="4" t="inlineStr">
        <is>
          <t>STOCKOUT</t>
        </is>
      </c>
      <c r="K24" s="11" t="n">
        <v>371</v>
      </c>
      <c r="L24" s="4" t="n">
        <v>0</v>
      </c>
      <c r="M24" s="11" t="n">
        <v>133189</v>
      </c>
      <c r="N24" s="11" t="n">
        <v>2226</v>
      </c>
      <c r="O24" s="11" t="n">
        <v>41552</v>
      </c>
      <c r="P24" s="11" t="n">
        <v>39326</v>
      </c>
    </row>
    <row r="25">
      <c r="A25" s="4" t="inlineStr">
        <is>
          <t>SKU070</t>
        </is>
      </c>
      <c r="B25" s="4" t="inlineStr">
        <is>
          <t>Scrub Pad 3pk</t>
        </is>
      </c>
      <c r="C25" s="4" t="inlineStr">
        <is>
          <t>Home Care</t>
        </is>
      </c>
      <c r="D25" s="4" t="inlineStr">
        <is>
          <t>WH04</t>
        </is>
      </c>
      <c r="E25" s="4" t="inlineStr">
        <is>
          <t>Bhiwandi DC</t>
        </is>
      </c>
      <c r="F25" s="4" t="inlineStr">
        <is>
          <t>West</t>
        </is>
      </c>
      <c r="G25" s="4" t="inlineStr">
        <is>
          <t>WH07</t>
        </is>
      </c>
      <c r="H25" s="4" t="inlineStr">
        <is>
          <t>Bengaluru DC</t>
        </is>
      </c>
      <c r="I25" s="4" t="inlineStr">
        <is>
          <t>South</t>
        </is>
      </c>
      <c r="J25" s="4" t="inlineStr">
        <is>
          <t>LOW</t>
        </is>
      </c>
      <c r="K25" s="11" t="n">
        <v>1477</v>
      </c>
      <c r="L25" s="4" t="n">
        <v>0</v>
      </c>
      <c r="M25" s="11" t="n">
        <v>178717</v>
      </c>
      <c r="N25" s="11" t="n">
        <v>8862</v>
      </c>
      <c r="O25" s="11" t="n">
        <v>47264</v>
      </c>
      <c r="P25" s="11" t="n">
        <v>38402</v>
      </c>
    </row>
    <row r="26">
      <c r="A26" s="4" t="inlineStr">
        <is>
          <t>SKU081</t>
        </is>
      </c>
      <c r="B26" s="4" t="inlineStr">
        <is>
          <t>Bluetooth Speaker</t>
        </is>
      </c>
      <c r="C26" s="4" t="inlineStr">
        <is>
          <t>Electronics Accessories</t>
        </is>
      </c>
      <c r="D26" s="4" t="inlineStr">
        <is>
          <t>WH04</t>
        </is>
      </c>
      <c r="E26" s="4" t="inlineStr">
        <is>
          <t>Bhiwandi DC</t>
        </is>
      </c>
      <c r="F26" s="4" t="inlineStr">
        <is>
          <t>West</t>
        </is>
      </c>
      <c r="G26" s="4" t="inlineStr">
        <is>
          <t>WH07</t>
        </is>
      </c>
      <c r="H26" s="4" t="inlineStr">
        <is>
          <t>Bengaluru DC</t>
        </is>
      </c>
      <c r="I26" s="4" t="inlineStr">
        <is>
          <t>South</t>
        </is>
      </c>
      <c r="J26" s="4" t="inlineStr">
        <is>
          <t>LOW</t>
        </is>
      </c>
      <c r="K26" s="11" t="n">
        <v>637</v>
      </c>
      <c r="L26" s="4" t="n">
        <v>0</v>
      </c>
      <c r="M26" s="11" t="n">
        <v>144599</v>
      </c>
      <c r="N26" s="11" t="n">
        <v>3822</v>
      </c>
      <c r="O26" s="11" t="n">
        <v>42042</v>
      </c>
      <c r="P26" s="11" t="n">
        <v>38220</v>
      </c>
    </row>
    <row r="27">
      <c r="A27" s="4" t="inlineStr">
        <is>
          <t>SKU078</t>
        </is>
      </c>
      <c r="B27" s="4" t="inlineStr">
        <is>
          <t>Power Bank 10000mAh</t>
        </is>
      </c>
      <c r="C27" s="4" t="inlineStr">
        <is>
          <t>Electronics Accessories</t>
        </is>
      </c>
      <c r="D27" s="4" t="inlineStr">
        <is>
          <t>WH04</t>
        </is>
      </c>
      <c r="E27" s="4" t="inlineStr">
        <is>
          <t>Bhiwandi DC</t>
        </is>
      </c>
      <c r="F27" s="4" t="inlineStr">
        <is>
          <t>West</t>
        </is>
      </c>
      <c r="G27" s="4" t="inlineStr">
        <is>
          <t>WH06</t>
        </is>
      </c>
      <c r="H27" s="4" t="inlineStr">
        <is>
          <t>Ahmedabad DC</t>
        </is>
      </c>
      <c r="I27" s="4" t="inlineStr">
        <is>
          <t>West</t>
        </is>
      </c>
      <c r="J27" s="4" t="inlineStr">
        <is>
          <t>STOCKOUT</t>
        </is>
      </c>
      <c r="K27" s="11" t="n">
        <v>340</v>
      </c>
      <c r="L27" s="4" t="n">
        <v>1</v>
      </c>
      <c r="M27" s="11" t="n">
        <v>122060</v>
      </c>
      <c r="N27" s="11" t="n">
        <v>850</v>
      </c>
      <c r="O27" s="11" t="n">
        <v>38080</v>
      </c>
      <c r="P27" s="11" t="n">
        <v>37230</v>
      </c>
    </row>
    <row r="28">
      <c r="A28" s="4" t="inlineStr">
        <is>
          <t>SKU118</t>
        </is>
      </c>
      <c r="B28" s="4" t="inlineStr">
        <is>
          <t>Thermal Paper Roll 20pk</t>
        </is>
      </c>
      <c r="C28" s="4" t="inlineStr">
        <is>
          <t>Packaging &amp; Supplies</t>
        </is>
      </c>
      <c r="D28" s="4" t="inlineStr">
        <is>
          <t>WH04</t>
        </is>
      </c>
      <c r="E28" s="4" t="inlineStr">
        <is>
          <t>Bhiwandi DC</t>
        </is>
      </c>
      <c r="F28" s="4" t="inlineStr">
        <is>
          <t>West</t>
        </is>
      </c>
      <c r="G28" s="4" t="inlineStr">
        <is>
          <t>WH10</t>
        </is>
      </c>
      <c r="H28" s="4" t="inlineStr">
        <is>
          <t>Kolkata DC</t>
        </is>
      </c>
      <c r="I28" s="4" t="inlineStr">
        <is>
          <t>East</t>
        </is>
      </c>
      <c r="J28" s="4" t="inlineStr">
        <is>
          <t>STOCKOUT</t>
        </is>
      </c>
      <c r="K28" s="11" t="n">
        <v>1192</v>
      </c>
      <c r="L28" s="4" t="n">
        <v>0</v>
      </c>
      <c r="M28" s="11" t="n">
        <v>215752</v>
      </c>
      <c r="N28" s="11" t="n">
        <v>7152</v>
      </c>
      <c r="O28" s="11" t="n">
        <v>44104</v>
      </c>
      <c r="P28" s="11" t="n">
        <v>36952</v>
      </c>
    </row>
    <row r="29">
      <c r="A29" s="4" t="inlineStr">
        <is>
          <t>SKU111</t>
        </is>
      </c>
      <c r="B29" s="4" t="inlineStr">
        <is>
          <t>Shipping Labels 1000</t>
        </is>
      </c>
      <c r="C29" s="4" t="inlineStr">
        <is>
          <t>Packaging &amp; Supplies</t>
        </is>
      </c>
      <c r="D29" s="4" t="inlineStr">
        <is>
          <t>WH04</t>
        </is>
      </c>
      <c r="E29" s="4" t="inlineStr">
        <is>
          <t>Bhiwandi DC</t>
        </is>
      </c>
      <c r="F29" s="4" t="inlineStr">
        <is>
          <t>West</t>
        </is>
      </c>
      <c r="G29" s="4" t="inlineStr">
        <is>
          <t>WH09</t>
        </is>
      </c>
      <c r="H29" s="4" t="inlineStr">
        <is>
          <t>Hyderabad DC</t>
        </is>
      </c>
      <c r="I29" s="4" t="inlineStr">
        <is>
          <t>South</t>
        </is>
      </c>
      <c r="J29" s="4" t="inlineStr">
        <is>
          <t>LOW</t>
        </is>
      </c>
      <c r="K29" s="11" t="n">
        <v>311</v>
      </c>
      <c r="L29" s="4" t="n">
        <v>0</v>
      </c>
      <c r="M29" s="11" t="n">
        <v>191887</v>
      </c>
      <c r="N29" s="11" t="n">
        <v>1866</v>
      </c>
      <c r="O29" s="11" t="n">
        <v>38564</v>
      </c>
      <c r="P29" s="11" t="n">
        <v>36698</v>
      </c>
    </row>
    <row r="30">
      <c r="A30" s="4" t="inlineStr">
        <is>
          <t>SKU118</t>
        </is>
      </c>
      <c r="B30" s="4" t="inlineStr">
        <is>
          <t>Thermal Paper Roll 20pk</t>
        </is>
      </c>
      <c r="C30" s="4" t="inlineStr">
        <is>
          <t>Packaging &amp; Supplies</t>
        </is>
      </c>
      <c r="D30" s="4" t="inlineStr">
        <is>
          <t>WH04</t>
        </is>
      </c>
      <c r="E30" s="4" t="inlineStr">
        <is>
          <t>Bhiwandi DC</t>
        </is>
      </c>
      <c r="F30" s="4" t="inlineStr">
        <is>
          <t>West</t>
        </is>
      </c>
      <c r="G30" s="4" t="inlineStr">
        <is>
          <t>WH08</t>
        </is>
      </c>
      <c r="H30" s="4" t="inlineStr">
        <is>
          <t>Chennai DC</t>
        </is>
      </c>
      <c r="I30" s="4" t="inlineStr">
        <is>
          <t>South</t>
        </is>
      </c>
      <c r="J30" s="4" t="inlineStr">
        <is>
          <t>STOCKOUT</t>
        </is>
      </c>
      <c r="K30" s="11" t="n">
        <v>1109</v>
      </c>
      <c r="L30" s="4" t="n">
        <v>0</v>
      </c>
      <c r="M30" s="11" t="n">
        <v>200729</v>
      </c>
      <c r="N30" s="11" t="n">
        <v>6654</v>
      </c>
      <c r="O30" s="11" t="n">
        <v>41033</v>
      </c>
      <c r="P30" s="11" t="n">
        <v>34379</v>
      </c>
    </row>
    <row r="31">
      <c r="A31" s="4" t="inlineStr">
        <is>
          <t>SKU111</t>
        </is>
      </c>
      <c r="B31" s="4" t="inlineStr">
        <is>
          <t>Shipping Labels 1000</t>
        </is>
      </c>
      <c r="C31" s="4" t="inlineStr">
        <is>
          <t>Packaging &amp; Supplies</t>
        </is>
      </c>
      <c r="D31" s="4" t="inlineStr">
        <is>
          <t>WH04</t>
        </is>
      </c>
      <c r="E31" s="4" t="inlineStr">
        <is>
          <t>Bhiwandi DC</t>
        </is>
      </c>
      <c r="F31" s="4" t="inlineStr">
        <is>
          <t>West</t>
        </is>
      </c>
      <c r="G31" s="4" t="inlineStr">
        <is>
          <t>WH03</t>
        </is>
      </c>
      <c r="H31" s="4" t="inlineStr">
        <is>
          <t>Lucknow DC</t>
        </is>
      </c>
      <c r="I31" s="4" t="inlineStr">
        <is>
          <t>North</t>
        </is>
      </c>
      <c r="J31" s="4" t="inlineStr">
        <is>
          <t>LOW</t>
        </is>
      </c>
      <c r="K31" s="11" t="n">
        <v>280</v>
      </c>
      <c r="L31" s="4" t="n">
        <v>0</v>
      </c>
      <c r="M31" s="11" t="n">
        <v>172760</v>
      </c>
      <c r="N31" s="11" t="n">
        <v>1680</v>
      </c>
      <c r="O31" s="11" t="n">
        <v>34720</v>
      </c>
      <c r="P31" s="11" t="n">
        <v>33040</v>
      </c>
    </row>
    <row r="32">
      <c r="A32" s="4" t="inlineStr">
        <is>
          <t>SKU040</t>
        </is>
      </c>
      <c r="B32" s="4" t="inlineStr">
        <is>
          <t>Wafers 75g</t>
        </is>
      </c>
      <c r="C32" s="4" t="inlineStr">
        <is>
          <t>Snacks &amp; Confectionery</t>
        </is>
      </c>
      <c r="D32" s="4" t="inlineStr">
        <is>
          <t>WH04</t>
        </is>
      </c>
      <c r="E32" s="4" t="inlineStr">
        <is>
          <t>Bhiwandi DC</t>
        </is>
      </c>
      <c r="F32" s="4" t="inlineStr">
        <is>
          <t>West</t>
        </is>
      </c>
      <c r="G32" s="4" t="inlineStr">
        <is>
          <t>WH06</t>
        </is>
      </c>
      <c r="H32" s="4" t="inlineStr">
        <is>
          <t>Ahmedabad DC</t>
        </is>
      </c>
      <c r="I32" s="4" t="inlineStr">
        <is>
          <t>West</t>
        </is>
      </c>
      <c r="J32" s="4" t="inlineStr">
        <is>
          <t>CRITICAL</t>
        </is>
      </c>
      <c r="K32" s="11" t="n">
        <v>1815</v>
      </c>
      <c r="L32" s="4" t="n">
        <v>1</v>
      </c>
      <c r="M32" s="11" t="n">
        <v>163350</v>
      </c>
      <c r="N32" s="11" t="n">
        <v>4538</v>
      </c>
      <c r="O32" s="11" t="n">
        <v>34485</v>
      </c>
      <c r="P32" s="11" t="n">
        <v>29948</v>
      </c>
    </row>
    <row r="33">
      <c r="A33" s="4" t="inlineStr">
        <is>
          <t>SKU118</t>
        </is>
      </c>
      <c r="B33" s="4" t="inlineStr">
        <is>
          <t>Thermal Paper Roll 20pk</t>
        </is>
      </c>
      <c r="C33" s="4" t="inlineStr">
        <is>
          <t>Packaging &amp; Supplies</t>
        </is>
      </c>
      <c r="D33" s="4" t="inlineStr">
        <is>
          <t>WH04</t>
        </is>
      </c>
      <c r="E33" s="4" t="inlineStr">
        <is>
          <t>Bhiwandi DC</t>
        </is>
      </c>
      <c r="F33" s="4" t="inlineStr">
        <is>
          <t>West</t>
        </is>
      </c>
      <c r="G33" s="4" t="inlineStr">
        <is>
          <t>WH07</t>
        </is>
      </c>
      <c r="H33" s="4" t="inlineStr">
        <is>
          <t>Bengaluru DC</t>
        </is>
      </c>
      <c r="I33" s="4" t="inlineStr">
        <is>
          <t>South</t>
        </is>
      </c>
      <c r="J33" s="4" t="inlineStr">
        <is>
          <t>CRITICAL</t>
        </is>
      </c>
      <c r="K33" s="11" t="n">
        <v>958</v>
      </c>
      <c r="L33" s="4" t="n">
        <v>0</v>
      </c>
      <c r="M33" s="11" t="n">
        <v>173398</v>
      </c>
      <c r="N33" s="11" t="n">
        <v>5748</v>
      </c>
      <c r="O33" s="11" t="n">
        <v>35446</v>
      </c>
      <c r="P33" s="11" t="n">
        <v>29698</v>
      </c>
    </row>
    <row r="34">
      <c r="A34" s="4" t="inlineStr">
        <is>
          <t>SKU081</t>
        </is>
      </c>
      <c r="B34" s="4" t="inlineStr">
        <is>
          <t>Bluetooth Speaker</t>
        </is>
      </c>
      <c r="C34" s="4" t="inlineStr">
        <is>
          <t>Electronics Accessories</t>
        </is>
      </c>
      <c r="D34" s="4" t="inlineStr">
        <is>
          <t>WH04</t>
        </is>
      </c>
      <c r="E34" s="4" t="inlineStr">
        <is>
          <t>Bhiwandi DC</t>
        </is>
      </c>
      <c r="F34" s="4" t="inlineStr">
        <is>
          <t>West</t>
        </is>
      </c>
      <c r="G34" s="4" t="inlineStr">
        <is>
          <t>WH09</t>
        </is>
      </c>
      <c r="H34" s="4" t="inlineStr">
        <is>
          <t>Hyderabad DC</t>
        </is>
      </c>
      <c r="I34" s="4" t="inlineStr">
        <is>
          <t>South</t>
        </is>
      </c>
      <c r="J34" s="4" t="inlineStr">
        <is>
          <t>STOCKOUT</t>
        </is>
      </c>
      <c r="K34" s="11" t="n">
        <v>483</v>
      </c>
      <c r="L34" s="4" t="n">
        <v>0</v>
      </c>
      <c r="M34" s="11" t="n">
        <v>109641</v>
      </c>
      <c r="N34" s="11" t="n">
        <v>2898</v>
      </c>
      <c r="O34" s="11" t="n">
        <v>31878</v>
      </c>
      <c r="P34" s="11" t="n">
        <v>28980</v>
      </c>
    </row>
    <row r="35">
      <c r="A35" s="4" t="inlineStr">
        <is>
          <t>SKU081</t>
        </is>
      </c>
      <c r="B35" s="4" t="inlineStr">
        <is>
          <t>Bluetooth Speaker</t>
        </is>
      </c>
      <c r="C35" s="4" t="inlineStr">
        <is>
          <t>Electronics Accessories</t>
        </is>
      </c>
      <c r="D35" s="4" t="inlineStr">
        <is>
          <t>WH04</t>
        </is>
      </c>
      <c r="E35" s="4" t="inlineStr">
        <is>
          <t>Bhiwandi DC</t>
        </is>
      </c>
      <c r="F35" s="4" t="inlineStr">
        <is>
          <t>West</t>
        </is>
      </c>
      <c r="G35" s="4" t="inlineStr">
        <is>
          <t>WH08</t>
        </is>
      </c>
      <c r="H35" s="4" t="inlineStr">
        <is>
          <t>Chennai DC</t>
        </is>
      </c>
      <c r="I35" s="4" t="inlineStr">
        <is>
          <t>South</t>
        </is>
      </c>
      <c r="J35" s="4" t="inlineStr">
        <is>
          <t>CRITICAL</t>
        </is>
      </c>
      <c r="K35" s="11" t="n">
        <v>482</v>
      </c>
      <c r="L35" s="4" t="n">
        <v>0</v>
      </c>
      <c r="M35" s="11" t="n">
        <v>109414</v>
      </c>
      <c r="N35" s="11" t="n">
        <v>2892</v>
      </c>
      <c r="O35" s="11" t="n">
        <v>31812</v>
      </c>
      <c r="P35" s="11" t="n">
        <v>28920</v>
      </c>
    </row>
    <row r="36">
      <c r="A36" s="4" t="inlineStr">
        <is>
          <t>SKU082</t>
        </is>
      </c>
      <c r="B36" s="4" t="inlineStr">
        <is>
          <t>Phone Case</t>
        </is>
      </c>
      <c r="C36" s="4" t="inlineStr">
        <is>
          <t>Electronics Accessories</t>
        </is>
      </c>
      <c r="D36" s="4" t="inlineStr">
        <is>
          <t>WH04</t>
        </is>
      </c>
      <c r="E36" s="4" t="inlineStr">
        <is>
          <t>Bhiwandi DC</t>
        </is>
      </c>
      <c r="F36" s="4" t="inlineStr">
        <is>
          <t>West</t>
        </is>
      </c>
      <c r="G36" s="4" t="inlineStr">
        <is>
          <t>WH03</t>
        </is>
      </c>
      <c r="H36" s="4" t="inlineStr">
        <is>
          <t>Lucknow DC</t>
        </is>
      </c>
      <c r="I36" s="4" t="inlineStr">
        <is>
          <t>North</t>
        </is>
      </c>
      <c r="J36" s="4" t="inlineStr">
        <is>
          <t>STOCKOUT</t>
        </is>
      </c>
      <c r="K36" s="11" t="n">
        <v>176</v>
      </c>
      <c r="L36" s="4" t="n">
        <v>0</v>
      </c>
      <c r="M36" s="11" t="n">
        <v>117040</v>
      </c>
      <c r="N36" s="11" t="n">
        <v>1056</v>
      </c>
      <c r="O36" s="11" t="n">
        <v>29920</v>
      </c>
      <c r="P36" s="11" t="n">
        <v>28864</v>
      </c>
    </row>
    <row r="37">
      <c r="A37" s="4" t="inlineStr">
        <is>
          <t>SKU037</t>
        </is>
      </c>
      <c r="B37" s="4" t="inlineStr">
        <is>
          <t>Popcorn 60g</t>
        </is>
      </c>
      <c r="C37" s="4" t="inlineStr">
        <is>
          <t>Snacks &amp; Confectionery</t>
        </is>
      </c>
      <c r="D37" s="4" t="inlineStr">
        <is>
          <t>WH04</t>
        </is>
      </c>
      <c r="E37" s="4" t="inlineStr">
        <is>
          <t>Bhiwandi DC</t>
        </is>
      </c>
      <c r="F37" s="4" t="inlineStr">
        <is>
          <t>West</t>
        </is>
      </c>
      <c r="G37" s="4" t="inlineStr">
        <is>
          <t>WH07</t>
        </is>
      </c>
      <c r="H37" s="4" t="inlineStr">
        <is>
          <t>Bengaluru DC</t>
        </is>
      </c>
      <c r="I37" s="4" t="inlineStr">
        <is>
          <t>South</t>
        </is>
      </c>
      <c r="J37" s="4" t="inlineStr">
        <is>
          <t>LOW</t>
        </is>
      </c>
      <c r="K37" s="11" t="n">
        <v>1396</v>
      </c>
      <c r="L37" s="4" t="n">
        <v>0</v>
      </c>
      <c r="M37" s="11" t="n">
        <v>191252</v>
      </c>
      <c r="N37" s="11" t="n">
        <v>8376</v>
      </c>
      <c r="O37" s="11" t="n">
        <v>36296</v>
      </c>
      <c r="P37" s="11" t="n">
        <v>27920</v>
      </c>
    </row>
    <row r="38">
      <c r="A38" s="4" t="inlineStr">
        <is>
          <t>SKU094</t>
        </is>
      </c>
      <c r="B38" s="4" t="inlineStr">
        <is>
          <t>Cough Syrup 100ml</t>
        </is>
      </c>
      <c r="C38" s="4" t="inlineStr">
        <is>
          <t>OTC Pharma &amp; Wellness</t>
        </is>
      </c>
      <c r="D38" s="4" t="inlineStr">
        <is>
          <t>WH01</t>
        </is>
      </c>
      <c r="E38" s="4" t="inlineStr">
        <is>
          <t>Gurugram DC</t>
        </is>
      </c>
      <c r="F38" s="4" t="inlineStr">
        <is>
          <t>North</t>
        </is>
      </c>
      <c r="G38" s="4" t="inlineStr">
        <is>
          <t>WH09</t>
        </is>
      </c>
      <c r="H38" s="4" t="inlineStr">
        <is>
          <t>Hyderabad DC</t>
        </is>
      </c>
      <c r="I38" s="4" t="inlineStr">
        <is>
          <t>South</t>
        </is>
      </c>
      <c r="J38" s="4" t="inlineStr">
        <is>
          <t>LOW</t>
        </is>
      </c>
      <c r="K38" s="11" t="n">
        <v>449</v>
      </c>
      <c r="L38" s="4" t="n">
        <v>0</v>
      </c>
      <c r="M38" s="11" t="n">
        <v>85310</v>
      </c>
      <c r="N38" s="11" t="n">
        <v>2694</v>
      </c>
      <c r="O38" s="11" t="n">
        <v>28736</v>
      </c>
      <c r="P38" s="11" t="n">
        <v>26042</v>
      </c>
    </row>
    <row r="39">
      <c r="A39" s="4" t="inlineStr">
        <is>
          <t>SKU105</t>
        </is>
      </c>
      <c r="B39" s="4" t="inlineStr">
        <is>
          <t>Face Masks 50pk</t>
        </is>
      </c>
      <c r="C39" s="4" t="inlineStr">
        <is>
          <t>OTC Pharma &amp; Wellness</t>
        </is>
      </c>
      <c r="D39" s="4" t="inlineStr">
        <is>
          <t>WH04</t>
        </is>
      </c>
      <c r="E39" s="4" t="inlineStr">
        <is>
          <t>Bhiwandi DC</t>
        </is>
      </c>
      <c r="F39" s="4" t="inlineStr">
        <is>
          <t>West</t>
        </is>
      </c>
      <c r="G39" s="4" t="inlineStr">
        <is>
          <t>WH10</t>
        </is>
      </c>
      <c r="H39" s="4" t="inlineStr">
        <is>
          <t>Kolkata DC</t>
        </is>
      </c>
      <c r="I39" s="4" t="inlineStr">
        <is>
          <t>East</t>
        </is>
      </c>
      <c r="J39" s="4" t="inlineStr">
        <is>
          <t>STOCKOUT</t>
        </is>
      </c>
      <c r="K39" s="11" t="n">
        <v>1095</v>
      </c>
      <c r="L39" s="4" t="n">
        <v>0</v>
      </c>
      <c r="M39" s="11" t="n">
        <v>100740</v>
      </c>
      <c r="N39" s="11" t="n">
        <v>6570</v>
      </c>
      <c r="O39" s="11" t="n">
        <v>31755</v>
      </c>
      <c r="P39" s="11" t="n">
        <v>25185</v>
      </c>
    </row>
    <row r="40">
      <c r="A40" s="4" t="inlineStr">
        <is>
          <t>SKU037</t>
        </is>
      </c>
      <c r="B40" s="4" t="inlineStr">
        <is>
          <t>Popcorn 60g</t>
        </is>
      </c>
      <c r="C40" s="4" t="inlineStr">
        <is>
          <t>Snacks &amp; Confectionery</t>
        </is>
      </c>
      <c r="D40" s="4" t="inlineStr">
        <is>
          <t>WH04</t>
        </is>
      </c>
      <c r="E40" s="4" t="inlineStr">
        <is>
          <t>Bhiwandi DC</t>
        </is>
      </c>
      <c r="F40" s="4" t="inlineStr">
        <is>
          <t>West</t>
        </is>
      </c>
      <c r="G40" s="4" t="inlineStr">
        <is>
          <t>WH10</t>
        </is>
      </c>
      <c r="H40" s="4" t="inlineStr">
        <is>
          <t>Kolkata DC</t>
        </is>
      </c>
      <c r="I40" s="4" t="inlineStr">
        <is>
          <t>East</t>
        </is>
      </c>
      <c r="J40" s="4" t="inlineStr">
        <is>
          <t>LOW</t>
        </is>
      </c>
      <c r="K40" s="11" t="n">
        <v>1224</v>
      </c>
      <c r="L40" s="4" t="n">
        <v>0</v>
      </c>
      <c r="M40" s="11" t="n">
        <v>167688</v>
      </c>
      <c r="N40" s="11" t="n">
        <v>7344</v>
      </c>
      <c r="O40" s="11" t="n">
        <v>31824</v>
      </c>
      <c r="P40" s="11" t="n">
        <v>24480</v>
      </c>
    </row>
    <row r="41">
      <c r="A41" s="4" t="inlineStr">
        <is>
          <t>SKU018</t>
        </is>
      </c>
      <c r="B41" s="4" t="inlineStr">
        <is>
          <t>Mango Drink 1L</t>
        </is>
      </c>
      <c r="C41" s="4" t="inlineStr">
        <is>
          <t>Beverages</t>
        </is>
      </c>
      <c r="D41" s="4" t="inlineStr">
        <is>
          <t>WH02</t>
        </is>
      </c>
      <c r="E41" s="4" t="inlineStr">
        <is>
          <t>Jaipur DC</t>
        </is>
      </c>
      <c r="F41" s="4" t="inlineStr">
        <is>
          <t>North</t>
        </is>
      </c>
      <c r="G41" s="4" t="inlineStr">
        <is>
          <t>WH08</t>
        </is>
      </c>
      <c r="H41" s="4" t="inlineStr">
        <is>
          <t>Chennai DC</t>
        </is>
      </c>
      <c r="I41" s="4" t="inlineStr">
        <is>
          <t>South</t>
        </is>
      </c>
      <c r="J41" s="4" t="inlineStr">
        <is>
          <t>LOW</t>
        </is>
      </c>
      <c r="K41" s="11" t="n">
        <v>2372</v>
      </c>
      <c r="L41" s="4" t="n">
        <v>0</v>
      </c>
      <c r="M41" s="11" t="n">
        <v>239572</v>
      </c>
      <c r="N41" s="11" t="n">
        <v>14232</v>
      </c>
      <c r="O41" s="11" t="n">
        <v>37952</v>
      </c>
      <c r="P41" s="11" t="n">
        <v>23720</v>
      </c>
    </row>
    <row r="42">
      <c r="A42" s="4" t="inlineStr">
        <is>
          <t>SKU052</t>
        </is>
      </c>
      <c r="B42" s="4" t="inlineStr">
        <is>
          <t>Deodorant 150ml</t>
        </is>
      </c>
      <c r="C42" s="4" t="inlineStr">
        <is>
          <t>Personal Care</t>
        </is>
      </c>
      <c r="D42" s="4" t="inlineStr">
        <is>
          <t>WH01</t>
        </is>
      </c>
      <c r="E42" s="4" t="inlineStr">
        <is>
          <t>Gurugram DC</t>
        </is>
      </c>
      <c r="F42" s="4" t="inlineStr">
        <is>
          <t>North</t>
        </is>
      </c>
      <c r="G42" s="4" t="inlineStr">
        <is>
          <t>WH09</t>
        </is>
      </c>
      <c r="H42" s="4" t="inlineStr">
        <is>
          <t>Hyderabad DC</t>
        </is>
      </c>
      <c r="I42" s="4" t="inlineStr">
        <is>
          <t>South</t>
        </is>
      </c>
      <c r="J42" s="4" t="inlineStr">
        <is>
          <t>LOW</t>
        </is>
      </c>
      <c r="K42" s="11" t="n">
        <v>576</v>
      </c>
      <c r="L42" s="4" t="n">
        <v>0</v>
      </c>
      <c r="M42" s="11" t="n">
        <v>76608</v>
      </c>
      <c r="N42" s="11" t="n">
        <v>3456</v>
      </c>
      <c r="O42" s="11" t="n">
        <v>26496</v>
      </c>
      <c r="P42" s="11" t="n">
        <v>23040</v>
      </c>
    </row>
    <row r="43">
      <c r="A43" s="4" t="inlineStr">
        <is>
          <t>SKU070</t>
        </is>
      </c>
      <c r="B43" s="4" t="inlineStr">
        <is>
          <t>Scrub Pad 3pk</t>
        </is>
      </c>
      <c r="C43" s="4" t="inlineStr">
        <is>
          <t>Home Care</t>
        </is>
      </c>
      <c r="D43" s="4" t="inlineStr">
        <is>
          <t>WH04</t>
        </is>
      </c>
      <c r="E43" s="4" t="inlineStr">
        <is>
          <t>Bhiwandi DC</t>
        </is>
      </c>
      <c r="F43" s="4" t="inlineStr">
        <is>
          <t>West</t>
        </is>
      </c>
      <c r="G43" s="4" t="inlineStr">
        <is>
          <t>WH08</t>
        </is>
      </c>
      <c r="H43" s="4" t="inlineStr">
        <is>
          <t>Chennai DC</t>
        </is>
      </c>
      <c r="I43" s="4" t="inlineStr">
        <is>
          <t>South</t>
        </is>
      </c>
      <c r="J43" s="4" t="inlineStr">
        <is>
          <t>LOW</t>
        </is>
      </c>
      <c r="K43" s="11" t="n">
        <v>826</v>
      </c>
      <c r="L43" s="4" t="n">
        <v>0</v>
      </c>
      <c r="M43" s="11" t="n">
        <v>99946</v>
      </c>
      <c r="N43" s="11" t="n">
        <v>4956</v>
      </c>
      <c r="O43" s="11" t="n">
        <v>26432</v>
      </c>
      <c r="P43" s="11" t="n">
        <v>21476</v>
      </c>
    </row>
    <row r="44">
      <c r="A44" s="4" t="inlineStr">
        <is>
          <t>SKU088</t>
        </is>
      </c>
      <c r="B44" s="4" t="inlineStr">
        <is>
          <t>Wireless Mouse</t>
        </is>
      </c>
      <c r="C44" s="4" t="inlineStr">
        <is>
          <t>Electronics Accessories</t>
        </is>
      </c>
      <c r="D44" s="4" t="inlineStr">
        <is>
          <t>WH01</t>
        </is>
      </c>
      <c r="E44" s="4" t="inlineStr">
        <is>
          <t>Gurugram DC</t>
        </is>
      </c>
      <c r="F44" s="4" t="inlineStr">
        <is>
          <t>North</t>
        </is>
      </c>
      <c r="G44" s="4" t="inlineStr">
        <is>
          <t>WH08</t>
        </is>
      </c>
      <c r="H44" s="4" t="inlineStr">
        <is>
          <t>Chennai DC</t>
        </is>
      </c>
      <c r="I44" s="4" t="inlineStr">
        <is>
          <t>South</t>
        </is>
      </c>
      <c r="J44" s="4" t="inlineStr">
        <is>
          <t>LOW</t>
        </is>
      </c>
      <c r="K44" s="11" t="n">
        <v>216</v>
      </c>
      <c r="L44" s="4" t="n">
        <v>0</v>
      </c>
      <c r="M44" s="11" t="n">
        <v>92664</v>
      </c>
      <c r="N44" s="11" t="n">
        <v>1296</v>
      </c>
      <c r="O44" s="11" t="n">
        <v>22680</v>
      </c>
      <c r="P44" s="11" t="n">
        <v>21384</v>
      </c>
    </row>
    <row r="45">
      <c r="A45" s="4" t="inlineStr">
        <is>
          <t>SKU088</t>
        </is>
      </c>
      <c r="B45" s="4" t="inlineStr">
        <is>
          <t>Wireless Mouse</t>
        </is>
      </c>
      <c r="C45" s="4" t="inlineStr">
        <is>
          <t>Electronics Accessories</t>
        </is>
      </c>
      <c r="D45" s="4" t="inlineStr">
        <is>
          <t>WH01</t>
        </is>
      </c>
      <c r="E45" s="4" t="inlineStr">
        <is>
          <t>Gurugram DC</t>
        </is>
      </c>
      <c r="F45" s="4" t="inlineStr">
        <is>
          <t>North</t>
        </is>
      </c>
      <c r="G45" s="4" t="inlineStr">
        <is>
          <t>WH12</t>
        </is>
      </c>
      <c r="H45" s="4" t="inlineStr">
        <is>
          <t>Nagpur DC</t>
        </is>
      </c>
      <c r="I45" s="4" t="inlineStr">
        <is>
          <t>Central</t>
        </is>
      </c>
      <c r="J45" s="4" t="inlineStr">
        <is>
          <t>STOCKOUT</t>
        </is>
      </c>
      <c r="K45" s="11" t="n">
        <v>216</v>
      </c>
      <c r="L45" s="4" t="n">
        <v>0</v>
      </c>
      <c r="M45" s="11" t="n">
        <v>92664</v>
      </c>
      <c r="N45" s="11" t="n">
        <v>1296</v>
      </c>
      <c r="O45" s="11" t="n">
        <v>22680</v>
      </c>
      <c r="P45" s="11" t="n">
        <v>21384</v>
      </c>
    </row>
    <row r="46">
      <c r="A46" s="4" t="inlineStr">
        <is>
          <t>SKU107</t>
        </is>
      </c>
      <c r="B46" s="4" t="inlineStr">
        <is>
          <t>Stretch Film 500mm</t>
        </is>
      </c>
      <c r="C46" s="4" t="inlineStr">
        <is>
          <t>Packaging &amp; Supplies</t>
        </is>
      </c>
      <c r="D46" s="4" t="inlineStr">
        <is>
          <t>WH01</t>
        </is>
      </c>
      <c r="E46" s="4" t="inlineStr">
        <is>
          <t>Gurugram DC</t>
        </is>
      </c>
      <c r="F46" s="4" t="inlineStr">
        <is>
          <t>North</t>
        </is>
      </c>
      <c r="G46" s="4" t="inlineStr">
        <is>
          <t>WH06</t>
        </is>
      </c>
      <c r="H46" s="4" t="inlineStr">
        <is>
          <t>Ahmedabad DC</t>
        </is>
      </c>
      <c r="I46" s="4" t="inlineStr">
        <is>
          <t>West</t>
        </is>
      </c>
      <c r="J46" s="4" t="inlineStr">
        <is>
          <t>STOCKOUT</t>
        </is>
      </c>
      <c r="K46" s="11" t="n">
        <v>403</v>
      </c>
      <c r="L46" s="4" t="n">
        <v>0</v>
      </c>
      <c r="M46" s="11" t="n">
        <v>130572</v>
      </c>
      <c r="N46" s="11" t="n">
        <v>2418</v>
      </c>
      <c r="O46" s="11" t="n">
        <v>23777</v>
      </c>
      <c r="P46" s="11" t="n">
        <v>21359</v>
      </c>
    </row>
    <row r="47">
      <c r="A47" s="4" t="inlineStr">
        <is>
          <t>SKU052</t>
        </is>
      </c>
      <c r="B47" s="4" t="inlineStr">
        <is>
          <t>Deodorant 150ml</t>
        </is>
      </c>
      <c r="C47" s="4" t="inlineStr">
        <is>
          <t>Personal Care</t>
        </is>
      </c>
      <c r="D47" s="4" t="inlineStr">
        <is>
          <t>WH01</t>
        </is>
      </c>
      <c r="E47" s="4" t="inlineStr">
        <is>
          <t>Gurugram DC</t>
        </is>
      </c>
      <c r="F47" s="4" t="inlineStr">
        <is>
          <t>North</t>
        </is>
      </c>
      <c r="G47" s="4" t="inlineStr">
        <is>
          <t>WH04</t>
        </is>
      </c>
      <c r="H47" s="4" t="inlineStr">
        <is>
          <t>Bhiwandi DC</t>
        </is>
      </c>
      <c r="I47" s="4" t="inlineStr">
        <is>
          <t>West</t>
        </is>
      </c>
      <c r="J47" s="4" t="inlineStr">
        <is>
          <t>CRITICAL</t>
        </is>
      </c>
      <c r="K47" s="11" t="n">
        <v>523</v>
      </c>
      <c r="L47" s="4" t="n">
        <v>0</v>
      </c>
      <c r="M47" s="11" t="n">
        <v>69559</v>
      </c>
      <c r="N47" s="11" t="n">
        <v>3138</v>
      </c>
      <c r="O47" s="11" t="n">
        <v>24058</v>
      </c>
      <c r="P47" s="11" t="n">
        <v>20920</v>
      </c>
    </row>
    <row r="48">
      <c r="A48" s="4" t="inlineStr">
        <is>
          <t>SKU105</t>
        </is>
      </c>
      <c r="B48" s="4" t="inlineStr">
        <is>
          <t>Face Masks 50pk</t>
        </is>
      </c>
      <c r="C48" s="4" t="inlineStr">
        <is>
          <t>OTC Pharma &amp; Wellness</t>
        </is>
      </c>
      <c r="D48" s="4" t="inlineStr">
        <is>
          <t>WH04</t>
        </is>
      </c>
      <c r="E48" s="4" t="inlineStr">
        <is>
          <t>Bhiwandi DC</t>
        </is>
      </c>
      <c r="F48" s="4" t="inlineStr">
        <is>
          <t>West</t>
        </is>
      </c>
      <c r="G48" s="4" t="inlineStr">
        <is>
          <t>WH07</t>
        </is>
      </c>
      <c r="H48" s="4" t="inlineStr">
        <is>
          <t>Bengaluru DC</t>
        </is>
      </c>
      <c r="I48" s="4" t="inlineStr">
        <is>
          <t>South</t>
        </is>
      </c>
      <c r="J48" s="4" t="inlineStr">
        <is>
          <t>LOW</t>
        </is>
      </c>
      <c r="K48" s="11" t="n">
        <v>901</v>
      </c>
      <c r="L48" s="4" t="n">
        <v>0</v>
      </c>
      <c r="M48" s="11" t="n">
        <v>82892</v>
      </c>
      <c r="N48" s="11" t="n">
        <v>5406</v>
      </c>
      <c r="O48" s="11" t="n">
        <v>26129</v>
      </c>
      <c r="P48" s="11" t="n">
        <v>20723</v>
      </c>
    </row>
    <row r="49">
      <c r="A49" s="4" t="inlineStr">
        <is>
          <t>SKU004</t>
        </is>
      </c>
      <c r="B49" s="4" t="inlineStr">
        <is>
          <t>Moong Dal 1kg</t>
        </is>
      </c>
      <c r="C49" s="4" t="inlineStr">
        <is>
          <t>Packaged Staples</t>
        </is>
      </c>
      <c r="D49" s="4" t="inlineStr">
        <is>
          <t>WH01</t>
        </is>
      </c>
      <c r="E49" s="4" t="inlineStr">
        <is>
          <t>Gurugram DC</t>
        </is>
      </c>
      <c r="F49" s="4" t="inlineStr">
        <is>
          <t>North</t>
        </is>
      </c>
      <c r="G49" s="4" t="inlineStr">
        <is>
          <t>WH03</t>
        </is>
      </c>
      <c r="H49" s="4" t="inlineStr">
        <is>
          <t>Lucknow DC</t>
        </is>
      </c>
      <c r="I49" s="4" t="inlineStr">
        <is>
          <t>North</t>
        </is>
      </c>
      <c r="J49" s="4" t="inlineStr">
        <is>
          <t>LOW</t>
        </is>
      </c>
      <c r="K49" s="11" t="n">
        <v>2428</v>
      </c>
      <c r="L49" s="4" t="n">
        <v>1</v>
      </c>
      <c r="M49" s="11" t="n">
        <v>194240</v>
      </c>
      <c r="N49" s="11" t="n">
        <v>6070</v>
      </c>
      <c r="O49" s="11" t="n">
        <v>26708</v>
      </c>
      <c r="P49" s="11" t="n">
        <v>20638</v>
      </c>
    </row>
    <row r="50">
      <c r="A50" s="4" t="inlineStr">
        <is>
          <t>SKU101</t>
        </is>
      </c>
      <c r="B50" s="4" t="inlineStr">
        <is>
          <t>Vitamin C 30s</t>
        </is>
      </c>
      <c r="C50" s="4" t="inlineStr">
        <is>
          <t>OTC Pharma &amp; Wellness</t>
        </is>
      </c>
      <c r="D50" s="4" t="inlineStr">
        <is>
          <t>WH01</t>
        </is>
      </c>
      <c r="E50" s="4" t="inlineStr">
        <is>
          <t>Gurugram DC</t>
        </is>
      </c>
      <c r="F50" s="4" t="inlineStr">
        <is>
          <t>North</t>
        </is>
      </c>
      <c r="G50" s="4" t="inlineStr">
        <is>
          <t>WH05</t>
        </is>
      </c>
      <c r="H50" s="4" t="inlineStr">
        <is>
          <t>Pune DC</t>
        </is>
      </c>
      <c r="I50" s="4" t="inlineStr">
        <is>
          <t>West</t>
        </is>
      </c>
      <c r="J50" s="4" t="inlineStr">
        <is>
          <t>LOW</t>
        </is>
      </c>
      <c r="K50" s="11" t="n">
        <v>369</v>
      </c>
      <c r="L50" s="4" t="n">
        <v>0</v>
      </c>
      <c r="M50" s="11" t="n">
        <v>64944</v>
      </c>
      <c r="N50" s="11" t="n">
        <v>2214</v>
      </c>
      <c r="O50" s="11" t="n">
        <v>22509</v>
      </c>
      <c r="P50" s="11" t="n">
        <v>20295</v>
      </c>
    </row>
    <row r="51">
      <c r="A51" s="4" t="inlineStr">
        <is>
          <t>SKU094</t>
        </is>
      </c>
      <c r="B51" s="4" t="inlineStr">
        <is>
          <t>Cough Syrup 100ml</t>
        </is>
      </c>
      <c r="C51" s="4" t="inlineStr">
        <is>
          <t>OTC Pharma &amp; Wellness</t>
        </is>
      </c>
      <c r="D51" s="4" t="inlineStr">
        <is>
          <t>WH01</t>
        </is>
      </c>
      <c r="E51" s="4" t="inlineStr">
        <is>
          <t>Gurugram DC</t>
        </is>
      </c>
      <c r="F51" s="4" t="inlineStr">
        <is>
          <t>North</t>
        </is>
      </c>
      <c r="G51" s="4" t="inlineStr">
        <is>
          <t>WH10</t>
        </is>
      </c>
      <c r="H51" s="4" t="inlineStr">
        <is>
          <t>Kolkata DC</t>
        </is>
      </c>
      <c r="I51" s="4" t="inlineStr">
        <is>
          <t>East</t>
        </is>
      </c>
      <c r="J51" s="4" t="inlineStr">
        <is>
          <t>STOCKOUT</t>
        </is>
      </c>
      <c r="K51" s="11" t="n">
        <v>347</v>
      </c>
      <c r="L51" s="4" t="n">
        <v>0</v>
      </c>
      <c r="M51" s="11" t="n">
        <v>65930</v>
      </c>
      <c r="N51" s="11" t="n">
        <v>2082</v>
      </c>
      <c r="O51" s="11" t="n">
        <v>22208</v>
      </c>
      <c r="P51" s="11" t="n">
        <v>20126</v>
      </c>
    </row>
    <row r="52">
      <c r="A52" s="4" t="inlineStr">
        <is>
          <t>SKU094</t>
        </is>
      </c>
      <c r="B52" s="4" t="inlineStr">
        <is>
          <t>Cough Syrup 100ml</t>
        </is>
      </c>
      <c r="C52" s="4" t="inlineStr">
        <is>
          <t>OTC Pharma &amp; Wellness</t>
        </is>
      </c>
      <c r="D52" s="4" t="inlineStr">
        <is>
          <t>WH01</t>
        </is>
      </c>
      <c r="E52" s="4" t="inlineStr">
        <is>
          <t>Gurugram DC</t>
        </is>
      </c>
      <c r="F52" s="4" t="inlineStr">
        <is>
          <t>North</t>
        </is>
      </c>
      <c r="G52" s="4" t="inlineStr">
        <is>
          <t>WH08</t>
        </is>
      </c>
      <c r="H52" s="4" t="inlineStr">
        <is>
          <t>Chennai DC</t>
        </is>
      </c>
      <c r="I52" s="4" t="inlineStr">
        <is>
          <t>South</t>
        </is>
      </c>
      <c r="J52" s="4" t="inlineStr">
        <is>
          <t>LOW</t>
        </is>
      </c>
      <c r="K52" s="11" t="n">
        <v>339</v>
      </c>
      <c r="L52" s="4" t="n">
        <v>0</v>
      </c>
      <c r="M52" s="11" t="n">
        <v>64410</v>
      </c>
      <c r="N52" s="11" t="n">
        <v>2034</v>
      </c>
      <c r="O52" s="11" t="n">
        <v>21696</v>
      </c>
      <c r="P52" s="11" t="n">
        <v>19662</v>
      </c>
    </row>
    <row r="53">
      <c r="A53" s="4" t="inlineStr">
        <is>
          <t>SKU050</t>
        </is>
      </c>
      <c r="B53" s="4" t="inlineStr">
        <is>
          <t>Body Lotion 400ml</t>
        </is>
      </c>
      <c r="C53" s="4" t="inlineStr">
        <is>
          <t>Personal Care</t>
        </is>
      </c>
      <c r="D53" s="4" t="inlineStr">
        <is>
          <t>WH01</t>
        </is>
      </c>
      <c r="E53" s="4" t="inlineStr">
        <is>
          <t>Gurugram DC</t>
        </is>
      </c>
      <c r="F53" s="4" t="inlineStr">
        <is>
          <t>North</t>
        </is>
      </c>
      <c r="G53" s="4" t="inlineStr">
        <is>
          <t>WH11</t>
        </is>
      </c>
      <c r="H53" s="4" t="inlineStr">
        <is>
          <t>Guwahati DC</t>
        </is>
      </c>
      <c r="I53" s="4" t="inlineStr">
        <is>
          <t>East</t>
        </is>
      </c>
      <c r="J53" s="4" t="inlineStr">
        <is>
          <t>LOW</t>
        </is>
      </c>
      <c r="K53" s="11" t="n">
        <v>622</v>
      </c>
      <c r="L53" s="4" t="n">
        <v>0</v>
      </c>
      <c r="M53" s="11" t="n">
        <v>85836</v>
      </c>
      <c r="N53" s="11" t="n">
        <v>3732</v>
      </c>
      <c r="O53" s="11" t="n">
        <v>23014</v>
      </c>
      <c r="P53" s="11" t="n">
        <v>19282</v>
      </c>
    </row>
    <row r="54">
      <c r="A54" s="4" t="inlineStr">
        <is>
          <t>SKU107</t>
        </is>
      </c>
      <c r="B54" s="4" t="inlineStr">
        <is>
          <t>Stretch Film 500mm</t>
        </is>
      </c>
      <c r="C54" s="4" t="inlineStr">
        <is>
          <t>Packaging &amp; Supplies</t>
        </is>
      </c>
      <c r="D54" s="4" t="inlineStr">
        <is>
          <t>WH01</t>
        </is>
      </c>
      <c r="E54" s="4" t="inlineStr">
        <is>
          <t>Gurugram DC</t>
        </is>
      </c>
      <c r="F54" s="4" t="inlineStr">
        <is>
          <t>North</t>
        </is>
      </c>
      <c r="G54" s="4" t="inlineStr">
        <is>
          <t>WH08</t>
        </is>
      </c>
      <c r="H54" s="4" t="inlineStr">
        <is>
          <t>Chennai DC</t>
        </is>
      </c>
      <c r="I54" s="4" t="inlineStr">
        <is>
          <t>South</t>
        </is>
      </c>
      <c r="J54" s="4" t="inlineStr">
        <is>
          <t>STOCKOUT</t>
        </is>
      </c>
      <c r="K54" s="11" t="n">
        <v>358</v>
      </c>
      <c r="L54" s="4" t="n">
        <v>0</v>
      </c>
      <c r="M54" s="11" t="n">
        <v>115992</v>
      </c>
      <c r="N54" s="11" t="n">
        <v>2148</v>
      </c>
      <c r="O54" s="11" t="n">
        <v>21122</v>
      </c>
      <c r="P54" s="11" t="n">
        <v>18974</v>
      </c>
    </row>
    <row r="55">
      <c r="A55" s="4" t="inlineStr">
        <is>
          <t>SKU063</t>
        </is>
      </c>
      <c r="B55" s="4" t="inlineStr">
        <is>
          <t>Floor Cleaner 1L</t>
        </is>
      </c>
      <c r="C55" s="4" t="inlineStr">
        <is>
          <t>Home Care</t>
        </is>
      </c>
      <c r="D55" s="4" t="inlineStr">
        <is>
          <t>WH04</t>
        </is>
      </c>
      <c r="E55" s="4" t="inlineStr">
        <is>
          <t>Bhiwandi DC</t>
        </is>
      </c>
      <c r="F55" s="4" t="inlineStr">
        <is>
          <t>West</t>
        </is>
      </c>
      <c r="G55" s="4" t="inlineStr">
        <is>
          <t>WH06</t>
        </is>
      </c>
      <c r="H55" s="4" t="inlineStr">
        <is>
          <t>Ahmedabad DC</t>
        </is>
      </c>
      <c r="I55" s="4" t="inlineStr">
        <is>
          <t>West</t>
        </is>
      </c>
      <c r="J55" s="4" t="inlineStr">
        <is>
          <t>STOCKOUT</t>
        </is>
      </c>
      <c r="K55" s="11" t="n">
        <v>1990</v>
      </c>
      <c r="L55" s="4" t="n">
        <v>1</v>
      </c>
      <c r="M55" s="11" t="n">
        <v>87560</v>
      </c>
      <c r="N55" s="11" t="n">
        <v>4975</v>
      </c>
      <c r="O55" s="11" t="n">
        <v>23880</v>
      </c>
      <c r="P55" s="11" t="n">
        <v>18905</v>
      </c>
    </row>
    <row r="56">
      <c r="A56" s="4" t="inlineStr">
        <is>
          <t>SKU103</t>
        </is>
      </c>
      <c r="B56" s="4" t="inlineStr">
        <is>
          <t>Zinc Tablets 20s</t>
        </is>
      </c>
      <c r="C56" s="4" t="inlineStr">
        <is>
          <t>OTC Pharma &amp; Wellness</t>
        </is>
      </c>
      <c r="D56" s="4" t="inlineStr">
        <is>
          <t>WH04</t>
        </is>
      </c>
      <c r="E56" s="4" t="inlineStr">
        <is>
          <t>Bhiwandi DC</t>
        </is>
      </c>
      <c r="F56" s="4" t="inlineStr">
        <is>
          <t>West</t>
        </is>
      </c>
      <c r="G56" s="4" t="inlineStr">
        <is>
          <t>WH06</t>
        </is>
      </c>
      <c r="H56" s="4" t="inlineStr">
        <is>
          <t>Ahmedabad DC</t>
        </is>
      </c>
      <c r="I56" s="4" t="inlineStr">
        <is>
          <t>West</t>
        </is>
      </c>
      <c r="J56" s="4" t="inlineStr">
        <is>
          <t>CRITICAL</t>
        </is>
      </c>
      <c r="K56" s="11" t="n">
        <v>415</v>
      </c>
      <c r="L56" s="4" t="n">
        <v>1</v>
      </c>
      <c r="M56" s="11" t="n">
        <v>70135</v>
      </c>
      <c r="N56" s="11" t="n">
        <v>1038</v>
      </c>
      <c r="O56" s="11" t="n">
        <v>19505</v>
      </c>
      <c r="P56" s="11" t="n">
        <v>18468</v>
      </c>
    </row>
    <row r="57">
      <c r="A57" s="4" t="inlineStr">
        <is>
          <t>SKU085</t>
        </is>
      </c>
      <c r="B57" s="4" t="inlineStr">
        <is>
          <t>Extension Board 4-socket</t>
        </is>
      </c>
      <c r="C57" s="4" t="inlineStr">
        <is>
          <t>Electronics Accessories</t>
        </is>
      </c>
      <c r="D57" s="4" t="inlineStr">
        <is>
          <t>WH01</t>
        </is>
      </c>
      <c r="E57" s="4" t="inlineStr">
        <is>
          <t>Gurugram DC</t>
        </is>
      </c>
      <c r="F57" s="4" t="inlineStr">
        <is>
          <t>North</t>
        </is>
      </c>
      <c r="G57" s="4" t="inlineStr">
        <is>
          <t>WH08</t>
        </is>
      </c>
      <c r="H57" s="4" t="inlineStr">
        <is>
          <t>Chennai DC</t>
        </is>
      </c>
      <c r="I57" s="4" t="inlineStr">
        <is>
          <t>South</t>
        </is>
      </c>
      <c r="J57" s="4" t="inlineStr">
        <is>
          <t>CRITICAL</t>
        </is>
      </c>
      <c r="K57" s="11" t="n">
        <v>206</v>
      </c>
      <c r="L57" s="4" t="n">
        <v>0</v>
      </c>
      <c r="M57" s="11" t="n">
        <v>69216</v>
      </c>
      <c r="N57" s="11" t="n">
        <v>1236</v>
      </c>
      <c r="O57" s="11" t="n">
        <v>19570</v>
      </c>
      <c r="P57" s="11" t="n">
        <v>18334</v>
      </c>
    </row>
    <row r="58">
      <c r="A58" s="4" t="inlineStr">
        <is>
          <t>SKU103</t>
        </is>
      </c>
      <c r="B58" s="4" t="inlineStr">
        <is>
          <t>Zinc Tablets 20s</t>
        </is>
      </c>
      <c r="C58" s="4" t="inlineStr">
        <is>
          <t>OTC Pharma &amp; Wellness</t>
        </is>
      </c>
      <c r="D58" s="4" t="inlineStr">
        <is>
          <t>WH04</t>
        </is>
      </c>
      <c r="E58" s="4" t="inlineStr">
        <is>
          <t>Bhiwandi DC</t>
        </is>
      </c>
      <c r="F58" s="4" t="inlineStr">
        <is>
          <t>West</t>
        </is>
      </c>
      <c r="G58" s="4" t="inlineStr">
        <is>
          <t>WH08</t>
        </is>
      </c>
      <c r="H58" s="4" t="inlineStr">
        <is>
          <t>Chennai DC</t>
        </is>
      </c>
      <c r="I58" s="4" t="inlineStr">
        <is>
          <t>South</t>
        </is>
      </c>
      <c r="J58" s="4" t="inlineStr">
        <is>
          <t>STOCKOUT</t>
        </is>
      </c>
      <c r="K58" s="11" t="n">
        <v>438</v>
      </c>
      <c r="L58" s="4" t="n">
        <v>0</v>
      </c>
      <c r="M58" s="11" t="n">
        <v>74022</v>
      </c>
      <c r="N58" s="11" t="n">
        <v>2628</v>
      </c>
      <c r="O58" s="11" t="n">
        <v>20586</v>
      </c>
      <c r="P58" s="11" t="n">
        <v>17958</v>
      </c>
    </row>
    <row r="59">
      <c r="A59" s="4" t="inlineStr">
        <is>
          <t>SKU050</t>
        </is>
      </c>
      <c r="B59" s="4" t="inlineStr">
        <is>
          <t>Body Lotion 400ml</t>
        </is>
      </c>
      <c r="C59" s="4" t="inlineStr">
        <is>
          <t>Personal Care</t>
        </is>
      </c>
      <c r="D59" s="4" t="inlineStr">
        <is>
          <t>WH01</t>
        </is>
      </c>
      <c r="E59" s="4" t="inlineStr">
        <is>
          <t>Gurugram DC</t>
        </is>
      </c>
      <c r="F59" s="4" t="inlineStr">
        <is>
          <t>North</t>
        </is>
      </c>
      <c r="G59" s="4" t="inlineStr">
        <is>
          <t>WH02</t>
        </is>
      </c>
      <c r="H59" s="4" t="inlineStr">
        <is>
          <t>Jaipur DC</t>
        </is>
      </c>
      <c r="I59" s="4" t="inlineStr">
        <is>
          <t>North</t>
        </is>
      </c>
      <c r="J59" s="4" t="inlineStr">
        <is>
          <t>LOW</t>
        </is>
      </c>
      <c r="K59" s="11" t="n">
        <v>518</v>
      </c>
      <c r="L59" s="4" t="n">
        <v>1</v>
      </c>
      <c r="M59" s="11" t="n">
        <v>71484</v>
      </c>
      <c r="N59" s="11" t="n">
        <v>1295</v>
      </c>
      <c r="O59" s="11" t="n">
        <v>19166</v>
      </c>
      <c r="P59" s="11" t="n">
        <v>17871</v>
      </c>
    </row>
    <row r="60">
      <c r="A60" s="4" t="inlineStr">
        <is>
          <t>SKU105</t>
        </is>
      </c>
      <c r="B60" s="4" t="inlineStr">
        <is>
          <t>Face Masks 50pk</t>
        </is>
      </c>
      <c r="C60" s="4" t="inlineStr">
        <is>
          <t>OTC Pharma &amp; Wellness</t>
        </is>
      </c>
      <c r="D60" s="4" t="inlineStr">
        <is>
          <t>WH04</t>
        </is>
      </c>
      <c r="E60" s="4" t="inlineStr">
        <is>
          <t>Bhiwandi DC</t>
        </is>
      </c>
      <c r="F60" s="4" t="inlineStr">
        <is>
          <t>West</t>
        </is>
      </c>
      <c r="G60" s="4" t="inlineStr">
        <is>
          <t>WH08</t>
        </is>
      </c>
      <c r="H60" s="4" t="inlineStr">
        <is>
          <t>Chennai DC</t>
        </is>
      </c>
      <c r="I60" s="4" t="inlineStr">
        <is>
          <t>South</t>
        </is>
      </c>
      <c r="J60" s="4" t="inlineStr">
        <is>
          <t>STOCKOUT</t>
        </is>
      </c>
      <c r="K60" s="11" t="n">
        <v>775</v>
      </c>
      <c r="L60" s="4" t="n">
        <v>0</v>
      </c>
      <c r="M60" s="11" t="n">
        <v>71300</v>
      </c>
      <c r="N60" s="11" t="n">
        <v>4650</v>
      </c>
      <c r="O60" s="11" t="n">
        <v>22475</v>
      </c>
      <c r="P60" s="11" t="n">
        <v>17825</v>
      </c>
    </row>
    <row r="61">
      <c r="A61" s="4" t="inlineStr">
        <is>
          <t>SKU040</t>
        </is>
      </c>
      <c r="B61" s="4" t="inlineStr">
        <is>
          <t>Wafers 75g</t>
        </is>
      </c>
      <c r="C61" s="4" t="inlineStr">
        <is>
          <t>Snacks &amp; Confectionery</t>
        </is>
      </c>
      <c r="D61" s="4" t="inlineStr">
        <is>
          <t>WH04</t>
        </is>
      </c>
      <c r="E61" s="4" t="inlineStr">
        <is>
          <t>Bhiwandi DC</t>
        </is>
      </c>
      <c r="F61" s="4" t="inlineStr">
        <is>
          <t>West</t>
        </is>
      </c>
      <c r="G61" s="4" t="inlineStr">
        <is>
          <t>WH10</t>
        </is>
      </c>
      <c r="H61" s="4" t="inlineStr">
        <is>
          <t>Kolkata DC</t>
        </is>
      </c>
      <c r="I61" s="4" t="inlineStr">
        <is>
          <t>East</t>
        </is>
      </c>
      <c r="J61" s="4" t="inlineStr">
        <is>
          <t>LOW</t>
        </is>
      </c>
      <c r="K61" s="11" t="n">
        <v>1354</v>
      </c>
      <c r="L61" s="4" t="n">
        <v>0</v>
      </c>
      <c r="M61" s="11" t="n">
        <v>121860</v>
      </c>
      <c r="N61" s="11" t="n">
        <v>8124</v>
      </c>
      <c r="O61" s="11" t="n">
        <v>25726</v>
      </c>
      <c r="P61" s="11" t="n">
        <v>17602</v>
      </c>
    </row>
    <row r="62">
      <c r="A62" s="4" t="inlineStr">
        <is>
          <t>SKU040</t>
        </is>
      </c>
      <c r="B62" s="4" t="inlineStr">
        <is>
          <t>Wafers 75g</t>
        </is>
      </c>
      <c r="C62" s="4" t="inlineStr">
        <is>
          <t>Snacks &amp; Confectionery</t>
        </is>
      </c>
      <c r="D62" s="4" t="inlineStr">
        <is>
          <t>WH04</t>
        </is>
      </c>
      <c r="E62" s="4" t="inlineStr">
        <is>
          <t>Bhiwandi DC</t>
        </is>
      </c>
      <c r="F62" s="4" t="inlineStr">
        <is>
          <t>West</t>
        </is>
      </c>
      <c r="G62" s="4" t="inlineStr">
        <is>
          <t>WH08</t>
        </is>
      </c>
      <c r="H62" s="4" t="inlineStr">
        <is>
          <t>Chennai DC</t>
        </is>
      </c>
      <c r="I62" s="4" t="inlineStr">
        <is>
          <t>South</t>
        </is>
      </c>
      <c r="J62" s="4" t="inlineStr">
        <is>
          <t>LOW</t>
        </is>
      </c>
      <c r="K62" s="11" t="n">
        <v>1329</v>
      </c>
      <c r="L62" s="4" t="n">
        <v>0</v>
      </c>
      <c r="M62" s="11" t="n">
        <v>119610</v>
      </c>
      <c r="N62" s="11" t="n">
        <v>7974</v>
      </c>
      <c r="O62" s="11" t="n">
        <v>25251</v>
      </c>
      <c r="P62" s="11" t="n">
        <v>17277</v>
      </c>
    </row>
    <row r="63">
      <c r="A63" s="4" t="inlineStr">
        <is>
          <t>SKU034</t>
        </is>
      </c>
      <c r="B63" s="4" t="inlineStr">
        <is>
          <t>Cream Biscuits 120g</t>
        </is>
      </c>
      <c r="C63" s="4" t="inlineStr">
        <is>
          <t>Snacks &amp; Confectionery</t>
        </is>
      </c>
      <c r="D63" s="4" t="inlineStr">
        <is>
          <t>WH04</t>
        </is>
      </c>
      <c r="E63" s="4" t="inlineStr">
        <is>
          <t>Bhiwandi DC</t>
        </is>
      </c>
      <c r="F63" s="4" t="inlineStr">
        <is>
          <t>West</t>
        </is>
      </c>
      <c r="G63" s="4" t="inlineStr">
        <is>
          <t>WH10</t>
        </is>
      </c>
      <c r="H63" s="4" t="inlineStr">
        <is>
          <t>Kolkata DC</t>
        </is>
      </c>
      <c r="I63" s="4" t="inlineStr">
        <is>
          <t>East</t>
        </is>
      </c>
      <c r="J63" s="4" t="inlineStr">
        <is>
          <t>LOW</t>
        </is>
      </c>
      <c r="K63" s="11" t="n">
        <v>2854</v>
      </c>
      <c r="L63" s="4" t="n">
        <v>0</v>
      </c>
      <c r="M63" s="11" t="n">
        <v>174094</v>
      </c>
      <c r="N63" s="11" t="n">
        <v>17124</v>
      </c>
      <c r="O63" s="11" t="n">
        <v>34248</v>
      </c>
      <c r="P63" s="11" t="n">
        <v>17124</v>
      </c>
    </row>
    <row r="64">
      <c r="A64" s="4" t="inlineStr">
        <is>
          <t>SKU118</t>
        </is>
      </c>
      <c r="B64" s="4" t="inlineStr">
        <is>
          <t>Thermal Paper Roll 20pk</t>
        </is>
      </c>
      <c r="C64" s="4" t="inlineStr">
        <is>
          <t>Packaging &amp; Supplies</t>
        </is>
      </c>
      <c r="D64" s="4" t="inlineStr">
        <is>
          <t>WH04</t>
        </is>
      </c>
      <c r="E64" s="4" t="inlineStr">
        <is>
          <t>Bhiwandi DC</t>
        </is>
      </c>
      <c r="F64" s="4" t="inlineStr">
        <is>
          <t>West</t>
        </is>
      </c>
      <c r="G64" s="4" t="inlineStr">
        <is>
          <t>WH09</t>
        </is>
      </c>
      <c r="H64" s="4" t="inlineStr">
        <is>
          <t>Hyderabad DC</t>
        </is>
      </c>
      <c r="I64" s="4" t="inlineStr">
        <is>
          <t>South</t>
        </is>
      </c>
      <c r="J64" s="4" t="inlineStr">
        <is>
          <t>LOW</t>
        </is>
      </c>
      <c r="K64" s="11" t="n">
        <v>515</v>
      </c>
      <c r="L64" s="4" t="n">
        <v>0</v>
      </c>
      <c r="M64" s="11" t="n">
        <v>93215</v>
      </c>
      <c r="N64" s="11" t="n">
        <v>3090</v>
      </c>
      <c r="O64" s="11" t="n">
        <v>19055</v>
      </c>
      <c r="P64" s="11" t="n">
        <v>15965</v>
      </c>
    </row>
    <row r="65">
      <c r="A65" s="4" t="inlineStr">
        <is>
          <t>SKU023</t>
        </is>
      </c>
      <c r="B65" s="4" t="inlineStr">
        <is>
          <t>Coconut Water 200ml</t>
        </is>
      </c>
      <c r="C65" s="4" t="inlineStr">
        <is>
          <t>Beverages</t>
        </is>
      </c>
      <c r="D65" s="4" t="inlineStr">
        <is>
          <t>WH01</t>
        </is>
      </c>
      <c r="E65" s="4" t="inlineStr">
        <is>
          <t>Gurugram DC</t>
        </is>
      </c>
      <c r="F65" s="4" t="inlineStr">
        <is>
          <t>North</t>
        </is>
      </c>
      <c r="G65" s="4" t="inlineStr">
        <is>
          <t>WH08</t>
        </is>
      </c>
      <c r="H65" s="4" t="inlineStr">
        <is>
          <t>Chennai DC</t>
        </is>
      </c>
      <c r="I65" s="4" t="inlineStr">
        <is>
          <t>South</t>
        </is>
      </c>
      <c r="J65" s="4" t="inlineStr">
        <is>
          <t>CRITICAL</t>
        </is>
      </c>
      <c r="K65" s="11" t="n">
        <v>3949</v>
      </c>
      <c r="L65" s="4" t="n">
        <v>0</v>
      </c>
      <c r="M65" s="11" t="n">
        <v>232991</v>
      </c>
      <c r="N65" s="11" t="n">
        <v>23694</v>
      </c>
      <c r="O65" s="11" t="n">
        <v>39490</v>
      </c>
      <c r="P65" s="11" t="n">
        <v>15796</v>
      </c>
    </row>
    <row r="66">
      <c r="A66" s="4" t="inlineStr">
        <is>
          <t>SKU078</t>
        </is>
      </c>
      <c r="B66" s="4" t="inlineStr">
        <is>
          <t>Power Bank 10000mAh</t>
        </is>
      </c>
      <c r="C66" s="4" t="inlineStr">
        <is>
          <t>Electronics Accessories</t>
        </is>
      </c>
      <c r="D66" s="4" t="inlineStr">
        <is>
          <t>WH04</t>
        </is>
      </c>
      <c r="E66" s="4" t="inlineStr">
        <is>
          <t>Bhiwandi DC</t>
        </is>
      </c>
      <c r="F66" s="4" t="inlineStr">
        <is>
          <t>West</t>
        </is>
      </c>
      <c r="G66" s="4" t="inlineStr">
        <is>
          <t>WH11</t>
        </is>
      </c>
      <c r="H66" s="4" t="inlineStr">
        <is>
          <t>Guwahati DC</t>
        </is>
      </c>
      <c r="I66" s="4" t="inlineStr">
        <is>
          <t>East</t>
        </is>
      </c>
      <c r="J66" s="4" t="inlineStr">
        <is>
          <t>STOCKOUT</t>
        </is>
      </c>
      <c r="K66" s="11" t="n">
        <v>143</v>
      </c>
      <c r="L66" s="4" t="n">
        <v>0</v>
      </c>
      <c r="M66" s="11" t="n">
        <v>51337</v>
      </c>
      <c r="N66" s="11" t="n">
        <v>858</v>
      </c>
      <c r="O66" s="11" t="n">
        <v>16016</v>
      </c>
      <c r="P66" s="11" t="n">
        <v>15158</v>
      </c>
    </row>
    <row r="67">
      <c r="A67" s="4" t="inlineStr">
        <is>
          <t>SKU037</t>
        </is>
      </c>
      <c r="B67" s="4" t="inlineStr">
        <is>
          <t>Popcorn 60g</t>
        </is>
      </c>
      <c r="C67" s="4" t="inlineStr">
        <is>
          <t>Snacks &amp; Confectionery</t>
        </is>
      </c>
      <c r="D67" s="4" t="inlineStr">
        <is>
          <t>WH04</t>
        </is>
      </c>
      <c r="E67" s="4" t="inlineStr">
        <is>
          <t>Bhiwandi DC</t>
        </is>
      </c>
      <c r="F67" s="4" t="inlineStr">
        <is>
          <t>West</t>
        </is>
      </c>
      <c r="G67" s="4" t="inlineStr">
        <is>
          <t>WH09</t>
        </is>
      </c>
      <c r="H67" s="4" t="inlineStr">
        <is>
          <t>Hyderabad DC</t>
        </is>
      </c>
      <c r="I67" s="4" t="inlineStr">
        <is>
          <t>South</t>
        </is>
      </c>
      <c r="J67" s="4" t="inlineStr">
        <is>
          <t>LOW</t>
        </is>
      </c>
      <c r="K67" s="11" t="n">
        <v>746</v>
      </c>
      <c r="L67" s="4" t="n">
        <v>0</v>
      </c>
      <c r="M67" s="11" t="n">
        <v>102202</v>
      </c>
      <c r="N67" s="11" t="n">
        <v>4476</v>
      </c>
      <c r="O67" s="11" t="n">
        <v>19396</v>
      </c>
      <c r="P67" s="11" t="n">
        <v>14920</v>
      </c>
    </row>
    <row r="68">
      <c r="A68" s="4" t="inlineStr">
        <is>
          <t>SKU095</t>
        </is>
      </c>
      <c r="B68" s="4" t="inlineStr">
        <is>
          <t>Multivitamin 30s</t>
        </is>
      </c>
      <c r="C68" s="4" t="inlineStr">
        <is>
          <t>OTC Pharma &amp; Wellness</t>
        </is>
      </c>
      <c r="D68" s="4" t="inlineStr">
        <is>
          <t>WH04</t>
        </is>
      </c>
      <c r="E68" s="4" t="inlineStr">
        <is>
          <t>Bhiwandi DC</t>
        </is>
      </c>
      <c r="F68" s="4" t="inlineStr">
        <is>
          <t>West</t>
        </is>
      </c>
      <c r="G68" s="4" t="inlineStr">
        <is>
          <t>WH08</t>
        </is>
      </c>
      <c r="H68" s="4" t="inlineStr">
        <is>
          <t>Chennai DC</t>
        </is>
      </c>
      <c r="I68" s="4" t="inlineStr">
        <is>
          <t>South</t>
        </is>
      </c>
      <c r="J68" s="4" t="inlineStr">
        <is>
          <t>LOW</t>
        </is>
      </c>
      <c r="K68" s="11" t="n">
        <v>281</v>
      </c>
      <c r="L68" s="4" t="n">
        <v>0</v>
      </c>
      <c r="M68" s="11" t="n">
        <v>50018</v>
      </c>
      <c r="N68" s="11" t="n">
        <v>1686</v>
      </c>
      <c r="O68" s="11" t="n">
        <v>16579</v>
      </c>
      <c r="P68" s="11" t="n">
        <v>14893</v>
      </c>
    </row>
    <row r="69">
      <c r="A69" s="4" t="inlineStr">
        <is>
          <t>SKU088</t>
        </is>
      </c>
      <c r="B69" s="4" t="inlineStr">
        <is>
          <t>Wireless Mouse</t>
        </is>
      </c>
      <c r="C69" s="4" t="inlineStr">
        <is>
          <t>Electronics Accessories</t>
        </is>
      </c>
      <c r="D69" s="4" t="inlineStr">
        <is>
          <t>WH01</t>
        </is>
      </c>
      <c r="E69" s="4" t="inlineStr">
        <is>
          <t>Gurugram DC</t>
        </is>
      </c>
      <c r="F69" s="4" t="inlineStr">
        <is>
          <t>North</t>
        </is>
      </c>
      <c r="G69" s="4" t="inlineStr">
        <is>
          <t>WH11</t>
        </is>
      </c>
      <c r="H69" s="4" t="inlineStr">
        <is>
          <t>Guwahati DC</t>
        </is>
      </c>
      <c r="I69" s="4" t="inlineStr">
        <is>
          <t>East</t>
        </is>
      </c>
      <c r="J69" s="4" t="inlineStr">
        <is>
          <t>LOW</t>
        </is>
      </c>
      <c r="K69" s="11" t="n">
        <v>150</v>
      </c>
      <c r="L69" s="4" t="n">
        <v>0</v>
      </c>
      <c r="M69" s="11" t="n">
        <v>64350</v>
      </c>
      <c r="N69" s="11" t="n">
        <v>900</v>
      </c>
      <c r="O69" s="11" t="n">
        <v>15750</v>
      </c>
      <c r="P69" s="11" t="n">
        <v>14850</v>
      </c>
    </row>
    <row r="70">
      <c r="A70" s="4" t="inlineStr">
        <is>
          <t>SKU099</t>
        </is>
      </c>
      <c r="B70" s="4" t="inlineStr">
        <is>
          <t>Digital Thermometer</t>
        </is>
      </c>
      <c r="C70" s="4" t="inlineStr">
        <is>
          <t>OTC Pharma &amp; Wellness</t>
        </is>
      </c>
      <c r="D70" s="4" t="inlineStr">
        <is>
          <t>WH01</t>
        </is>
      </c>
      <c r="E70" s="4" t="inlineStr">
        <is>
          <t>Gurugram DC</t>
        </is>
      </c>
      <c r="F70" s="4" t="inlineStr">
        <is>
          <t>North</t>
        </is>
      </c>
      <c r="G70" s="4" t="inlineStr">
        <is>
          <t>WH08</t>
        </is>
      </c>
      <c r="H70" s="4" t="inlineStr">
        <is>
          <t>Chennai DC</t>
        </is>
      </c>
      <c r="I70" s="4" t="inlineStr">
        <is>
          <t>South</t>
        </is>
      </c>
      <c r="J70" s="4" t="inlineStr">
        <is>
          <t>LOW</t>
        </is>
      </c>
      <c r="K70" s="11" t="n">
        <v>812</v>
      </c>
      <c r="L70" s="4" t="n">
        <v>0</v>
      </c>
      <c r="M70" s="11" t="n">
        <v>71456</v>
      </c>
      <c r="N70" s="11" t="n">
        <v>4872</v>
      </c>
      <c r="O70" s="11" t="n">
        <v>19488</v>
      </c>
      <c r="P70" s="11" t="n">
        <v>14616</v>
      </c>
    </row>
    <row r="71">
      <c r="A71" s="4" t="inlineStr">
        <is>
          <t>SKU102</t>
        </is>
      </c>
      <c r="B71" s="4" t="inlineStr">
        <is>
          <t>Eye Drops 10ml</t>
        </is>
      </c>
      <c r="C71" s="4" t="inlineStr">
        <is>
          <t>OTC Pharma &amp; Wellness</t>
        </is>
      </c>
      <c r="D71" s="4" t="inlineStr">
        <is>
          <t>WH01</t>
        </is>
      </c>
      <c r="E71" s="4" t="inlineStr">
        <is>
          <t>Gurugram DC</t>
        </is>
      </c>
      <c r="F71" s="4" t="inlineStr">
        <is>
          <t>North</t>
        </is>
      </c>
      <c r="G71" s="4" t="inlineStr">
        <is>
          <t>WH05</t>
        </is>
      </c>
      <c r="H71" s="4" t="inlineStr">
        <is>
          <t>Pune DC</t>
        </is>
      </c>
      <c r="I71" s="4" t="inlineStr">
        <is>
          <t>West</t>
        </is>
      </c>
      <c r="J71" s="4" t="inlineStr">
        <is>
          <t>LOW</t>
        </is>
      </c>
      <c r="K71" s="11" t="n">
        <v>1011</v>
      </c>
      <c r="L71" s="4" t="n">
        <v>0</v>
      </c>
      <c r="M71" s="11" t="n">
        <v>72792</v>
      </c>
      <c r="N71" s="11" t="n">
        <v>6066</v>
      </c>
      <c r="O71" s="11" t="n">
        <v>20220</v>
      </c>
      <c r="P71" s="11" t="n">
        <v>14154</v>
      </c>
    </row>
    <row r="72">
      <c r="A72" s="4" t="inlineStr">
        <is>
          <t>SKU052</t>
        </is>
      </c>
      <c r="B72" s="4" t="inlineStr">
        <is>
          <t>Deodorant 150ml</t>
        </is>
      </c>
      <c r="C72" s="4" t="inlineStr">
        <is>
          <t>Personal Care</t>
        </is>
      </c>
      <c r="D72" s="4" t="inlineStr">
        <is>
          <t>WH01</t>
        </is>
      </c>
      <c r="E72" s="4" t="inlineStr">
        <is>
          <t>Gurugram DC</t>
        </is>
      </c>
      <c r="F72" s="4" t="inlineStr">
        <is>
          <t>North</t>
        </is>
      </c>
      <c r="G72" s="4" t="inlineStr">
        <is>
          <t>WH07</t>
        </is>
      </c>
      <c r="H72" s="4" t="inlineStr">
        <is>
          <t>Bengaluru DC</t>
        </is>
      </c>
      <c r="I72" s="4" t="inlineStr">
        <is>
          <t>South</t>
        </is>
      </c>
      <c r="J72" s="4" t="inlineStr">
        <is>
          <t>CRITICAL</t>
        </is>
      </c>
      <c r="K72" s="11" t="n">
        <v>349</v>
      </c>
      <c r="L72" s="4" t="n">
        <v>0</v>
      </c>
      <c r="M72" s="11" t="n">
        <v>46417</v>
      </c>
      <c r="N72" s="11" t="n">
        <v>2094</v>
      </c>
      <c r="O72" s="11" t="n">
        <v>16054</v>
      </c>
      <c r="P72" s="11" t="n">
        <v>13960</v>
      </c>
    </row>
    <row r="73">
      <c r="A73" s="4" t="inlineStr">
        <is>
          <t>SKU102</t>
        </is>
      </c>
      <c r="B73" s="4" t="inlineStr">
        <is>
          <t>Eye Drops 10ml</t>
        </is>
      </c>
      <c r="C73" s="4" t="inlineStr">
        <is>
          <t>OTC Pharma &amp; Wellness</t>
        </is>
      </c>
      <c r="D73" s="4" t="inlineStr">
        <is>
          <t>WH01</t>
        </is>
      </c>
      <c r="E73" s="4" t="inlineStr">
        <is>
          <t>Gurugram DC</t>
        </is>
      </c>
      <c r="F73" s="4" t="inlineStr">
        <is>
          <t>North</t>
        </is>
      </c>
      <c r="G73" s="4" t="inlineStr">
        <is>
          <t>WH08</t>
        </is>
      </c>
      <c r="H73" s="4" t="inlineStr">
        <is>
          <t>Chennai DC</t>
        </is>
      </c>
      <c r="I73" s="4" t="inlineStr">
        <is>
          <t>South</t>
        </is>
      </c>
      <c r="J73" s="4" t="inlineStr">
        <is>
          <t>STOCKOUT</t>
        </is>
      </c>
      <c r="K73" s="11" t="n">
        <v>987</v>
      </c>
      <c r="L73" s="4" t="n">
        <v>0</v>
      </c>
      <c r="M73" s="11" t="n">
        <v>71064</v>
      </c>
      <c r="N73" s="11" t="n">
        <v>5922</v>
      </c>
      <c r="O73" s="11" t="n">
        <v>19740</v>
      </c>
      <c r="P73" s="11" t="n">
        <v>13818</v>
      </c>
    </row>
    <row r="74">
      <c r="A74" s="4" t="inlineStr">
        <is>
          <t>SKU085</t>
        </is>
      </c>
      <c r="B74" s="4" t="inlineStr">
        <is>
          <t>Extension Board 4-socket</t>
        </is>
      </c>
      <c r="C74" s="4" t="inlineStr">
        <is>
          <t>Electronics Accessories</t>
        </is>
      </c>
      <c r="D74" s="4" t="inlineStr">
        <is>
          <t>WH01</t>
        </is>
      </c>
      <c r="E74" s="4" t="inlineStr">
        <is>
          <t>Gurugram DC</t>
        </is>
      </c>
      <c r="F74" s="4" t="inlineStr">
        <is>
          <t>North</t>
        </is>
      </c>
      <c r="G74" s="4" t="inlineStr">
        <is>
          <t>WH07</t>
        </is>
      </c>
      <c r="H74" s="4" t="inlineStr">
        <is>
          <t>Bengaluru DC</t>
        </is>
      </c>
      <c r="I74" s="4" t="inlineStr">
        <is>
          <t>South</t>
        </is>
      </c>
      <c r="J74" s="4" t="inlineStr">
        <is>
          <t>STOCKOUT</t>
        </is>
      </c>
      <c r="K74" s="11" t="n">
        <v>154</v>
      </c>
      <c r="L74" s="4" t="n">
        <v>0</v>
      </c>
      <c r="M74" s="11" t="n">
        <v>51744</v>
      </c>
      <c r="N74" s="11" t="n">
        <v>924</v>
      </c>
      <c r="O74" s="11" t="n">
        <v>14630</v>
      </c>
      <c r="P74" s="11" t="n">
        <v>13706</v>
      </c>
    </row>
    <row r="75">
      <c r="A75" s="4" t="inlineStr">
        <is>
          <t>SKU085</t>
        </is>
      </c>
      <c r="B75" s="4" t="inlineStr">
        <is>
          <t>Extension Board 4-socket</t>
        </is>
      </c>
      <c r="C75" s="4" t="inlineStr">
        <is>
          <t>Electronics Accessories</t>
        </is>
      </c>
      <c r="D75" s="4" t="inlineStr">
        <is>
          <t>WH01</t>
        </is>
      </c>
      <c r="E75" s="4" t="inlineStr">
        <is>
          <t>Gurugram DC</t>
        </is>
      </c>
      <c r="F75" s="4" t="inlineStr">
        <is>
          <t>North</t>
        </is>
      </c>
      <c r="G75" s="4" t="inlineStr">
        <is>
          <t>WH10</t>
        </is>
      </c>
      <c r="H75" s="4" t="inlineStr">
        <is>
          <t>Kolkata DC</t>
        </is>
      </c>
      <c r="I75" s="4" t="inlineStr">
        <is>
          <t>East</t>
        </is>
      </c>
      <c r="J75" s="4" t="inlineStr">
        <is>
          <t>CRITICAL</t>
        </is>
      </c>
      <c r="K75" s="11" t="n">
        <v>153</v>
      </c>
      <c r="L75" s="4" t="n">
        <v>0</v>
      </c>
      <c r="M75" s="11" t="n">
        <v>51408</v>
      </c>
      <c r="N75" s="11" t="n">
        <v>918</v>
      </c>
      <c r="O75" s="11" t="n">
        <v>14535</v>
      </c>
      <c r="P75" s="11" t="n">
        <v>13617</v>
      </c>
    </row>
    <row r="76">
      <c r="A76" s="4" t="inlineStr">
        <is>
          <t>SKU004</t>
        </is>
      </c>
      <c r="B76" s="4" t="inlineStr">
        <is>
          <t>Moong Dal 1kg</t>
        </is>
      </c>
      <c r="C76" s="4" t="inlineStr">
        <is>
          <t>Packaged Staples</t>
        </is>
      </c>
      <c r="D76" s="4" t="inlineStr">
        <is>
          <t>WH04</t>
        </is>
      </c>
      <c r="E76" s="4" t="inlineStr">
        <is>
          <t>Bhiwandi DC</t>
        </is>
      </c>
      <c r="F76" s="4" t="inlineStr">
        <is>
          <t>West</t>
        </is>
      </c>
      <c r="G76" s="4" t="inlineStr">
        <is>
          <t>WH08</t>
        </is>
      </c>
      <c r="H76" s="4" t="inlineStr">
        <is>
          <t>Chennai DC</t>
        </is>
      </c>
      <c r="I76" s="4" t="inlineStr">
        <is>
          <t>South</t>
        </is>
      </c>
      <c r="J76" s="4" t="inlineStr">
        <is>
          <t>STOCKOUT</t>
        </is>
      </c>
      <c r="K76" s="11" t="n">
        <v>2685</v>
      </c>
      <c r="L76" s="4" t="n">
        <v>0</v>
      </c>
      <c r="M76" s="11" t="n">
        <v>214800</v>
      </c>
      <c r="N76" s="11" t="n">
        <v>16110</v>
      </c>
      <c r="O76" s="11" t="n">
        <v>29535</v>
      </c>
      <c r="P76" s="11" t="n">
        <v>13425</v>
      </c>
    </row>
    <row r="77">
      <c r="A77" s="4" t="inlineStr">
        <is>
          <t>SKU091</t>
        </is>
      </c>
      <c r="B77" s="4" t="inlineStr">
        <is>
          <t>Paracetamol 500mg 15s</t>
        </is>
      </c>
      <c r="C77" s="4" t="inlineStr">
        <is>
          <t>OTC Pharma &amp; Wellness</t>
        </is>
      </c>
      <c r="D77" s="4" t="inlineStr">
        <is>
          <t>WH09</t>
        </is>
      </c>
      <c r="E77" s="4" t="inlineStr">
        <is>
          <t>Hyderabad DC</t>
        </is>
      </c>
      <c r="F77" s="4" t="inlineStr">
        <is>
          <t>South</t>
        </is>
      </c>
      <c r="G77" s="4" t="inlineStr">
        <is>
          <t>WH10</t>
        </is>
      </c>
      <c r="H77" s="4" t="inlineStr">
        <is>
          <t>Kolkata DC</t>
        </is>
      </c>
      <c r="I77" s="4" t="inlineStr">
        <is>
          <t>East</t>
        </is>
      </c>
      <c r="J77" s="4" t="inlineStr">
        <is>
          <t>LOW</t>
        </is>
      </c>
      <c r="K77" s="11" t="n">
        <v>527</v>
      </c>
      <c r="L77" s="4" t="n">
        <v>0</v>
      </c>
      <c r="M77" s="11" t="n">
        <v>59551</v>
      </c>
      <c r="N77" s="11" t="n">
        <v>3162</v>
      </c>
      <c r="O77" s="11" t="n">
        <v>16337</v>
      </c>
      <c r="P77" s="11" t="n">
        <v>13175</v>
      </c>
    </row>
    <row r="78">
      <c r="A78" s="4" t="inlineStr">
        <is>
          <t>SKU085</t>
        </is>
      </c>
      <c r="B78" s="4" t="inlineStr">
        <is>
          <t>Extension Board 4-socket</t>
        </is>
      </c>
      <c r="C78" s="4" t="inlineStr">
        <is>
          <t>Electronics Accessories</t>
        </is>
      </c>
      <c r="D78" s="4" t="inlineStr">
        <is>
          <t>WH01</t>
        </is>
      </c>
      <c r="E78" s="4" t="inlineStr">
        <is>
          <t>Gurugram DC</t>
        </is>
      </c>
      <c r="F78" s="4" t="inlineStr">
        <is>
          <t>North</t>
        </is>
      </c>
      <c r="G78" s="4" t="inlineStr">
        <is>
          <t>WH06</t>
        </is>
      </c>
      <c r="H78" s="4" t="inlineStr">
        <is>
          <t>Ahmedabad DC</t>
        </is>
      </c>
      <c r="I78" s="4" t="inlineStr">
        <is>
          <t>West</t>
        </is>
      </c>
      <c r="J78" s="4" t="inlineStr">
        <is>
          <t>CRITICAL</t>
        </is>
      </c>
      <c r="K78" s="11" t="n">
        <v>138</v>
      </c>
      <c r="L78" s="4" t="n">
        <v>0</v>
      </c>
      <c r="M78" s="11" t="n">
        <v>46368</v>
      </c>
      <c r="N78" s="11" t="n">
        <v>828</v>
      </c>
      <c r="O78" s="11" t="n">
        <v>13110</v>
      </c>
      <c r="P78" s="11" t="n">
        <v>12282</v>
      </c>
    </row>
    <row r="79">
      <c r="A79" s="4" t="inlineStr">
        <is>
          <t>SKU052</t>
        </is>
      </c>
      <c r="B79" s="4" t="inlineStr">
        <is>
          <t>Deodorant 150ml</t>
        </is>
      </c>
      <c r="C79" s="4" t="inlineStr">
        <is>
          <t>Personal Care</t>
        </is>
      </c>
      <c r="D79" s="4" t="inlineStr">
        <is>
          <t>WH01</t>
        </is>
      </c>
      <c r="E79" s="4" t="inlineStr">
        <is>
          <t>Gurugram DC</t>
        </is>
      </c>
      <c r="F79" s="4" t="inlineStr">
        <is>
          <t>North</t>
        </is>
      </c>
      <c r="G79" s="4" t="inlineStr">
        <is>
          <t>WH06</t>
        </is>
      </c>
      <c r="H79" s="4" t="inlineStr">
        <is>
          <t>Ahmedabad DC</t>
        </is>
      </c>
      <c r="I79" s="4" t="inlineStr">
        <is>
          <t>West</t>
        </is>
      </c>
      <c r="J79" s="4" t="inlineStr">
        <is>
          <t>LOW</t>
        </is>
      </c>
      <c r="K79" s="11" t="n">
        <v>304</v>
      </c>
      <c r="L79" s="4" t="n">
        <v>0</v>
      </c>
      <c r="M79" s="11" t="n">
        <v>40432</v>
      </c>
      <c r="N79" s="11" t="n">
        <v>1824</v>
      </c>
      <c r="O79" s="11" t="n">
        <v>13984</v>
      </c>
      <c r="P79" s="11" t="n">
        <v>12160</v>
      </c>
    </row>
    <row r="80">
      <c r="A80" s="4" t="inlineStr">
        <is>
          <t>SKU066</t>
        </is>
      </c>
      <c r="B80" s="4" t="inlineStr">
        <is>
          <t>Fabric Softener 1L</t>
        </is>
      </c>
      <c r="C80" s="4" t="inlineStr">
        <is>
          <t>Home Care</t>
        </is>
      </c>
      <c r="D80" s="4" t="inlineStr">
        <is>
          <t>WH04</t>
        </is>
      </c>
      <c r="E80" s="4" t="inlineStr">
        <is>
          <t>Bhiwandi DC</t>
        </is>
      </c>
      <c r="F80" s="4" t="inlineStr">
        <is>
          <t>West</t>
        </is>
      </c>
      <c r="G80" s="4" t="inlineStr">
        <is>
          <t>WH08</t>
        </is>
      </c>
      <c r="H80" s="4" t="inlineStr">
        <is>
          <t>Chennai DC</t>
        </is>
      </c>
      <c r="I80" s="4" t="inlineStr">
        <is>
          <t>South</t>
        </is>
      </c>
      <c r="J80" s="4" t="inlineStr">
        <is>
          <t>LOW</t>
        </is>
      </c>
      <c r="K80" s="11" t="n">
        <v>1458</v>
      </c>
      <c r="L80" s="4" t="n">
        <v>0</v>
      </c>
      <c r="M80" s="11" t="n">
        <v>74358</v>
      </c>
      <c r="N80" s="11" t="n">
        <v>8748</v>
      </c>
      <c r="O80" s="11" t="n">
        <v>20412</v>
      </c>
      <c r="P80" s="11" t="n">
        <v>11664</v>
      </c>
    </row>
    <row r="81">
      <c r="A81" s="4" t="inlineStr">
        <is>
          <t>SKU081</t>
        </is>
      </c>
      <c r="B81" s="4" t="inlineStr">
        <is>
          <t>Bluetooth Speaker</t>
        </is>
      </c>
      <c r="C81" s="4" t="inlineStr">
        <is>
          <t>Electronics Accessories</t>
        </is>
      </c>
      <c r="D81" s="4" t="inlineStr">
        <is>
          <t>WH04</t>
        </is>
      </c>
      <c r="E81" s="4" t="inlineStr">
        <is>
          <t>Bhiwandi DC</t>
        </is>
      </c>
      <c r="F81" s="4" t="inlineStr">
        <is>
          <t>West</t>
        </is>
      </c>
      <c r="G81" s="4" t="inlineStr">
        <is>
          <t>WH12</t>
        </is>
      </c>
      <c r="H81" s="4" t="inlineStr">
        <is>
          <t>Nagpur DC</t>
        </is>
      </c>
      <c r="I81" s="4" t="inlineStr">
        <is>
          <t>Central</t>
        </is>
      </c>
      <c r="J81" s="4" t="inlineStr">
        <is>
          <t>LOW</t>
        </is>
      </c>
      <c r="K81" s="11" t="n">
        <v>192</v>
      </c>
      <c r="L81" s="4" t="n">
        <v>0</v>
      </c>
      <c r="M81" s="11" t="n">
        <v>43584</v>
      </c>
      <c r="N81" s="11" t="n">
        <v>1152</v>
      </c>
      <c r="O81" s="11" t="n">
        <v>12672</v>
      </c>
      <c r="P81" s="11" t="n">
        <v>11520</v>
      </c>
    </row>
    <row r="82">
      <c r="A82" s="4" t="inlineStr">
        <is>
          <t>SKU059</t>
        </is>
      </c>
      <c r="B82" s="4" t="inlineStr">
        <is>
          <t>Lip Balm</t>
        </is>
      </c>
      <c r="C82" s="4" t="inlineStr">
        <is>
          <t>Personal Care</t>
        </is>
      </c>
      <c r="D82" s="4" t="inlineStr">
        <is>
          <t>WH04</t>
        </is>
      </c>
      <c r="E82" s="4" t="inlineStr">
        <is>
          <t>Bhiwandi DC</t>
        </is>
      </c>
      <c r="F82" s="4" t="inlineStr">
        <is>
          <t>West</t>
        </is>
      </c>
      <c r="G82" s="4" t="inlineStr">
        <is>
          <t>WH06</t>
        </is>
      </c>
      <c r="H82" s="4" t="inlineStr">
        <is>
          <t>Ahmedabad DC</t>
        </is>
      </c>
      <c r="I82" s="4" t="inlineStr">
        <is>
          <t>West</t>
        </is>
      </c>
      <c r="J82" s="4" t="inlineStr">
        <is>
          <t>STOCKOUT</t>
        </is>
      </c>
      <c r="K82" s="11" t="n">
        <v>249</v>
      </c>
      <c r="L82" s="4" t="n">
        <v>1</v>
      </c>
      <c r="M82" s="11" t="n">
        <v>37350</v>
      </c>
      <c r="N82" s="11" t="n">
        <v>623</v>
      </c>
      <c r="O82" s="11" t="n">
        <v>11952</v>
      </c>
      <c r="P82" s="11" t="n">
        <v>11330</v>
      </c>
    </row>
    <row r="83">
      <c r="A83" s="4" t="inlineStr">
        <is>
          <t>SKU065</t>
        </is>
      </c>
      <c r="B83" s="4" t="inlineStr">
        <is>
          <t>Glass Cleaner 500ml</t>
        </is>
      </c>
      <c r="C83" s="4" t="inlineStr">
        <is>
          <t>Home Care</t>
        </is>
      </c>
      <c r="D83" s="4" t="inlineStr">
        <is>
          <t>WH03</t>
        </is>
      </c>
      <c r="E83" s="4" t="inlineStr">
        <is>
          <t>Lucknow DC</t>
        </is>
      </c>
      <c r="F83" s="4" t="inlineStr">
        <is>
          <t>North</t>
        </is>
      </c>
      <c r="G83" s="4" t="inlineStr">
        <is>
          <t>WH02</t>
        </is>
      </c>
      <c r="H83" s="4" t="inlineStr">
        <is>
          <t>Jaipur DC</t>
        </is>
      </c>
      <c r="I83" s="4" t="inlineStr">
        <is>
          <t>North</t>
        </is>
      </c>
      <c r="J83" s="4" t="inlineStr">
        <is>
          <t>STOCKOUT</t>
        </is>
      </c>
      <c r="K83" s="11" t="n">
        <v>633</v>
      </c>
      <c r="L83" s="4" t="n">
        <v>1</v>
      </c>
      <c r="M83" s="11" t="n">
        <v>51906</v>
      </c>
      <c r="N83" s="11" t="n">
        <v>1583</v>
      </c>
      <c r="O83" s="11" t="n">
        <v>12660</v>
      </c>
      <c r="P83" s="11" t="n">
        <v>11078</v>
      </c>
    </row>
    <row r="84">
      <c r="A84" s="4" t="inlineStr">
        <is>
          <t>SKU105</t>
        </is>
      </c>
      <c r="B84" s="4" t="inlineStr">
        <is>
          <t>Face Masks 50pk</t>
        </is>
      </c>
      <c r="C84" s="4" t="inlineStr">
        <is>
          <t>OTC Pharma &amp; Wellness</t>
        </is>
      </c>
      <c r="D84" s="4" t="inlineStr">
        <is>
          <t>WH04</t>
        </is>
      </c>
      <c r="E84" s="4" t="inlineStr">
        <is>
          <t>Bhiwandi DC</t>
        </is>
      </c>
      <c r="F84" s="4" t="inlineStr">
        <is>
          <t>West</t>
        </is>
      </c>
      <c r="G84" s="4" t="inlineStr">
        <is>
          <t>WH09</t>
        </is>
      </c>
      <c r="H84" s="4" t="inlineStr">
        <is>
          <t>Hyderabad DC</t>
        </is>
      </c>
      <c r="I84" s="4" t="inlineStr">
        <is>
          <t>South</t>
        </is>
      </c>
      <c r="J84" s="4" t="inlineStr">
        <is>
          <t>LOW</t>
        </is>
      </c>
      <c r="K84" s="11" t="n">
        <v>480</v>
      </c>
      <c r="L84" s="4" t="n">
        <v>0</v>
      </c>
      <c r="M84" s="11" t="n">
        <v>44160</v>
      </c>
      <c r="N84" s="11" t="n">
        <v>2880</v>
      </c>
      <c r="O84" s="11" t="n">
        <v>13920</v>
      </c>
      <c r="P84" s="11" t="n">
        <v>11040</v>
      </c>
    </row>
    <row r="85">
      <c r="A85" s="4" t="inlineStr">
        <is>
          <t>SKU101</t>
        </is>
      </c>
      <c r="B85" s="4" t="inlineStr">
        <is>
          <t>Vitamin C 30s</t>
        </is>
      </c>
      <c r="C85" s="4" t="inlineStr">
        <is>
          <t>OTC Pharma &amp; Wellness</t>
        </is>
      </c>
      <c r="D85" s="4" t="inlineStr">
        <is>
          <t>WH10</t>
        </is>
      </c>
      <c r="E85" s="4" t="inlineStr">
        <is>
          <t>Kolkata DC</t>
        </is>
      </c>
      <c r="F85" s="4" t="inlineStr">
        <is>
          <t>East</t>
        </is>
      </c>
      <c r="G85" s="4" t="inlineStr">
        <is>
          <t>WH11</t>
        </is>
      </c>
      <c r="H85" s="4" t="inlineStr">
        <is>
          <t>Guwahati DC</t>
        </is>
      </c>
      <c r="I85" s="4" t="inlineStr">
        <is>
          <t>East</t>
        </is>
      </c>
      <c r="J85" s="4" t="inlineStr">
        <is>
          <t>LOW</t>
        </is>
      </c>
      <c r="K85" s="11" t="n">
        <v>181</v>
      </c>
      <c r="L85" s="4" t="n">
        <v>1</v>
      </c>
      <c r="M85" s="11" t="n">
        <v>31856</v>
      </c>
      <c r="N85" s="11" t="n">
        <v>453</v>
      </c>
      <c r="O85" s="11" t="n">
        <v>11041</v>
      </c>
      <c r="P85" s="11" t="n">
        <v>10589</v>
      </c>
    </row>
    <row r="86">
      <c r="A86" s="4" t="inlineStr">
        <is>
          <t>SKU066</t>
        </is>
      </c>
      <c r="B86" s="4" t="inlineStr">
        <is>
          <t>Fabric Softener 1L</t>
        </is>
      </c>
      <c r="C86" s="4" t="inlineStr">
        <is>
          <t>Home Care</t>
        </is>
      </c>
      <c r="D86" s="4" t="inlineStr">
        <is>
          <t>WH04</t>
        </is>
      </c>
      <c r="E86" s="4" t="inlineStr">
        <is>
          <t>Bhiwandi DC</t>
        </is>
      </c>
      <c r="F86" s="4" t="inlineStr">
        <is>
          <t>West</t>
        </is>
      </c>
      <c r="G86" s="4" t="inlineStr">
        <is>
          <t>WH05</t>
        </is>
      </c>
      <c r="H86" s="4" t="inlineStr">
        <is>
          <t>Pune DC</t>
        </is>
      </c>
      <c r="I86" s="4" t="inlineStr">
        <is>
          <t>West</t>
        </is>
      </c>
      <c r="J86" s="4" t="inlineStr">
        <is>
          <t>LOW</t>
        </is>
      </c>
      <c r="K86" s="11" t="n">
        <v>871</v>
      </c>
      <c r="L86" s="4" t="n">
        <v>1</v>
      </c>
      <c r="M86" s="11" t="n">
        <v>44421</v>
      </c>
      <c r="N86" s="11" t="n">
        <v>2178</v>
      </c>
      <c r="O86" s="11" t="n">
        <v>12194</v>
      </c>
      <c r="P86" s="11" t="n">
        <v>10017</v>
      </c>
    </row>
    <row r="87">
      <c r="A87" s="4" t="inlineStr">
        <is>
          <t>SKU066</t>
        </is>
      </c>
      <c r="B87" s="4" t="inlineStr">
        <is>
          <t>Fabric Softener 1L</t>
        </is>
      </c>
      <c r="C87" s="4" t="inlineStr">
        <is>
          <t>Home Care</t>
        </is>
      </c>
      <c r="D87" s="4" t="inlineStr">
        <is>
          <t>WH04</t>
        </is>
      </c>
      <c r="E87" s="4" t="inlineStr">
        <is>
          <t>Bhiwandi DC</t>
        </is>
      </c>
      <c r="F87" s="4" t="inlineStr">
        <is>
          <t>West</t>
        </is>
      </c>
      <c r="G87" s="4" t="inlineStr">
        <is>
          <t>WH10</t>
        </is>
      </c>
      <c r="H87" s="4" t="inlineStr">
        <is>
          <t>Kolkata DC</t>
        </is>
      </c>
      <c r="I87" s="4" t="inlineStr">
        <is>
          <t>East</t>
        </is>
      </c>
      <c r="J87" s="4" t="inlineStr">
        <is>
          <t>CRITICAL</t>
        </is>
      </c>
      <c r="K87" s="11" t="n">
        <v>1239</v>
      </c>
      <c r="L87" s="4" t="n">
        <v>0</v>
      </c>
      <c r="M87" s="11" t="n">
        <v>63189</v>
      </c>
      <c r="N87" s="11" t="n">
        <v>7434</v>
      </c>
      <c r="O87" s="11" t="n">
        <v>17346</v>
      </c>
      <c r="P87" s="11" t="n">
        <v>9912</v>
      </c>
    </row>
    <row r="88">
      <c r="A88" s="4" t="inlineStr">
        <is>
          <t>SKU107</t>
        </is>
      </c>
      <c r="B88" s="4" t="inlineStr">
        <is>
          <t>Stretch Film 500mm</t>
        </is>
      </c>
      <c r="C88" s="4" t="inlineStr">
        <is>
          <t>Packaging &amp; Supplies</t>
        </is>
      </c>
      <c r="D88" s="4" t="inlineStr">
        <is>
          <t>WH01</t>
        </is>
      </c>
      <c r="E88" s="4" t="inlineStr">
        <is>
          <t>Gurugram DC</t>
        </is>
      </c>
      <c r="F88" s="4" t="inlineStr">
        <is>
          <t>North</t>
        </is>
      </c>
      <c r="G88" s="4" t="inlineStr">
        <is>
          <t>WH05</t>
        </is>
      </c>
      <c r="H88" s="4" t="inlineStr">
        <is>
          <t>Pune DC</t>
        </is>
      </c>
      <c r="I88" s="4" t="inlineStr">
        <is>
          <t>West</t>
        </is>
      </c>
      <c r="J88" s="4" t="inlineStr">
        <is>
          <t>STOCKOUT</t>
        </is>
      </c>
      <c r="K88" s="11" t="n">
        <v>186</v>
      </c>
      <c r="L88" s="4" t="n">
        <v>0</v>
      </c>
      <c r="M88" s="11" t="n">
        <v>60264</v>
      </c>
      <c r="N88" s="11" t="n">
        <v>1116</v>
      </c>
      <c r="O88" s="11" t="n">
        <v>10974</v>
      </c>
      <c r="P88" s="11" t="n">
        <v>9858</v>
      </c>
    </row>
    <row r="89">
      <c r="A89" s="4" t="inlineStr">
        <is>
          <t>SKU090</t>
        </is>
      </c>
      <c r="B89" s="4" t="inlineStr">
        <is>
          <t>HDMI Cable 2m</t>
        </is>
      </c>
      <c r="C89" s="4" t="inlineStr">
        <is>
          <t>Electronics Accessories</t>
        </is>
      </c>
      <c r="D89" s="4" t="inlineStr">
        <is>
          <t>WH04</t>
        </is>
      </c>
      <c r="E89" s="4" t="inlineStr">
        <is>
          <t>Bhiwandi DC</t>
        </is>
      </c>
      <c r="F89" s="4" t="inlineStr">
        <is>
          <t>West</t>
        </is>
      </c>
      <c r="G89" s="4" t="inlineStr">
        <is>
          <t>WH06</t>
        </is>
      </c>
      <c r="H89" s="4" t="inlineStr">
        <is>
          <t>Ahmedabad DC</t>
        </is>
      </c>
      <c r="I89" s="4" t="inlineStr">
        <is>
          <t>West</t>
        </is>
      </c>
      <c r="J89" s="4" t="inlineStr">
        <is>
          <t>LOW</t>
        </is>
      </c>
      <c r="K89" s="11" t="n">
        <v>117</v>
      </c>
      <c r="L89" s="4" t="n">
        <v>1</v>
      </c>
      <c r="M89" s="11" t="n">
        <v>34164</v>
      </c>
      <c r="N89" s="11" t="n">
        <v>293</v>
      </c>
      <c r="O89" s="11" t="n">
        <v>10062</v>
      </c>
      <c r="P89" s="11" t="n">
        <v>9770</v>
      </c>
    </row>
    <row r="90">
      <c r="A90" s="4" t="inlineStr">
        <is>
          <t>SKU075</t>
        </is>
      </c>
      <c r="B90" s="4" t="inlineStr">
        <is>
          <t>Naphthalene Balls 200g</t>
        </is>
      </c>
      <c r="C90" s="4" t="inlineStr">
        <is>
          <t>Home Care</t>
        </is>
      </c>
      <c r="D90" s="4" t="inlineStr">
        <is>
          <t>WH04</t>
        </is>
      </c>
      <c r="E90" s="4" t="inlineStr">
        <is>
          <t>Bhiwandi DC</t>
        </is>
      </c>
      <c r="F90" s="4" t="inlineStr">
        <is>
          <t>West</t>
        </is>
      </c>
      <c r="G90" s="4" t="inlineStr">
        <is>
          <t>WH07</t>
        </is>
      </c>
      <c r="H90" s="4" t="inlineStr">
        <is>
          <t>Bengaluru DC</t>
        </is>
      </c>
      <c r="I90" s="4" t="inlineStr">
        <is>
          <t>South</t>
        </is>
      </c>
      <c r="J90" s="4" t="inlineStr">
        <is>
          <t>STOCKOUT</t>
        </is>
      </c>
      <c r="K90" s="11" t="n">
        <v>1943</v>
      </c>
      <c r="L90" s="4" t="n">
        <v>0</v>
      </c>
      <c r="M90" s="11" t="n">
        <v>95207</v>
      </c>
      <c r="N90" s="11" t="n">
        <v>11658</v>
      </c>
      <c r="O90" s="11" t="n">
        <v>21373</v>
      </c>
      <c r="P90" s="11" t="n">
        <v>9715</v>
      </c>
    </row>
    <row r="91">
      <c r="A91" s="4" t="inlineStr">
        <is>
          <t>SKU033</t>
        </is>
      </c>
      <c r="B91" s="4" t="inlineStr">
        <is>
          <t>Glucose Biscuits 300g</t>
        </is>
      </c>
      <c r="C91" s="4" t="inlineStr">
        <is>
          <t>Snacks &amp; Confectionery</t>
        </is>
      </c>
      <c r="D91" s="4" t="inlineStr">
        <is>
          <t>WH12</t>
        </is>
      </c>
      <c r="E91" s="4" t="inlineStr">
        <is>
          <t>Nagpur DC</t>
        </is>
      </c>
      <c r="F91" s="4" t="inlineStr">
        <is>
          <t>Central</t>
        </is>
      </c>
      <c r="G91" s="4" t="inlineStr">
        <is>
          <t>WH06</t>
        </is>
      </c>
      <c r="H91" s="4" t="inlineStr">
        <is>
          <t>Ahmedabad DC</t>
        </is>
      </c>
      <c r="I91" s="4" t="inlineStr">
        <is>
          <t>West</t>
        </is>
      </c>
      <c r="J91" s="4" t="inlineStr">
        <is>
          <t>STOCKOUT</t>
        </is>
      </c>
      <c r="K91" s="11" t="n">
        <v>499</v>
      </c>
      <c r="L91" s="4" t="n">
        <v>0</v>
      </c>
      <c r="M91" s="11" t="n">
        <v>59381</v>
      </c>
      <c r="N91" s="11" t="n">
        <v>2994</v>
      </c>
      <c r="O91" s="11" t="n">
        <v>12475</v>
      </c>
      <c r="P91" s="11" t="n">
        <v>9481</v>
      </c>
    </row>
    <row r="92">
      <c r="A92" s="4" t="inlineStr">
        <is>
          <t>SKU033</t>
        </is>
      </c>
      <c r="B92" s="4" t="inlineStr">
        <is>
          <t>Glucose Biscuits 300g</t>
        </is>
      </c>
      <c r="C92" s="4" t="inlineStr">
        <is>
          <t>Snacks &amp; Confectionery</t>
        </is>
      </c>
      <c r="D92" s="4" t="inlineStr">
        <is>
          <t>WH12</t>
        </is>
      </c>
      <c r="E92" s="4" t="inlineStr">
        <is>
          <t>Nagpur DC</t>
        </is>
      </c>
      <c r="F92" s="4" t="inlineStr">
        <is>
          <t>Central</t>
        </is>
      </c>
      <c r="G92" s="4" t="inlineStr">
        <is>
          <t>WH08</t>
        </is>
      </c>
      <c r="H92" s="4" t="inlineStr">
        <is>
          <t>Chennai DC</t>
        </is>
      </c>
      <c r="I92" s="4" t="inlineStr">
        <is>
          <t>South</t>
        </is>
      </c>
      <c r="J92" s="4" t="inlineStr">
        <is>
          <t>CRITICAL</t>
        </is>
      </c>
      <c r="K92" s="11" t="n">
        <v>499</v>
      </c>
      <c r="L92" s="4" t="n">
        <v>0</v>
      </c>
      <c r="M92" s="11" t="n">
        <v>59381</v>
      </c>
      <c r="N92" s="11" t="n">
        <v>2994</v>
      </c>
      <c r="O92" s="11" t="n">
        <v>12475</v>
      </c>
      <c r="P92" s="11" t="n">
        <v>9481</v>
      </c>
    </row>
    <row r="93">
      <c r="A93" s="4" t="inlineStr">
        <is>
          <t>SKU033</t>
        </is>
      </c>
      <c r="B93" s="4" t="inlineStr">
        <is>
          <t>Glucose Biscuits 300g</t>
        </is>
      </c>
      <c r="C93" s="4" t="inlineStr">
        <is>
          <t>Snacks &amp; Confectionery</t>
        </is>
      </c>
      <c r="D93" s="4" t="inlineStr">
        <is>
          <t>WH12</t>
        </is>
      </c>
      <c r="E93" s="4" t="inlineStr">
        <is>
          <t>Nagpur DC</t>
        </is>
      </c>
      <c r="F93" s="4" t="inlineStr">
        <is>
          <t>Central</t>
        </is>
      </c>
      <c r="G93" s="4" t="inlineStr">
        <is>
          <t>WH10</t>
        </is>
      </c>
      <c r="H93" s="4" t="inlineStr">
        <is>
          <t>Kolkata DC</t>
        </is>
      </c>
      <c r="I93" s="4" t="inlineStr">
        <is>
          <t>East</t>
        </is>
      </c>
      <c r="J93" s="4" t="inlineStr">
        <is>
          <t>LOW</t>
        </is>
      </c>
      <c r="K93" s="11" t="n">
        <v>499</v>
      </c>
      <c r="L93" s="4" t="n">
        <v>0</v>
      </c>
      <c r="M93" s="11" t="n">
        <v>59381</v>
      </c>
      <c r="N93" s="11" t="n">
        <v>2994</v>
      </c>
      <c r="O93" s="11" t="n">
        <v>12475</v>
      </c>
      <c r="P93" s="11" t="n">
        <v>9481</v>
      </c>
    </row>
    <row r="94">
      <c r="A94" s="4" t="inlineStr">
        <is>
          <t>SKU004</t>
        </is>
      </c>
      <c r="B94" s="4" t="inlineStr">
        <is>
          <t>Moong Dal 1kg</t>
        </is>
      </c>
      <c r="C94" s="4" t="inlineStr">
        <is>
          <t>Packaged Staples</t>
        </is>
      </c>
      <c r="D94" s="4" t="inlineStr">
        <is>
          <t>WH04</t>
        </is>
      </c>
      <c r="E94" s="4" t="inlineStr">
        <is>
          <t>Bhiwandi DC</t>
        </is>
      </c>
      <c r="F94" s="4" t="inlineStr">
        <is>
          <t>West</t>
        </is>
      </c>
      <c r="G94" s="4" t="inlineStr">
        <is>
          <t>WH05</t>
        </is>
      </c>
      <c r="H94" s="4" t="inlineStr">
        <is>
          <t>Pune DC</t>
        </is>
      </c>
      <c r="I94" s="4" t="inlineStr">
        <is>
          <t>West</t>
        </is>
      </c>
      <c r="J94" s="4" t="inlineStr">
        <is>
          <t>LOW</t>
        </is>
      </c>
      <c r="K94" s="11" t="n">
        <v>1112</v>
      </c>
      <c r="L94" s="4" t="n">
        <v>1</v>
      </c>
      <c r="M94" s="11" t="n">
        <v>88960</v>
      </c>
      <c r="N94" s="11" t="n">
        <v>2780</v>
      </c>
      <c r="O94" s="11" t="n">
        <v>12232</v>
      </c>
      <c r="P94" s="11" t="n">
        <v>9452</v>
      </c>
    </row>
    <row r="95">
      <c r="A95" s="4" t="inlineStr">
        <is>
          <t>SKU040</t>
        </is>
      </c>
      <c r="B95" s="4" t="inlineStr">
        <is>
          <t>Wafers 75g</t>
        </is>
      </c>
      <c r="C95" s="4" t="inlineStr">
        <is>
          <t>Snacks &amp; Confectionery</t>
        </is>
      </c>
      <c r="D95" s="4" t="inlineStr">
        <is>
          <t>WH04</t>
        </is>
      </c>
      <c r="E95" s="4" t="inlineStr">
        <is>
          <t>Bhiwandi DC</t>
        </is>
      </c>
      <c r="F95" s="4" t="inlineStr">
        <is>
          <t>West</t>
        </is>
      </c>
      <c r="G95" s="4" t="inlineStr">
        <is>
          <t>WH03</t>
        </is>
      </c>
      <c r="H95" s="4" t="inlineStr">
        <is>
          <t>Lucknow DC</t>
        </is>
      </c>
      <c r="I95" s="4" t="inlineStr">
        <is>
          <t>North</t>
        </is>
      </c>
      <c r="J95" s="4" t="inlineStr">
        <is>
          <t>LOW</t>
        </is>
      </c>
      <c r="K95" s="11" t="n">
        <v>727</v>
      </c>
      <c r="L95" s="4" t="n">
        <v>0</v>
      </c>
      <c r="M95" s="11" t="n">
        <v>65430</v>
      </c>
      <c r="N95" s="11" t="n">
        <v>4362</v>
      </c>
      <c r="O95" s="11" t="n">
        <v>13813</v>
      </c>
      <c r="P95" s="11" t="n">
        <v>9451</v>
      </c>
    </row>
    <row r="96">
      <c r="A96" s="4" t="inlineStr">
        <is>
          <t>SKU059</t>
        </is>
      </c>
      <c r="B96" s="4" t="inlineStr">
        <is>
          <t>Lip Balm</t>
        </is>
      </c>
      <c r="C96" s="4" t="inlineStr">
        <is>
          <t>Personal Care</t>
        </is>
      </c>
      <c r="D96" s="4" t="inlineStr">
        <is>
          <t>WH04</t>
        </is>
      </c>
      <c r="E96" s="4" t="inlineStr">
        <is>
          <t>Bhiwandi DC</t>
        </is>
      </c>
      <c r="F96" s="4" t="inlineStr">
        <is>
          <t>West</t>
        </is>
      </c>
      <c r="G96" s="4" t="inlineStr">
        <is>
          <t>WH05</t>
        </is>
      </c>
      <c r="H96" s="4" t="inlineStr">
        <is>
          <t>Pune DC</t>
        </is>
      </c>
      <c r="I96" s="4" t="inlineStr">
        <is>
          <t>West</t>
        </is>
      </c>
      <c r="J96" s="4" t="inlineStr">
        <is>
          <t>LOW</t>
        </is>
      </c>
      <c r="K96" s="11" t="n">
        <v>207</v>
      </c>
      <c r="L96" s="4" t="n">
        <v>1</v>
      </c>
      <c r="M96" s="11" t="n">
        <v>31050</v>
      </c>
      <c r="N96" s="11" t="n">
        <v>518</v>
      </c>
      <c r="O96" s="11" t="n">
        <v>9936</v>
      </c>
      <c r="P96" s="11" t="n">
        <v>9419</v>
      </c>
    </row>
    <row r="97">
      <c r="A97" s="4" t="inlineStr">
        <is>
          <t>SKU065</t>
        </is>
      </c>
      <c r="B97" s="4" t="inlineStr">
        <is>
          <t>Glass Cleaner 500ml</t>
        </is>
      </c>
      <c r="C97" s="4" t="inlineStr">
        <is>
          <t>Home Care</t>
        </is>
      </c>
      <c r="D97" s="4" t="inlineStr">
        <is>
          <t>WH11</t>
        </is>
      </c>
      <c r="E97" s="4" t="inlineStr">
        <is>
          <t>Guwahati DC</t>
        </is>
      </c>
      <c r="F97" s="4" t="inlineStr">
        <is>
          <t>East</t>
        </is>
      </c>
      <c r="G97" s="4" t="inlineStr">
        <is>
          <t>WH10</t>
        </is>
      </c>
      <c r="H97" s="4" t="inlineStr">
        <is>
          <t>Kolkata DC</t>
        </is>
      </c>
      <c r="I97" s="4" t="inlineStr">
        <is>
          <t>East</t>
        </is>
      </c>
      <c r="J97" s="4" t="inlineStr">
        <is>
          <t>LOW</t>
        </is>
      </c>
      <c r="K97" s="11" t="n">
        <v>523</v>
      </c>
      <c r="L97" s="4" t="n">
        <v>1</v>
      </c>
      <c r="M97" s="11" t="n">
        <v>42886</v>
      </c>
      <c r="N97" s="11" t="n">
        <v>1308</v>
      </c>
      <c r="O97" s="11" t="n">
        <v>10460</v>
      </c>
      <c r="P97" s="11" t="n">
        <v>9153</v>
      </c>
    </row>
    <row r="98">
      <c r="A98" s="4" t="inlineStr">
        <is>
          <t>SKU105</t>
        </is>
      </c>
      <c r="B98" s="4" t="inlineStr">
        <is>
          <t>Face Masks 50pk</t>
        </is>
      </c>
      <c r="C98" s="4" t="inlineStr">
        <is>
          <t>OTC Pharma &amp; Wellness</t>
        </is>
      </c>
      <c r="D98" s="4" t="inlineStr">
        <is>
          <t>WH04</t>
        </is>
      </c>
      <c r="E98" s="4" t="inlineStr">
        <is>
          <t>Bhiwandi DC</t>
        </is>
      </c>
      <c r="F98" s="4" t="inlineStr">
        <is>
          <t>West</t>
        </is>
      </c>
      <c r="G98" s="4" t="inlineStr">
        <is>
          <t>WH11</t>
        </is>
      </c>
      <c r="H98" s="4" t="inlineStr">
        <is>
          <t>Guwahati DC</t>
        </is>
      </c>
      <c r="I98" s="4" t="inlineStr">
        <is>
          <t>East</t>
        </is>
      </c>
      <c r="J98" s="4" t="inlineStr">
        <is>
          <t>STOCKOUT</t>
        </is>
      </c>
      <c r="K98" s="11" t="n">
        <v>383</v>
      </c>
      <c r="L98" s="4" t="n">
        <v>0</v>
      </c>
      <c r="M98" s="11" t="n">
        <v>35236</v>
      </c>
      <c r="N98" s="11" t="n">
        <v>2298</v>
      </c>
      <c r="O98" s="11" t="n">
        <v>11107</v>
      </c>
      <c r="P98" s="11" t="n">
        <v>8809</v>
      </c>
    </row>
    <row r="99">
      <c r="A99" s="4" t="inlineStr">
        <is>
          <t>SKU091</t>
        </is>
      </c>
      <c r="B99" s="4" t="inlineStr">
        <is>
          <t>Paracetamol 500mg 15s</t>
        </is>
      </c>
      <c r="C99" s="4" t="inlineStr">
        <is>
          <t>OTC Pharma &amp; Wellness</t>
        </is>
      </c>
      <c r="D99" s="4" t="inlineStr">
        <is>
          <t>WH09</t>
        </is>
      </c>
      <c r="E99" s="4" t="inlineStr">
        <is>
          <t>Hyderabad DC</t>
        </is>
      </c>
      <c r="F99" s="4" t="inlineStr">
        <is>
          <t>South</t>
        </is>
      </c>
      <c r="G99" s="4" t="inlineStr">
        <is>
          <t>WH08</t>
        </is>
      </c>
      <c r="H99" s="4" t="inlineStr">
        <is>
          <t>Chennai DC</t>
        </is>
      </c>
      <c r="I99" s="4" t="inlineStr">
        <is>
          <t>South</t>
        </is>
      </c>
      <c r="J99" s="4" t="inlineStr">
        <is>
          <t>LOW</t>
        </is>
      </c>
      <c r="K99" s="11" t="n">
        <v>299</v>
      </c>
      <c r="L99" s="4" t="n">
        <v>1</v>
      </c>
      <c r="M99" s="11" t="n">
        <v>33787</v>
      </c>
      <c r="N99" s="11" t="n">
        <v>748</v>
      </c>
      <c r="O99" s="11" t="n">
        <v>9269</v>
      </c>
      <c r="P99" s="11" t="n">
        <v>8522</v>
      </c>
    </row>
    <row r="100">
      <c r="A100" s="4" t="inlineStr">
        <is>
          <t>SKU075</t>
        </is>
      </c>
      <c r="B100" s="4" t="inlineStr">
        <is>
          <t>Naphthalene Balls 200g</t>
        </is>
      </c>
      <c r="C100" s="4" t="inlineStr">
        <is>
          <t>Home Care</t>
        </is>
      </c>
      <c r="D100" s="4" t="inlineStr">
        <is>
          <t>WH04</t>
        </is>
      </c>
      <c r="E100" s="4" t="inlineStr">
        <is>
          <t>Bhiwandi DC</t>
        </is>
      </c>
      <c r="F100" s="4" t="inlineStr">
        <is>
          <t>West</t>
        </is>
      </c>
      <c r="G100" s="4" t="inlineStr">
        <is>
          <t>WH09</t>
        </is>
      </c>
      <c r="H100" s="4" t="inlineStr">
        <is>
          <t>Hyderabad DC</t>
        </is>
      </c>
      <c r="I100" s="4" t="inlineStr">
        <is>
          <t>South</t>
        </is>
      </c>
      <c r="J100" s="4" t="inlineStr">
        <is>
          <t>CRITICAL</t>
        </is>
      </c>
      <c r="K100" s="11" t="n">
        <v>1686</v>
      </c>
      <c r="L100" s="4" t="n">
        <v>0</v>
      </c>
      <c r="M100" s="11" t="n">
        <v>82614</v>
      </c>
      <c r="N100" s="11" t="n">
        <v>10116</v>
      </c>
      <c r="O100" s="11" t="n">
        <v>18546</v>
      </c>
      <c r="P100" s="11" t="n">
        <v>8430</v>
      </c>
    </row>
    <row r="101">
      <c r="A101" s="4" t="inlineStr">
        <is>
          <t>SKU077</t>
        </is>
      </c>
      <c r="B101" s="4" t="inlineStr">
        <is>
          <t>Fast Charger 25W</t>
        </is>
      </c>
      <c r="C101" s="4" t="inlineStr">
        <is>
          <t>Electronics Accessories</t>
        </is>
      </c>
      <c r="D101" s="4" t="inlineStr">
        <is>
          <t>WH09</t>
        </is>
      </c>
      <c r="E101" s="4" t="inlineStr">
        <is>
          <t>Hyderabad DC</t>
        </is>
      </c>
      <c r="F101" s="4" t="inlineStr">
        <is>
          <t>South</t>
        </is>
      </c>
      <c r="G101" s="4" t="inlineStr">
        <is>
          <t>WH05</t>
        </is>
      </c>
      <c r="H101" s="4" t="inlineStr">
        <is>
          <t>Pune DC</t>
        </is>
      </c>
      <c r="I101" s="4" t="inlineStr">
        <is>
          <t>West</t>
        </is>
      </c>
      <c r="J101" s="4" t="inlineStr">
        <is>
          <t>STOCKOUT</t>
        </is>
      </c>
      <c r="K101" s="11" t="n">
        <v>87</v>
      </c>
      <c r="L101" s="4" t="n">
        <v>0</v>
      </c>
      <c r="M101" s="11" t="n">
        <v>31668</v>
      </c>
      <c r="N101" s="11" t="n">
        <v>522</v>
      </c>
      <c r="O101" s="11" t="n">
        <v>8787</v>
      </c>
      <c r="P101" s="11" t="n">
        <v>8265</v>
      </c>
    </row>
    <row r="102">
      <c r="A102" s="4" t="inlineStr">
        <is>
          <t>SKU077</t>
        </is>
      </c>
      <c r="B102" s="4" t="inlineStr">
        <is>
          <t>Fast Charger 25W</t>
        </is>
      </c>
      <c r="C102" s="4" t="inlineStr">
        <is>
          <t>Electronics Accessories</t>
        </is>
      </c>
      <c r="D102" s="4" t="inlineStr">
        <is>
          <t>WH09</t>
        </is>
      </c>
      <c r="E102" s="4" t="inlineStr">
        <is>
          <t>Hyderabad DC</t>
        </is>
      </c>
      <c r="F102" s="4" t="inlineStr">
        <is>
          <t>South</t>
        </is>
      </c>
      <c r="G102" s="4" t="inlineStr">
        <is>
          <t>WH10</t>
        </is>
      </c>
      <c r="H102" s="4" t="inlineStr">
        <is>
          <t>Kolkata DC</t>
        </is>
      </c>
      <c r="I102" s="4" t="inlineStr">
        <is>
          <t>East</t>
        </is>
      </c>
      <c r="J102" s="4" t="inlineStr">
        <is>
          <t>LOW</t>
        </is>
      </c>
      <c r="K102" s="11" t="n">
        <v>87</v>
      </c>
      <c r="L102" s="4" t="n">
        <v>0</v>
      </c>
      <c r="M102" s="11" t="n">
        <v>31668</v>
      </c>
      <c r="N102" s="11" t="n">
        <v>522</v>
      </c>
      <c r="O102" s="11" t="n">
        <v>8787</v>
      </c>
      <c r="P102" s="11" t="n">
        <v>8265</v>
      </c>
    </row>
    <row r="103">
      <c r="A103" s="4" t="inlineStr">
        <is>
          <t>SKU004</t>
        </is>
      </c>
      <c r="B103" s="4" t="inlineStr">
        <is>
          <t>Moong Dal 1kg</t>
        </is>
      </c>
      <c r="C103" s="4" t="inlineStr">
        <is>
          <t>Packaged Staples</t>
        </is>
      </c>
      <c r="D103" s="4" t="inlineStr">
        <is>
          <t>WH04</t>
        </is>
      </c>
      <c r="E103" s="4" t="inlineStr">
        <is>
          <t>Bhiwandi DC</t>
        </is>
      </c>
      <c r="F103" s="4" t="inlineStr">
        <is>
          <t>West</t>
        </is>
      </c>
      <c r="G103" s="4" t="inlineStr">
        <is>
          <t>WH10</t>
        </is>
      </c>
      <c r="H103" s="4" t="inlineStr">
        <is>
          <t>Kolkata DC</t>
        </is>
      </c>
      <c r="I103" s="4" t="inlineStr">
        <is>
          <t>East</t>
        </is>
      </c>
      <c r="J103" s="4" t="inlineStr">
        <is>
          <t>LOW</t>
        </is>
      </c>
      <c r="K103" s="11" t="n">
        <v>1621</v>
      </c>
      <c r="L103" s="4" t="n">
        <v>0</v>
      </c>
      <c r="M103" s="11" t="n">
        <v>129680</v>
      </c>
      <c r="N103" s="11" t="n">
        <v>9726</v>
      </c>
      <c r="O103" s="11" t="n">
        <v>17831</v>
      </c>
      <c r="P103" s="11" t="n">
        <v>8105</v>
      </c>
    </row>
    <row r="104">
      <c r="A104" s="4" t="inlineStr">
        <is>
          <t>SKU051</t>
        </is>
      </c>
      <c r="B104" s="4" t="inlineStr">
        <is>
          <t>Hair Oil 200ml</t>
        </is>
      </c>
      <c r="C104" s="4" t="inlineStr">
        <is>
          <t>Personal Care</t>
        </is>
      </c>
      <c r="D104" s="4" t="inlineStr">
        <is>
          <t>WH12</t>
        </is>
      </c>
      <c r="E104" s="4" t="inlineStr">
        <is>
          <t>Nagpur DC</t>
        </is>
      </c>
      <c r="F104" s="4" t="inlineStr">
        <is>
          <t>Central</t>
        </is>
      </c>
      <c r="G104" s="4" t="inlineStr">
        <is>
          <t>WH08</t>
        </is>
      </c>
      <c r="H104" s="4" t="inlineStr">
        <is>
          <t>Chennai DC</t>
        </is>
      </c>
      <c r="I104" s="4" t="inlineStr">
        <is>
          <t>South</t>
        </is>
      </c>
      <c r="J104" s="4" t="inlineStr">
        <is>
          <t>LOW</t>
        </is>
      </c>
      <c r="K104" s="11" t="n">
        <v>197</v>
      </c>
      <c r="L104" s="4" t="n">
        <v>0</v>
      </c>
      <c r="M104" s="11" t="n">
        <v>30732</v>
      </c>
      <c r="N104" s="11" t="n">
        <v>1182</v>
      </c>
      <c r="O104" s="11" t="n">
        <v>9259</v>
      </c>
      <c r="P104" s="11" t="n">
        <v>8077</v>
      </c>
    </row>
    <row r="105">
      <c r="A105" s="4" t="inlineStr">
        <is>
          <t>SKU051</t>
        </is>
      </c>
      <c r="B105" s="4" t="inlineStr">
        <is>
          <t>Hair Oil 200ml</t>
        </is>
      </c>
      <c r="C105" s="4" t="inlineStr">
        <is>
          <t>Personal Care</t>
        </is>
      </c>
      <c r="D105" s="4" t="inlineStr">
        <is>
          <t>WH12</t>
        </is>
      </c>
      <c r="E105" s="4" t="inlineStr">
        <is>
          <t>Nagpur DC</t>
        </is>
      </c>
      <c r="F105" s="4" t="inlineStr">
        <is>
          <t>Central</t>
        </is>
      </c>
      <c r="G105" s="4" t="inlineStr">
        <is>
          <t>WH10</t>
        </is>
      </c>
      <c r="H105" s="4" t="inlineStr">
        <is>
          <t>Kolkata DC</t>
        </is>
      </c>
      <c r="I105" s="4" t="inlineStr">
        <is>
          <t>East</t>
        </is>
      </c>
      <c r="J105" s="4" t="inlineStr">
        <is>
          <t>STOCKOUT</t>
        </is>
      </c>
      <c r="K105" s="11" t="n">
        <v>197</v>
      </c>
      <c r="L105" s="4" t="n">
        <v>0</v>
      </c>
      <c r="M105" s="11" t="n">
        <v>30732</v>
      </c>
      <c r="N105" s="11" t="n">
        <v>1182</v>
      </c>
      <c r="O105" s="11" t="n">
        <v>9259</v>
      </c>
      <c r="P105" s="11" t="n">
        <v>8077</v>
      </c>
    </row>
    <row r="106">
      <c r="A106" s="4" t="inlineStr">
        <is>
          <t>SKU051</t>
        </is>
      </c>
      <c r="B106" s="4" t="inlineStr">
        <is>
          <t>Hair Oil 200ml</t>
        </is>
      </c>
      <c r="C106" s="4" t="inlineStr">
        <is>
          <t>Personal Care</t>
        </is>
      </c>
      <c r="D106" s="4" t="inlineStr">
        <is>
          <t>WH12</t>
        </is>
      </c>
      <c r="E106" s="4" t="inlineStr">
        <is>
          <t>Nagpur DC</t>
        </is>
      </c>
      <c r="F106" s="4" t="inlineStr">
        <is>
          <t>Central</t>
        </is>
      </c>
      <c r="G106" s="4" t="inlineStr">
        <is>
          <t>WH11</t>
        </is>
      </c>
      <c r="H106" s="4" t="inlineStr">
        <is>
          <t>Guwahati DC</t>
        </is>
      </c>
      <c r="I106" s="4" t="inlineStr">
        <is>
          <t>East</t>
        </is>
      </c>
      <c r="J106" s="4" t="inlineStr">
        <is>
          <t>STOCKOUT</t>
        </is>
      </c>
      <c r="K106" s="11" t="n">
        <v>197</v>
      </c>
      <c r="L106" s="4" t="n">
        <v>0</v>
      </c>
      <c r="M106" s="11" t="n">
        <v>30732</v>
      </c>
      <c r="N106" s="11" t="n">
        <v>1182</v>
      </c>
      <c r="O106" s="11" t="n">
        <v>9259</v>
      </c>
      <c r="P106" s="11" t="n">
        <v>8077</v>
      </c>
    </row>
    <row r="107">
      <c r="A107" s="4" t="inlineStr">
        <is>
          <t>SKU091</t>
        </is>
      </c>
      <c r="B107" s="4" t="inlineStr">
        <is>
          <t>Paracetamol 500mg 15s</t>
        </is>
      </c>
      <c r="C107" s="4" t="inlineStr">
        <is>
          <t>OTC Pharma &amp; Wellness</t>
        </is>
      </c>
      <c r="D107" s="4" t="inlineStr">
        <is>
          <t>WH09</t>
        </is>
      </c>
      <c r="E107" s="4" t="inlineStr">
        <is>
          <t>Hyderabad DC</t>
        </is>
      </c>
      <c r="F107" s="4" t="inlineStr">
        <is>
          <t>South</t>
        </is>
      </c>
      <c r="G107" s="4" t="inlineStr">
        <is>
          <t>WH05</t>
        </is>
      </c>
      <c r="H107" s="4" t="inlineStr">
        <is>
          <t>Pune DC</t>
        </is>
      </c>
      <c r="I107" s="4" t="inlineStr">
        <is>
          <t>West</t>
        </is>
      </c>
      <c r="J107" s="4" t="inlineStr">
        <is>
          <t>LOW</t>
        </is>
      </c>
      <c r="K107" s="11" t="n">
        <v>309</v>
      </c>
      <c r="L107" s="4" t="n">
        <v>0</v>
      </c>
      <c r="M107" s="11" t="n">
        <v>34917</v>
      </c>
      <c r="N107" s="11" t="n">
        <v>1854</v>
      </c>
      <c r="O107" s="11" t="n">
        <v>9579</v>
      </c>
      <c r="P107" s="11" t="n">
        <v>7725</v>
      </c>
    </row>
    <row r="108">
      <c r="A108" s="4" t="inlineStr">
        <is>
          <t>SKU090</t>
        </is>
      </c>
      <c r="B108" s="4" t="inlineStr">
        <is>
          <t>HDMI Cable 2m</t>
        </is>
      </c>
      <c r="C108" s="4" t="inlineStr">
        <is>
          <t>Electronics Accessories</t>
        </is>
      </c>
      <c r="D108" s="4" t="inlineStr">
        <is>
          <t>WH04</t>
        </is>
      </c>
      <c r="E108" s="4" t="inlineStr">
        <is>
          <t>Bhiwandi DC</t>
        </is>
      </c>
      <c r="F108" s="4" t="inlineStr">
        <is>
          <t>West</t>
        </is>
      </c>
      <c r="G108" s="4" t="inlineStr">
        <is>
          <t>WH02</t>
        </is>
      </c>
      <c r="H108" s="4" t="inlineStr">
        <is>
          <t>Jaipur DC</t>
        </is>
      </c>
      <c r="I108" s="4" t="inlineStr">
        <is>
          <t>North</t>
        </is>
      </c>
      <c r="J108" s="4" t="inlineStr">
        <is>
          <t>LOW</t>
        </is>
      </c>
      <c r="K108" s="11" t="n">
        <v>94</v>
      </c>
      <c r="L108" s="4" t="n">
        <v>0</v>
      </c>
      <c r="M108" s="11" t="n">
        <v>27448</v>
      </c>
      <c r="N108" s="11" t="n">
        <v>564</v>
      </c>
      <c r="O108" s="11" t="n">
        <v>8084</v>
      </c>
      <c r="P108" s="11" t="n">
        <v>7520</v>
      </c>
    </row>
    <row r="109">
      <c r="A109" s="4" t="inlineStr">
        <is>
          <t>SKU028</t>
        </is>
      </c>
      <c r="B109" s="4" t="inlineStr">
        <is>
          <t>Sports Drink 500ml</t>
        </is>
      </c>
      <c r="C109" s="4" t="inlineStr">
        <is>
          <t>Beverages</t>
        </is>
      </c>
      <c r="D109" s="4" t="inlineStr">
        <is>
          <t>WH12</t>
        </is>
      </c>
      <c r="E109" s="4" t="inlineStr">
        <is>
          <t>Nagpur DC</t>
        </is>
      </c>
      <c r="F109" s="4" t="inlineStr">
        <is>
          <t>Central</t>
        </is>
      </c>
      <c r="G109" s="4" t="inlineStr">
        <is>
          <t>WH07</t>
        </is>
      </c>
      <c r="H109" s="4" t="inlineStr">
        <is>
          <t>Bengaluru DC</t>
        </is>
      </c>
      <c r="I109" s="4" t="inlineStr">
        <is>
          <t>South</t>
        </is>
      </c>
      <c r="J109" s="4" t="inlineStr">
        <is>
          <t>LOW</t>
        </is>
      </c>
      <c r="K109" s="11" t="n">
        <v>478</v>
      </c>
      <c r="L109" s="4" t="n">
        <v>0</v>
      </c>
      <c r="M109" s="11" t="n">
        <v>52580</v>
      </c>
      <c r="N109" s="11" t="n">
        <v>2868</v>
      </c>
      <c r="O109" s="11" t="n">
        <v>10038</v>
      </c>
      <c r="P109" s="11" t="n">
        <v>7170</v>
      </c>
    </row>
    <row r="110">
      <c r="A110" s="4" t="inlineStr">
        <is>
          <t>SKU028</t>
        </is>
      </c>
      <c r="B110" s="4" t="inlineStr">
        <is>
          <t>Sports Drink 500ml</t>
        </is>
      </c>
      <c r="C110" s="4" t="inlineStr">
        <is>
          <t>Beverages</t>
        </is>
      </c>
      <c r="D110" s="4" t="inlineStr">
        <is>
          <t>WH12</t>
        </is>
      </c>
      <c r="E110" s="4" t="inlineStr">
        <is>
          <t>Nagpur DC</t>
        </is>
      </c>
      <c r="F110" s="4" t="inlineStr">
        <is>
          <t>Central</t>
        </is>
      </c>
      <c r="G110" s="4" t="inlineStr">
        <is>
          <t>WH08</t>
        </is>
      </c>
      <c r="H110" s="4" t="inlineStr">
        <is>
          <t>Chennai DC</t>
        </is>
      </c>
      <c r="I110" s="4" t="inlineStr">
        <is>
          <t>South</t>
        </is>
      </c>
      <c r="J110" s="4" t="inlineStr">
        <is>
          <t>LOW</t>
        </is>
      </c>
      <c r="K110" s="11" t="n">
        <v>478</v>
      </c>
      <c r="L110" s="4" t="n">
        <v>0</v>
      </c>
      <c r="M110" s="11" t="n">
        <v>52580</v>
      </c>
      <c r="N110" s="11" t="n">
        <v>2868</v>
      </c>
      <c r="O110" s="11" t="n">
        <v>10038</v>
      </c>
      <c r="P110" s="11" t="n">
        <v>7170</v>
      </c>
    </row>
    <row r="111">
      <c r="A111" s="4" t="inlineStr">
        <is>
          <t>SKU028</t>
        </is>
      </c>
      <c r="B111" s="4" t="inlineStr">
        <is>
          <t>Sports Drink 500ml</t>
        </is>
      </c>
      <c r="C111" s="4" t="inlineStr">
        <is>
          <t>Beverages</t>
        </is>
      </c>
      <c r="D111" s="4" t="inlineStr">
        <is>
          <t>WH12</t>
        </is>
      </c>
      <c r="E111" s="4" t="inlineStr">
        <is>
          <t>Nagpur DC</t>
        </is>
      </c>
      <c r="F111" s="4" t="inlineStr">
        <is>
          <t>Central</t>
        </is>
      </c>
      <c r="G111" s="4" t="inlineStr">
        <is>
          <t>WH10</t>
        </is>
      </c>
      <c r="H111" s="4" t="inlineStr">
        <is>
          <t>Kolkata DC</t>
        </is>
      </c>
      <c r="I111" s="4" t="inlineStr">
        <is>
          <t>East</t>
        </is>
      </c>
      <c r="J111" s="4" t="inlineStr">
        <is>
          <t>LOW</t>
        </is>
      </c>
      <c r="K111" s="11" t="n">
        <v>478</v>
      </c>
      <c r="L111" s="4" t="n">
        <v>0</v>
      </c>
      <c r="M111" s="11" t="n">
        <v>52580</v>
      </c>
      <c r="N111" s="11" t="n">
        <v>2868</v>
      </c>
      <c r="O111" s="11" t="n">
        <v>10038</v>
      </c>
      <c r="P111" s="11" t="n">
        <v>7170</v>
      </c>
    </row>
    <row r="112">
      <c r="A112" s="4" t="inlineStr">
        <is>
          <t>SKU084</t>
        </is>
      </c>
      <c r="B112" s="4" t="inlineStr">
        <is>
          <t>LED Bulb 9W</t>
        </is>
      </c>
      <c r="C112" s="4" t="inlineStr">
        <is>
          <t>Electronics Accessories</t>
        </is>
      </c>
      <c r="D112" s="4" t="inlineStr">
        <is>
          <t>WH01</t>
        </is>
      </c>
      <c r="E112" s="4" t="inlineStr">
        <is>
          <t>Gurugram DC</t>
        </is>
      </c>
      <c r="F112" s="4" t="inlineStr">
        <is>
          <t>North</t>
        </is>
      </c>
      <c r="G112" s="4" t="inlineStr">
        <is>
          <t>WH11</t>
        </is>
      </c>
      <c r="H112" s="4" t="inlineStr">
        <is>
          <t>Guwahati DC</t>
        </is>
      </c>
      <c r="I112" s="4" t="inlineStr">
        <is>
          <t>East</t>
        </is>
      </c>
      <c r="J112" s="4" t="inlineStr">
        <is>
          <t>STOCKOUT</t>
        </is>
      </c>
      <c r="K112" s="11" t="n">
        <v>174</v>
      </c>
      <c r="L112" s="4" t="n">
        <v>0</v>
      </c>
      <c r="M112" s="11" t="n">
        <v>27840</v>
      </c>
      <c r="N112" s="11" t="n">
        <v>1044</v>
      </c>
      <c r="O112" s="11" t="n">
        <v>8178</v>
      </c>
      <c r="P112" s="11" t="n">
        <v>7134</v>
      </c>
    </row>
    <row r="113">
      <c r="A113" s="4" t="inlineStr">
        <is>
          <t>SKU099</t>
        </is>
      </c>
      <c r="B113" s="4" t="inlineStr">
        <is>
          <t>Digital Thermometer</t>
        </is>
      </c>
      <c r="C113" s="4" t="inlineStr">
        <is>
          <t>OTC Pharma &amp; Wellness</t>
        </is>
      </c>
      <c r="D113" s="4" t="inlineStr">
        <is>
          <t>WH01</t>
        </is>
      </c>
      <c r="E113" s="4" t="inlineStr">
        <is>
          <t>Gurugram DC</t>
        </is>
      </c>
      <c r="F113" s="4" t="inlineStr">
        <is>
          <t>North</t>
        </is>
      </c>
      <c r="G113" s="4" t="inlineStr">
        <is>
          <t>WH11</t>
        </is>
      </c>
      <c r="H113" s="4" t="inlineStr">
        <is>
          <t>Guwahati DC</t>
        </is>
      </c>
      <c r="I113" s="4" t="inlineStr">
        <is>
          <t>East</t>
        </is>
      </c>
      <c r="J113" s="4" t="inlineStr">
        <is>
          <t>STOCKOUT</t>
        </is>
      </c>
      <c r="K113" s="11" t="n">
        <v>390</v>
      </c>
      <c r="L113" s="4" t="n">
        <v>0</v>
      </c>
      <c r="M113" s="11" t="n">
        <v>34320</v>
      </c>
      <c r="N113" s="11" t="n">
        <v>2340</v>
      </c>
      <c r="O113" s="11" t="n">
        <v>9360</v>
      </c>
      <c r="P113" s="11" t="n">
        <v>7020</v>
      </c>
    </row>
    <row r="114">
      <c r="A114" s="4" t="inlineStr">
        <is>
          <t>SKU023</t>
        </is>
      </c>
      <c r="B114" s="4" t="inlineStr">
        <is>
          <t>Coconut Water 200ml</t>
        </is>
      </c>
      <c r="C114" s="4" t="inlineStr">
        <is>
          <t>Beverages</t>
        </is>
      </c>
      <c r="D114" s="4" t="inlineStr">
        <is>
          <t>WH01</t>
        </is>
      </c>
      <c r="E114" s="4" t="inlineStr">
        <is>
          <t>Gurugram DC</t>
        </is>
      </c>
      <c r="F114" s="4" t="inlineStr">
        <is>
          <t>North</t>
        </is>
      </c>
      <c r="G114" s="4" t="inlineStr">
        <is>
          <t>WH10</t>
        </is>
      </c>
      <c r="H114" s="4" t="inlineStr">
        <is>
          <t>Kolkata DC</t>
        </is>
      </c>
      <c r="I114" s="4" t="inlineStr">
        <is>
          <t>East</t>
        </is>
      </c>
      <c r="J114" s="4" t="inlineStr">
        <is>
          <t>LOW</t>
        </is>
      </c>
      <c r="K114" s="11" t="n">
        <v>1736</v>
      </c>
      <c r="L114" s="4" t="n">
        <v>0</v>
      </c>
      <c r="M114" s="11" t="n">
        <v>102424</v>
      </c>
      <c r="N114" s="11" t="n">
        <v>10416</v>
      </c>
      <c r="O114" s="11" t="n">
        <v>17360</v>
      </c>
      <c r="P114" s="11" t="n">
        <v>6944</v>
      </c>
    </row>
    <row r="115">
      <c r="A115" s="4" t="inlineStr">
        <is>
          <t>SKU092</t>
        </is>
      </c>
      <c r="B115" s="4" t="inlineStr">
        <is>
          <t>ORS Sachets 10pk</t>
        </is>
      </c>
      <c r="C115" s="4" t="inlineStr">
        <is>
          <t>OTC Pharma &amp; Wellness</t>
        </is>
      </c>
      <c r="D115" s="4" t="inlineStr">
        <is>
          <t>WH04</t>
        </is>
      </c>
      <c r="E115" s="4" t="inlineStr">
        <is>
          <t>Bhiwandi DC</t>
        </is>
      </c>
      <c r="F115" s="4" t="inlineStr">
        <is>
          <t>West</t>
        </is>
      </c>
      <c r="G115" s="4" t="inlineStr">
        <is>
          <t>WH10</t>
        </is>
      </c>
      <c r="H115" s="4" t="inlineStr">
        <is>
          <t>Kolkata DC</t>
        </is>
      </c>
      <c r="I115" s="4" t="inlineStr">
        <is>
          <t>East</t>
        </is>
      </c>
      <c r="J115" s="4" t="inlineStr">
        <is>
          <t>LOW</t>
        </is>
      </c>
      <c r="K115" s="11" t="n">
        <v>488</v>
      </c>
      <c r="L115" s="4" t="n">
        <v>0</v>
      </c>
      <c r="M115" s="11" t="n">
        <v>26840</v>
      </c>
      <c r="N115" s="11" t="n">
        <v>2928</v>
      </c>
      <c r="O115" s="11" t="n">
        <v>9760</v>
      </c>
      <c r="P115" s="11" t="n">
        <v>6832</v>
      </c>
    </row>
    <row r="116">
      <c r="A116" s="4" t="inlineStr">
        <is>
          <t>SKU095</t>
        </is>
      </c>
      <c r="B116" s="4" t="inlineStr">
        <is>
          <t>Multivitamin 30s</t>
        </is>
      </c>
      <c r="C116" s="4" t="inlineStr">
        <is>
          <t>OTC Pharma &amp; Wellness</t>
        </is>
      </c>
      <c r="D116" s="4" t="inlineStr">
        <is>
          <t>WH04</t>
        </is>
      </c>
      <c r="E116" s="4" t="inlineStr">
        <is>
          <t>Bhiwandi DC</t>
        </is>
      </c>
      <c r="F116" s="4" t="inlineStr">
        <is>
          <t>West</t>
        </is>
      </c>
      <c r="G116" s="4" t="inlineStr">
        <is>
          <t>WH11</t>
        </is>
      </c>
      <c r="H116" s="4" t="inlineStr">
        <is>
          <t>Guwahati DC</t>
        </is>
      </c>
      <c r="I116" s="4" t="inlineStr">
        <is>
          <t>East</t>
        </is>
      </c>
      <c r="J116" s="4" t="inlineStr">
        <is>
          <t>STOCKOUT</t>
        </is>
      </c>
      <c r="K116" s="11" t="n">
        <v>125</v>
      </c>
      <c r="L116" s="4" t="n">
        <v>0</v>
      </c>
      <c r="M116" s="11" t="n">
        <v>22250</v>
      </c>
      <c r="N116" s="11" t="n">
        <v>750</v>
      </c>
      <c r="O116" s="11" t="n">
        <v>7375</v>
      </c>
      <c r="P116" s="11" t="n">
        <v>6625</v>
      </c>
    </row>
    <row r="117">
      <c r="A117" s="4" t="inlineStr">
        <is>
          <t>SKU017</t>
        </is>
      </c>
      <c r="B117" s="4" t="inlineStr">
        <is>
          <t>Lemon Soda 600ml</t>
        </is>
      </c>
      <c r="C117" s="4" t="inlineStr">
        <is>
          <t>Beverages</t>
        </is>
      </c>
      <c r="D117" s="4" t="inlineStr">
        <is>
          <t>WH04</t>
        </is>
      </c>
      <c r="E117" s="4" t="inlineStr">
        <is>
          <t>Bhiwandi DC</t>
        </is>
      </c>
      <c r="F117" s="4" t="inlineStr">
        <is>
          <t>West</t>
        </is>
      </c>
      <c r="G117" s="4" t="inlineStr">
        <is>
          <t>WH10</t>
        </is>
      </c>
      <c r="H117" s="4" t="inlineStr">
        <is>
          <t>Kolkata DC</t>
        </is>
      </c>
      <c r="I117" s="4" t="inlineStr">
        <is>
          <t>East</t>
        </is>
      </c>
      <c r="J117" s="4" t="inlineStr">
        <is>
          <t>LOW</t>
        </is>
      </c>
      <c r="K117" s="11" t="n">
        <v>3283</v>
      </c>
      <c r="L117" s="4" t="n">
        <v>0</v>
      </c>
      <c r="M117" s="11" t="n">
        <v>137886</v>
      </c>
      <c r="N117" s="11" t="n">
        <v>19698</v>
      </c>
      <c r="O117" s="11" t="n">
        <v>26264</v>
      </c>
      <c r="P117" s="11" t="n">
        <v>6566</v>
      </c>
    </row>
    <row r="118">
      <c r="A118" s="4" t="inlineStr">
        <is>
          <t>SKU063</t>
        </is>
      </c>
      <c r="B118" s="4" t="inlineStr">
        <is>
          <t>Floor Cleaner 1L</t>
        </is>
      </c>
      <c r="C118" s="4" t="inlineStr">
        <is>
          <t>Home Care</t>
        </is>
      </c>
      <c r="D118" s="4" t="inlineStr">
        <is>
          <t>WH04</t>
        </is>
      </c>
      <c r="E118" s="4" t="inlineStr">
        <is>
          <t>Bhiwandi DC</t>
        </is>
      </c>
      <c r="F118" s="4" t="inlineStr">
        <is>
          <t>West</t>
        </is>
      </c>
      <c r="G118" s="4" t="inlineStr">
        <is>
          <t>WH08</t>
        </is>
      </c>
      <c r="H118" s="4" t="inlineStr">
        <is>
          <t>Chennai DC</t>
        </is>
      </c>
      <c r="I118" s="4" t="inlineStr">
        <is>
          <t>South</t>
        </is>
      </c>
      <c r="J118" s="4" t="inlineStr">
        <is>
          <t>LOW</t>
        </is>
      </c>
      <c r="K118" s="11" t="n">
        <v>1087</v>
      </c>
      <c r="L118" s="4" t="n">
        <v>0</v>
      </c>
      <c r="M118" s="11" t="n">
        <v>47828</v>
      </c>
      <c r="N118" s="11" t="n">
        <v>6522</v>
      </c>
      <c r="O118" s="11" t="n">
        <v>13044</v>
      </c>
      <c r="P118" s="11" t="n">
        <v>6522</v>
      </c>
    </row>
    <row r="119">
      <c r="A119" s="4" t="inlineStr">
        <is>
          <t>SKU034</t>
        </is>
      </c>
      <c r="B119" s="4" t="inlineStr">
        <is>
          <t>Cream Biscuits 120g</t>
        </is>
      </c>
      <c r="C119" s="4" t="inlineStr">
        <is>
          <t>Snacks &amp; Confectionery</t>
        </is>
      </c>
      <c r="D119" s="4" t="inlineStr">
        <is>
          <t>WH02</t>
        </is>
      </c>
      <c r="E119" s="4" t="inlineStr">
        <is>
          <t>Jaipur DC</t>
        </is>
      </c>
      <c r="F119" s="4" t="inlineStr">
        <is>
          <t>North</t>
        </is>
      </c>
      <c r="G119" s="4" t="inlineStr">
        <is>
          <t>WH03</t>
        </is>
      </c>
      <c r="H119" s="4" t="inlineStr">
        <is>
          <t>Lucknow DC</t>
        </is>
      </c>
      <c r="I119" s="4" t="inlineStr">
        <is>
          <t>North</t>
        </is>
      </c>
      <c r="J119" s="4" t="inlineStr">
        <is>
          <t>CRITICAL</t>
        </is>
      </c>
      <c r="K119" s="11" t="n">
        <v>676</v>
      </c>
      <c r="L119" s="4" t="n">
        <v>1</v>
      </c>
      <c r="M119" s="11" t="n">
        <v>41236</v>
      </c>
      <c r="N119" s="11" t="n">
        <v>1690</v>
      </c>
      <c r="O119" s="11" t="n">
        <v>8112</v>
      </c>
      <c r="P119" s="11" t="n">
        <v>6422</v>
      </c>
    </row>
    <row r="120">
      <c r="A120" s="4" t="inlineStr">
        <is>
          <t>SKU052</t>
        </is>
      </c>
      <c r="B120" s="4" t="inlineStr">
        <is>
          <t>Deodorant 150ml</t>
        </is>
      </c>
      <c r="C120" s="4" t="inlineStr">
        <is>
          <t>Personal Care</t>
        </is>
      </c>
      <c r="D120" s="4" t="inlineStr">
        <is>
          <t>WH01</t>
        </is>
      </c>
      <c r="E120" s="4" t="inlineStr">
        <is>
          <t>Gurugram DC</t>
        </is>
      </c>
      <c r="F120" s="4" t="inlineStr">
        <is>
          <t>North</t>
        </is>
      </c>
      <c r="G120" s="4" t="inlineStr">
        <is>
          <t>WH03</t>
        </is>
      </c>
      <c r="H120" s="4" t="inlineStr">
        <is>
          <t>Lucknow DC</t>
        </is>
      </c>
      <c r="I120" s="4" t="inlineStr">
        <is>
          <t>North</t>
        </is>
      </c>
      <c r="J120" s="4" t="inlineStr">
        <is>
          <t>LOW</t>
        </is>
      </c>
      <c r="K120" s="11" t="n">
        <v>142</v>
      </c>
      <c r="L120" s="4" t="n">
        <v>1</v>
      </c>
      <c r="M120" s="11" t="n">
        <v>18886</v>
      </c>
      <c r="N120" s="11" t="n">
        <v>355</v>
      </c>
      <c r="O120" s="11" t="n">
        <v>6532</v>
      </c>
      <c r="P120" s="11" t="n">
        <v>6177</v>
      </c>
    </row>
    <row r="121">
      <c r="A121" s="4" t="inlineStr">
        <is>
          <t>SKU066</t>
        </is>
      </c>
      <c r="B121" s="4" t="inlineStr">
        <is>
          <t>Fabric Softener 1L</t>
        </is>
      </c>
      <c r="C121" s="4" t="inlineStr">
        <is>
          <t>Home Care</t>
        </is>
      </c>
      <c r="D121" s="4" t="inlineStr">
        <is>
          <t>WH04</t>
        </is>
      </c>
      <c r="E121" s="4" t="inlineStr">
        <is>
          <t>Bhiwandi DC</t>
        </is>
      </c>
      <c r="F121" s="4" t="inlineStr">
        <is>
          <t>West</t>
        </is>
      </c>
      <c r="G121" s="4" t="inlineStr">
        <is>
          <t>WH02</t>
        </is>
      </c>
      <c r="H121" s="4" t="inlineStr">
        <is>
          <t>Jaipur DC</t>
        </is>
      </c>
      <c r="I121" s="4" t="inlineStr">
        <is>
          <t>North</t>
        </is>
      </c>
      <c r="J121" s="4" t="inlineStr">
        <is>
          <t>LOW</t>
        </is>
      </c>
      <c r="K121" s="11" t="n">
        <v>751</v>
      </c>
      <c r="L121" s="4" t="n">
        <v>0</v>
      </c>
      <c r="M121" s="11" t="n">
        <v>38301</v>
      </c>
      <c r="N121" s="11" t="n">
        <v>4506</v>
      </c>
      <c r="O121" s="11" t="n">
        <v>10514</v>
      </c>
      <c r="P121" s="11" t="n">
        <v>6008</v>
      </c>
    </row>
    <row r="122">
      <c r="A122" s="4" t="inlineStr">
        <is>
          <t>SKU107</t>
        </is>
      </c>
      <c r="B122" s="4" t="inlineStr">
        <is>
          <t>Stretch Film 500mm</t>
        </is>
      </c>
      <c r="C122" s="4" t="inlineStr">
        <is>
          <t>Packaging &amp; Supplies</t>
        </is>
      </c>
      <c r="D122" s="4" t="inlineStr">
        <is>
          <t>WH01</t>
        </is>
      </c>
      <c r="E122" s="4" t="inlineStr">
        <is>
          <t>Gurugram DC</t>
        </is>
      </c>
      <c r="F122" s="4" t="inlineStr">
        <is>
          <t>North</t>
        </is>
      </c>
      <c r="G122" s="4" t="inlineStr">
        <is>
          <t>WH11</t>
        </is>
      </c>
      <c r="H122" s="4" t="inlineStr">
        <is>
          <t>Guwahati DC</t>
        </is>
      </c>
      <c r="I122" s="4" t="inlineStr">
        <is>
          <t>East</t>
        </is>
      </c>
      <c r="J122" s="4" t="inlineStr">
        <is>
          <t>STOCKOUT</t>
        </is>
      </c>
      <c r="K122" s="11" t="n">
        <v>112</v>
      </c>
      <c r="L122" s="4" t="n">
        <v>0</v>
      </c>
      <c r="M122" s="11" t="n">
        <v>36288</v>
      </c>
      <c r="N122" s="11" t="n">
        <v>672</v>
      </c>
      <c r="O122" s="11" t="n">
        <v>6608</v>
      </c>
      <c r="P122" s="11" t="n">
        <v>5936</v>
      </c>
    </row>
    <row r="123">
      <c r="A123" s="4" t="inlineStr">
        <is>
          <t>SKU003</t>
        </is>
      </c>
      <c r="B123" s="4" t="inlineStr">
        <is>
          <t>Toor Dal 1kg</t>
        </is>
      </c>
      <c r="C123" s="4" t="inlineStr">
        <is>
          <t>Packaged Staples</t>
        </is>
      </c>
      <c r="D123" s="4" t="inlineStr">
        <is>
          <t>WH01</t>
        </is>
      </c>
      <c r="E123" s="4" t="inlineStr">
        <is>
          <t>Gurugram DC</t>
        </is>
      </c>
      <c r="F123" s="4" t="inlineStr">
        <is>
          <t>North</t>
        </is>
      </c>
      <c r="G123" s="4" t="inlineStr">
        <is>
          <t>WH06</t>
        </is>
      </c>
      <c r="H123" s="4" t="inlineStr">
        <is>
          <t>Ahmedabad DC</t>
        </is>
      </c>
      <c r="I123" s="4" t="inlineStr">
        <is>
          <t>West</t>
        </is>
      </c>
      <c r="J123" s="4" t="inlineStr">
        <is>
          <t>LOW</t>
        </is>
      </c>
      <c r="K123" s="11" t="n">
        <v>2851</v>
      </c>
      <c r="L123" s="4" t="n">
        <v>0</v>
      </c>
      <c r="M123" s="11" t="n">
        <v>173911</v>
      </c>
      <c r="N123" s="11" t="n">
        <v>17106</v>
      </c>
      <c r="O123" s="11" t="n">
        <v>22808</v>
      </c>
      <c r="P123" s="11" t="n">
        <v>5702</v>
      </c>
    </row>
    <row r="124">
      <c r="A124" s="4" t="inlineStr">
        <is>
          <t>SKU003</t>
        </is>
      </c>
      <c r="B124" s="4" t="inlineStr">
        <is>
          <t>Toor Dal 1kg</t>
        </is>
      </c>
      <c r="C124" s="4" t="inlineStr">
        <is>
          <t>Packaged Staples</t>
        </is>
      </c>
      <c r="D124" s="4" t="inlineStr">
        <is>
          <t>WH01</t>
        </is>
      </c>
      <c r="E124" s="4" t="inlineStr">
        <is>
          <t>Gurugram DC</t>
        </is>
      </c>
      <c r="F124" s="4" t="inlineStr">
        <is>
          <t>North</t>
        </is>
      </c>
      <c r="G124" s="4" t="inlineStr">
        <is>
          <t>WH08</t>
        </is>
      </c>
      <c r="H124" s="4" t="inlineStr">
        <is>
          <t>Chennai DC</t>
        </is>
      </c>
      <c r="I124" s="4" t="inlineStr">
        <is>
          <t>South</t>
        </is>
      </c>
      <c r="J124" s="4" t="inlineStr">
        <is>
          <t>STOCKOUT</t>
        </is>
      </c>
      <c r="K124" s="11" t="n">
        <v>2763</v>
      </c>
      <c r="L124" s="4" t="n">
        <v>0</v>
      </c>
      <c r="M124" s="11" t="n">
        <v>168543</v>
      </c>
      <c r="N124" s="11" t="n">
        <v>16578</v>
      </c>
      <c r="O124" s="11" t="n">
        <v>22104</v>
      </c>
      <c r="P124" s="11" t="n">
        <v>5526</v>
      </c>
    </row>
    <row r="125">
      <c r="A125" s="4" t="inlineStr">
        <is>
          <t>SKU052</t>
        </is>
      </c>
      <c r="B125" s="4" t="inlineStr">
        <is>
          <t>Deodorant 150ml</t>
        </is>
      </c>
      <c r="C125" s="4" t="inlineStr">
        <is>
          <t>Personal Care</t>
        </is>
      </c>
      <c r="D125" s="4" t="inlineStr">
        <is>
          <t>WH01</t>
        </is>
      </c>
      <c r="E125" s="4" t="inlineStr">
        <is>
          <t>Gurugram DC</t>
        </is>
      </c>
      <c r="F125" s="4" t="inlineStr">
        <is>
          <t>North</t>
        </is>
      </c>
      <c r="G125" s="4" t="inlineStr">
        <is>
          <t>WH08</t>
        </is>
      </c>
      <c r="H125" s="4" t="inlineStr">
        <is>
          <t>Chennai DC</t>
        </is>
      </c>
      <c r="I125" s="4" t="inlineStr">
        <is>
          <t>South</t>
        </is>
      </c>
      <c r="J125" s="4" t="inlineStr">
        <is>
          <t>STOCKOUT</t>
        </is>
      </c>
      <c r="K125" s="11" t="n">
        <v>138</v>
      </c>
      <c r="L125" s="4" t="n">
        <v>0</v>
      </c>
      <c r="M125" s="11" t="n">
        <v>18354</v>
      </c>
      <c r="N125" s="11" t="n">
        <v>828</v>
      </c>
      <c r="O125" s="11" t="n">
        <v>6348</v>
      </c>
      <c r="P125" s="11" t="n">
        <v>5520</v>
      </c>
    </row>
    <row r="126">
      <c r="A126" s="4" t="inlineStr">
        <is>
          <t>SKU052</t>
        </is>
      </c>
      <c r="B126" s="4" t="inlineStr">
        <is>
          <t>Deodorant 150ml</t>
        </is>
      </c>
      <c r="C126" s="4" t="inlineStr">
        <is>
          <t>Personal Care</t>
        </is>
      </c>
      <c r="D126" s="4" t="inlineStr">
        <is>
          <t>WH01</t>
        </is>
      </c>
      <c r="E126" s="4" t="inlineStr">
        <is>
          <t>Gurugram DC</t>
        </is>
      </c>
      <c r="F126" s="4" t="inlineStr">
        <is>
          <t>North</t>
        </is>
      </c>
      <c r="G126" s="4" t="inlineStr">
        <is>
          <t>WH12</t>
        </is>
      </c>
      <c r="H126" s="4" t="inlineStr">
        <is>
          <t>Nagpur DC</t>
        </is>
      </c>
      <c r="I126" s="4" t="inlineStr">
        <is>
          <t>Central</t>
        </is>
      </c>
      <c r="J126" s="4" t="inlineStr">
        <is>
          <t>LOW</t>
        </is>
      </c>
      <c r="K126" s="11" t="n">
        <v>133</v>
      </c>
      <c r="L126" s="4" t="n">
        <v>0</v>
      </c>
      <c r="M126" s="11" t="n">
        <v>17689</v>
      </c>
      <c r="N126" s="11" t="n">
        <v>798</v>
      </c>
      <c r="O126" s="11" t="n">
        <v>6118</v>
      </c>
      <c r="P126" s="11" t="n">
        <v>5320</v>
      </c>
    </row>
    <row r="127">
      <c r="A127" s="4" t="inlineStr">
        <is>
          <t>SKU108</t>
        </is>
      </c>
      <c r="B127" s="4" t="inlineStr">
        <is>
          <t>BOPP Tape 48mm</t>
        </is>
      </c>
      <c r="C127" s="4" t="inlineStr">
        <is>
          <t>Packaging &amp; Supplies</t>
        </is>
      </c>
      <c r="D127" s="4" t="inlineStr">
        <is>
          <t>WH04</t>
        </is>
      </c>
      <c r="E127" s="4" t="inlineStr">
        <is>
          <t>Bhiwandi DC</t>
        </is>
      </c>
      <c r="F127" s="4" t="inlineStr">
        <is>
          <t>West</t>
        </is>
      </c>
      <c r="G127" s="4" t="inlineStr">
        <is>
          <t>WH05</t>
        </is>
      </c>
      <c r="H127" s="4" t="inlineStr">
        <is>
          <t>Pune DC</t>
        </is>
      </c>
      <c r="I127" s="4" t="inlineStr">
        <is>
          <t>West</t>
        </is>
      </c>
      <c r="J127" s="4" t="inlineStr">
        <is>
          <t>LOW</t>
        </is>
      </c>
      <c r="K127" s="11" t="n">
        <v>44</v>
      </c>
      <c r="L127" s="4" t="n">
        <v>1</v>
      </c>
      <c r="M127" s="11" t="n">
        <v>30756</v>
      </c>
      <c r="N127" s="11" t="n">
        <v>110</v>
      </c>
      <c r="O127" s="11" t="n">
        <v>5412</v>
      </c>
      <c r="P127" s="11" t="n">
        <v>5302</v>
      </c>
    </row>
    <row r="128">
      <c r="A128" s="4" t="inlineStr">
        <is>
          <t>SKU108</t>
        </is>
      </c>
      <c r="B128" s="4" t="inlineStr">
        <is>
          <t>BOPP Tape 48mm</t>
        </is>
      </c>
      <c r="C128" s="4" t="inlineStr">
        <is>
          <t>Packaging &amp; Supplies</t>
        </is>
      </c>
      <c r="D128" s="4" t="inlineStr">
        <is>
          <t>WH04</t>
        </is>
      </c>
      <c r="E128" s="4" t="inlineStr">
        <is>
          <t>Bhiwandi DC</t>
        </is>
      </c>
      <c r="F128" s="4" t="inlineStr">
        <is>
          <t>West</t>
        </is>
      </c>
      <c r="G128" s="4" t="inlineStr">
        <is>
          <t>WH06</t>
        </is>
      </c>
      <c r="H128" s="4" t="inlineStr">
        <is>
          <t>Ahmedabad DC</t>
        </is>
      </c>
      <c r="I128" s="4" t="inlineStr">
        <is>
          <t>West</t>
        </is>
      </c>
      <c r="J128" s="4" t="inlineStr">
        <is>
          <t>STOCKOUT</t>
        </is>
      </c>
      <c r="K128" s="11" t="n">
        <v>44</v>
      </c>
      <c r="L128" s="4" t="n">
        <v>1</v>
      </c>
      <c r="M128" s="11" t="n">
        <v>30756</v>
      </c>
      <c r="N128" s="11" t="n">
        <v>110</v>
      </c>
      <c r="O128" s="11" t="n">
        <v>5412</v>
      </c>
      <c r="P128" s="11" t="n">
        <v>5302</v>
      </c>
    </row>
    <row r="129">
      <c r="A129" s="4" t="inlineStr">
        <is>
          <t>SKU108</t>
        </is>
      </c>
      <c r="B129" s="4" t="inlineStr">
        <is>
          <t>BOPP Tape 48mm</t>
        </is>
      </c>
      <c r="C129" s="4" t="inlineStr">
        <is>
          <t>Packaging &amp; Supplies</t>
        </is>
      </c>
      <c r="D129" s="4" t="inlineStr">
        <is>
          <t>WH04</t>
        </is>
      </c>
      <c r="E129" s="4" t="inlineStr">
        <is>
          <t>Bhiwandi DC</t>
        </is>
      </c>
      <c r="F129" s="4" t="inlineStr">
        <is>
          <t>West</t>
        </is>
      </c>
      <c r="G129" s="4" t="inlineStr">
        <is>
          <t>WH08</t>
        </is>
      </c>
      <c r="H129" s="4" t="inlineStr">
        <is>
          <t>Chennai DC</t>
        </is>
      </c>
      <c r="I129" s="4" t="inlineStr">
        <is>
          <t>South</t>
        </is>
      </c>
      <c r="J129" s="4" t="inlineStr">
        <is>
          <t>STOCKOUT</t>
        </is>
      </c>
      <c r="K129" s="11" t="n">
        <v>44</v>
      </c>
      <c r="L129" s="4" t="n">
        <v>0</v>
      </c>
      <c r="M129" s="11" t="n">
        <v>30756</v>
      </c>
      <c r="N129" s="11" t="n">
        <v>264</v>
      </c>
      <c r="O129" s="11" t="n">
        <v>5412</v>
      </c>
      <c r="P129" s="11" t="n">
        <v>5148</v>
      </c>
    </row>
    <row r="130">
      <c r="A130" s="4" t="inlineStr">
        <is>
          <t>SKU108</t>
        </is>
      </c>
      <c r="B130" s="4" t="inlineStr">
        <is>
          <t>BOPP Tape 48mm</t>
        </is>
      </c>
      <c r="C130" s="4" t="inlineStr">
        <is>
          <t>Packaging &amp; Supplies</t>
        </is>
      </c>
      <c r="D130" s="4" t="inlineStr">
        <is>
          <t>WH04</t>
        </is>
      </c>
      <c r="E130" s="4" t="inlineStr">
        <is>
          <t>Bhiwandi DC</t>
        </is>
      </c>
      <c r="F130" s="4" t="inlineStr">
        <is>
          <t>West</t>
        </is>
      </c>
      <c r="G130" s="4" t="inlineStr">
        <is>
          <t>WH12</t>
        </is>
      </c>
      <c r="H130" s="4" t="inlineStr">
        <is>
          <t>Nagpur DC</t>
        </is>
      </c>
      <c r="I130" s="4" t="inlineStr">
        <is>
          <t>Central</t>
        </is>
      </c>
      <c r="J130" s="4" t="inlineStr">
        <is>
          <t>LOW</t>
        </is>
      </c>
      <c r="K130" s="11" t="n">
        <v>44</v>
      </c>
      <c r="L130" s="4" t="n">
        <v>0</v>
      </c>
      <c r="M130" s="11" t="n">
        <v>30756</v>
      </c>
      <c r="N130" s="11" t="n">
        <v>264</v>
      </c>
      <c r="O130" s="11" t="n">
        <v>5412</v>
      </c>
      <c r="P130" s="11" t="n">
        <v>5148</v>
      </c>
    </row>
    <row r="131">
      <c r="A131" s="4" t="inlineStr">
        <is>
          <t>SKU077</t>
        </is>
      </c>
      <c r="B131" s="4" t="inlineStr">
        <is>
          <t>Fast Charger 25W</t>
        </is>
      </c>
      <c r="C131" s="4" t="inlineStr">
        <is>
          <t>Electronics Accessories</t>
        </is>
      </c>
      <c r="D131" s="4" t="inlineStr">
        <is>
          <t>WH09</t>
        </is>
      </c>
      <c r="E131" s="4" t="inlineStr">
        <is>
          <t>Hyderabad DC</t>
        </is>
      </c>
      <c r="F131" s="4" t="inlineStr">
        <is>
          <t>South</t>
        </is>
      </c>
      <c r="G131" s="4" t="inlineStr">
        <is>
          <t>WH03</t>
        </is>
      </c>
      <c r="H131" s="4" t="inlineStr">
        <is>
          <t>Lucknow DC</t>
        </is>
      </c>
      <c r="I131" s="4" t="inlineStr">
        <is>
          <t>North</t>
        </is>
      </c>
      <c r="J131" s="4" t="inlineStr">
        <is>
          <t>LOW</t>
        </is>
      </c>
      <c r="K131" s="11" t="n">
        <v>54</v>
      </c>
      <c r="L131" s="4" t="n">
        <v>0</v>
      </c>
      <c r="M131" s="11" t="n">
        <v>19656</v>
      </c>
      <c r="N131" s="11" t="n">
        <v>324</v>
      </c>
      <c r="O131" s="11" t="n">
        <v>5454</v>
      </c>
      <c r="P131" s="11" t="n">
        <v>5130</v>
      </c>
    </row>
    <row r="132">
      <c r="A132" s="4" t="inlineStr">
        <is>
          <t>SKU085</t>
        </is>
      </c>
      <c r="B132" s="4" t="inlineStr">
        <is>
          <t>Extension Board 4-socket</t>
        </is>
      </c>
      <c r="C132" s="4" t="inlineStr">
        <is>
          <t>Electronics Accessories</t>
        </is>
      </c>
      <c r="D132" s="4" t="inlineStr">
        <is>
          <t>WH01</t>
        </is>
      </c>
      <c r="E132" s="4" t="inlineStr">
        <is>
          <t>Gurugram DC</t>
        </is>
      </c>
      <c r="F132" s="4" t="inlineStr">
        <is>
          <t>North</t>
        </is>
      </c>
      <c r="G132" s="4" t="inlineStr">
        <is>
          <t>WH12</t>
        </is>
      </c>
      <c r="H132" s="4" t="inlineStr">
        <is>
          <t>Nagpur DC</t>
        </is>
      </c>
      <c r="I132" s="4" t="inlineStr">
        <is>
          <t>Central</t>
        </is>
      </c>
      <c r="J132" s="4" t="inlineStr">
        <is>
          <t>LOW</t>
        </is>
      </c>
      <c r="K132" s="11" t="n">
        <v>57</v>
      </c>
      <c r="L132" s="4" t="n">
        <v>0</v>
      </c>
      <c r="M132" s="11" t="n">
        <v>19152</v>
      </c>
      <c r="N132" s="11" t="n">
        <v>342</v>
      </c>
      <c r="O132" s="11" t="n">
        <v>5415</v>
      </c>
      <c r="P132" s="11" t="n">
        <v>5073</v>
      </c>
    </row>
    <row r="133">
      <c r="A133" s="4" t="inlineStr">
        <is>
          <t>SKU022</t>
        </is>
      </c>
      <c r="B133" s="4" t="inlineStr">
        <is>
          <t>Iced Tea 500ml</t>
        </is>
      </c>
      <c r="C133" s="4" t="inlineStr">
        <is>
          <t>Beverages</t>
        </is>
      </c>
      <c r="D133" s="4" t="inlineStr">
        <is>
          <t>WH02</t>
        </is>
      </c>
      <c r="E133" s="4" t="inlineStr">
        <is>
          <t>Jaipur DC</t>
        </is>
      </c>
      <c r="F133" s="4" t="inlineStr">
        <is>
          <t>North</t>
        </is>
      </c>
      <c r="G133" s="4" t="inlineStr">
        <is>
          <t>WH03</t>
        </is>
      </c>
      <c r="H133" s="4" t="inlineStr">
        <is>
          <t>Lucknow DC</t>
        </is>
      </c>
      <c r="I133" s="4" t="inlineStr">
        <is>
          <t>North</t>
        </is>
      </c>
      <c r="J133" s="4" t="inlineStr">
        <is>
          <t>LOW</t>
        </is>
      </c>
      <c r="K133" s="11" t="n">
        <v>576</v>
      </c>
      <c r="L133" s="4" t="n">
        <v>1</v>
      </c>
      <c r="M133" s="11" t="n">
        <v>30528</v>
      </c>
      <c r="N133" s="11" t="n">
        <v>1440</v>
      </c>
      <c r="O133" s="11" t="n">
        <v>6336</v>
      </c>
      <c r="P133" s="11" t="n">
        <v>4896</v>
      </c>
    </row>
    <row r="134">
      <c r="A134" s="4" t="inlineStr">
        <is>
          <t>SKU085</t>
        </is>
      </c>
      <c r="B134" s="4" t="inlineStr">
        <is>
          <t>Extension Board 4-socket</t>
        </is>
      </c>
      <c r="C134" s="4" t="inlineStr">
        <is>
          <t>Electronics Accessories</t>
        </is>
      </c>
      <c r="D134" s="4" t="inlineStr">
        <is>
          <t>WH01</t>
        </is>
      </c>
      <c r="E134" s="4" t="inlineStr">
        <is>
          <t>Gurugram DC</t>
        </is>
      </c>
      <c r="F134" s="4" t="inlineStr">
        <is>
          <t>North</t>
        </is>
      </c>
      <c r="G134" s="4" t="inlineStr">
        <is>
          <t>WH11</t>
        </is>
      </c>
      <c r="H134" s="4" t="inlineStr">
        <is>
          <t>Guwahati DC</t>
        </is>
      </c>
      <c r="I134" s="4" t="inlineStr">
        <is>
          <t>East</t>
        </is>
      </c>
      <c r="J134" s="4" t="inlineStr">
        <is>
          <t>STOCKOUT</t>
        </is>
      </c>
      <c r="K134" s="11" t="n">
        <v>55</v>
      </c>
      <c r="L134" s="4" t="n">
        <v>0</v>
      </c>
      <c r="M134" s="11" t="n">
        <v>18480</v>
      </c>
      <c r="N134" s="11" t="n">
        <v>330</v>
      </c>
      <c r="O134" s="11" t="n">
        <v>5225</v>
      </c>
      <c r="P134" s="11" t="n">
        <v>4895</v>
      </c>
    </row>
    <row r="135">
      <c r="A135" s="4" t="inlineStr">
        <is>
          <t>SKU059</t>
        </is>
      </c>
      <c r="B135" s="4" t="inlineStr">
        <is>
          <t>Lip Balm</t>
        </is>
      </c>
      <c r="C135" s="4" t="inlineStr">
        <is>
          <t>Personal Care</t>
        </is>
      </c>
      <c r="D135" s="4" t="inlineStr">
        <is>
          <t>WH11</t>
        </is>
      </c>
      <c r="E135" s="4" t="inlineStr">
        <is>
          <t>Guwahati DC</t>
        </is>
      </c>
      <c r="F135" s="4" t="inlineStr">
        <is>
          <t>East</t>
        </is>
      </c>
      <c r="G135" s="4" t="inlineStr">
        <is>
          <t>WH10</t>
        </is>
      </c>
      <c r="H135" s="4" t="inlineStr">
        <is>
          <t>Kolkata DC</t>
        </is>
      </c>
      <c r="I135" s="4" t="inlineStr">
        <is>
          <t>East</t>
        </is>
      </c>
      <c r="J135" s="4" t="inlineStr">
        <is>
          <t>STOCKOUT</t>
        </is>
      </c>
      <c r="K135" s="11" t="n">
        <v>107</v>
      </c>
      <c r="L135" s="4" t="n">
        <v>1</v>
      </c>
      <c r="M135" s="11" t="n">
        <v>16050</v>
      </c>
      <c r="N135" s="11" t="n">
        <v>268</v>
      </c>
      <c r="O135" s="11" t="n">
        <v>5136</v>
      </c>
      <c r="P135" s="11" t="n">
        <v>4869</v>
      </c>
    </row>
    <row r="136">
      <c r="A136" s="4" t="inlineStr">
        <is>
          <t>SKU096</t>
        </is>
      </c>
      <c r="B136" s="4" t="inlineStr">
        <is>
          <t>Antiseptic Liquid 250ml</t>
        </is>
      </c>
      <c r="C136" s="4" t="inlineStr">
        <is>
          <t>OTC Pharma &amp; Wellness</t>
        </is>
      </c>
      <c r="D136" s="4" t="inlineStr">
        <is>
          <t>WH04</t>
        </is>
      </c>
      <c r="E136" s="4" t="inlineStr">
        <is>
          <t>Bhiwandi DC</t>
        </is>
      </c>
      <c r="F136" s="4" t="inlineStr">
        <is>
          <t>West</t>
        </is>
      </c>
      <c r="G136" s="4" t="inlineStr">
        <is>
          <t>WH08</t>
        </is>
      </c>
      <c r="H136" s="4" t="inlineStr">
        <is>
          <t>Chennai DC</t>
        </is>
      </c>
      <c r="I136" s="4" t="inlineStr">
        <is>
          <t>South</t>
        </is>
      </c>
      <c r="J136" s="4" t="inlineStr">
        <is>
          <t>LOW</t>
        </is>
      </c>
      <c r="K136" s="11" t="n">
        <v>266</v>
      </c>
      <c r="L136" s="4" t="n">
        <v>0</v>
      </c>
      <c r="M136" s="11" t="n">
        <v>23408</v>
      </c>
      <c r="N136" s="11" t="n">
        <v>1596</v>
      </c>
      <c r="O136" s="11" t="n">
        <v>6384</v>
      </c>
      <c r="P136" s="11" t="n">
        <v>4788</v>
      </c>
    </row>
    <row r="137">
      <c r="A137" s="4" t="inlineStr">
        <is>
          <t>SKU059</t>
        </is>
      </c>
      <c r="B137" s="4" t="inlineStr">
        <is>
          <t>Lip Balm</t>
        </is>
      </c>
      <c r="C137" s="4" t="inlineStr">
        <is>
          <t>Personal Care</t>
        </is>
      </c>
      <c r="D137" s="4" t="inlineStr">
        <is>
          <t>WH11</t>
        </is>
      </c>
      <c r="E137" s="4" t="inlineStr">
        <is>
          <t>Guwahati DC</t>
        </is>
      </c>
      <c r="F137" s="4" t="inlineStr">
        <is>
          <t>East</t>
        </is>
      </c>
      <c r="G137" s="4" t="inlineStr">
        <is>
          <t>WH02</t>
        </is>
      </c>
      <c r="H137" s="4" t="inlineStr">
        <is>
          <t>Jaipur DC</t>
        </is>
      </c>
      <c r="I137" s="4" t="inlineStr">
        <is>
          <t>North</t>
        </is>
      </c>
      <c r="J137" s="4" t="inlineStr">
        <is>
          <t>LOW</t>
        </is>
      </c>
      <c r="K137" s="11" t="n">
        <v>107</v>
      </c>
      <c r="L137" s="4" t="n">
        <v>0</v>
      </c>
      <c r="M137" s="11" t="n">
        <v>16050</v>
      </c>
      <c r="N137" s="11" t="n">
        <v>642</v>
      </c>
      <c r="O137" s="11" t="n">
        <v>5136</v>
      </c>
      <c r="P137" s="11" t="n">
        <v>4494</v>
      </c>
    </row>
    <row r="138">
      <c r="A138" s="4" t="inlineStr">
        <is>
          <t>SKU059</t>
        </is>
      </c>
      <c r="B138" s="4" t="inlineStr">
        <is>
          <t>Lip Balm</t>
        </is>
      </c>
      <c r="C138" s="4" t="inlineStr">
        <is>
          <t>Personal Care</t>
        </is>
      </c>
      <c r="D138" s="4" t="inlineStr">
        <is>
          <t>WH11</t>
        </is>
      </c>
      <c r="E138" s="4" t="inlineStr">
        <is>
          <t>Guwahati DC</t>
        </is>
      </c>
      <c r="F138" s="4" t="inlineStr">
        <is>
          <t>East</t>
        </is>
      </c>
      <c r="G138" s="4" t="inlineStr">
        <is>
          <t>WH03</t>
        </is>
      </c>
      <c r="H138" s="4" t="inlineStr">
        <is>
          <t>Lucknow DC</t>
        </is>
      </c>
      <c r="I138" s="4" t="inlineStr">
        <is>
          <t>North</t>
        </is>
      </c>
      <c r="J138" s="4" t="inlineStr">
        <is>
          <t>STOCKOUT</t>
        </is>
      </c>
      <c r="K138" s="11" t="n">
        <v>107</v>
      </c>
      <c r="L138" s="4" t="n">
        <v>0</v>
      </c>
      <c r="M138" s="11" t="n">
        <v>16050</v>
      </c>
      <c r="N138" s="11" t="n">
        <v>642</v>
      </c>
      <c r="O138" s="11" t="n">
        <v>5136</v>
      </c>
      <c r="P138" s="11" t="n">
        <v>4494</v>
      </c>
    </row>
    <row r="139">
      <c r="A139" s="4" t="inlineStr">
        <is>
          <t>SKU059</t>
        </is>
      </c>
      <c r="B139" s="4" t="inlineStr">
        <is>
          <t>Lip Balm</t>
        </is>
      </c>
      <c r="C139" s="4" t="inlineStr">
        <is>
          <t>Personal Care</t>
        </is>
      </c>
      <c r="D139" s="4" t="inlineStr">
        <is>
          <t>WH11</t>
        </is>
      </c>
      <c r="E139" s="4" t="inlineStr">
        <is>
          <t>Guwahati DC</t>
        </is>
      </c>
      <c r="F139" s="4" t="inlineStr">
        <is>
          <t>East</t>
        </is>
      </c>
      <c r="G139" s="4" t="inlineStr">
        <is>
          <t>WH08</t>
        </is>
      </c>
      <c r="H139" s="4" t="inlineStr">
        <is>
          <t>Chennai DC</t>
        </is>
      </c>
      <c r="I139" s="4" t="inlineStr">
        <is>
          <t>South</t>
        </is>
      </c>
      <c r="J139" s="4" t="inlineStr">
        <is>
          <t>STOCKOUT</t>
        </is>
      </c>
      <c r="K139" s="11" t="n">
        <v>107</v>
      </c>
      <c r="L139" s="4" t="n">
        <v>0</v>
      </c>
      <c r="M139" s="11" t="n">
        <v>16050</v>
      </c>
      <c r="N139" s="11" t="n">
        <v>642</v>
      </c>
      <c r="O139" s="11" t="n">
        <v>5136</v>
      </c>
      <c r="P139" s="11" t="n">
        <v>4494</v>
      </c>
    </row>
    <row r="140">
      <c r="A140" s="4" t="inlineStr">
        <is>
          <t>SKU059</t>
        </is>
      </c>
      <c r="B140" s="4" t="inlineStr">
        <is>
          <t>Lip Balm</t>
        </is>
      </c>
      <c r="C140" s="4" t="inlineStr">
        <is>
          <t>Personal Care</t>
        </is>
      </c>
      <c r="D140" s="4" t="inlineStr">
        <is>
          <t>WH11</t>
        </is>
      </c>
      <c r="E140" s="4" t="inlineStr">
        <is>
          <t>Guwahati DC</t>
        </is>
      </c>
      <c r="F140" s="4" t="inlineStr">
        <is>
          <t>East</t>
        </is>
      </c>
      <c r="G140" s="4" t="inlineStr">
        <is>
          <t>WH09</t>
        </is>
      </c>
      <c r="H140" s="4" t="inlineStr">
        <is>
          <t>Hyderabad DC</t>
        </is>
      </c>
      <c r="I140" s="4" t="inlineStr">
        <is>
          <t>South</t>
        </is>
      </c>
      <c r="J140" s="4" t="inlineStr">
        <is>
          <t>LOW</t>
        </is>
      </c>
      <c r="K140" s="11" t="n">
        <v>107</v>
      </c>
      <c r="L140" s="4" t="n">
        <v>0</v>
      </c>
      <c r="M140" s="11" t="n">
        <v>16050</v>
      </c>
      <c r="N140" s="11" t="n">
        <v>642</v>
      </c>
      <c r="O140" s="11" t="n">
        <v>5136</v>
      </c>
      <c r="P140" s="11" t="n">
        <v>4494</v>
      </c>
    </row>
    <row r="141">
      <c r="A141" s="4" t="inlineStr">
        <is>
          <t>SKU003</t>
        </is>
      </c>
      <c r="B141" s="4" t="inlineStr">
        <is>
          <t>Toor Dal 1kg</t>
        </is>
      </c>
      <c r="C141" s="4" t="inlineStr">
        <is>
          <t>Packaged Staples</t>
        </is>
      </c>
      <c r="D141" s="4" t="inlineStr">
        <is>
          <t>WH01</t>
        </is>
      </c>
      <c r="E141" s="4" t="inlineStr">
        <is>
          <t>Gurugram DC</t>
        </is>
      </c>
      <c r="F141" s="4" t="inlineStr">
        <is>
          <t>North</t>
        </is>
      </c>
      <c r="G141" s="4" t="inlineStr">
        <is>
          <t>WH11</t>
        </is>
      </c>
      <c r="H141" s="4" t="inlineStr">
        <is>
          <t>Guwahati DC</t>
        </is>
      </c>
      <c r="I141" s="4" t="inlineStr">
        <is>
          <t>East</t>
        </is>
      </c>
      <c r="J141" s="4" t="inlineStr">
        <is>
          <t>STOCKOUT</t>
        </is>
      </c>
      <c r="K141" s="11" t="n">
        <v>2098</v>
      </c>
      <c r="L141" s="4" t="n">
        <v>0</v>
      </c>
      <c r="M141" s="11" t="n">
        <v>127978</v>
      </c>
      <c r="N141" s="11" t="n">
        <v>12588</v>
      </c>
      <c r="O141" s="11" t="n">
        <v>16784</v>
      </c>
      <c r="P141" s="11" t="n">
        <v>4196</v>
      </c>
    </row>
    <row r="142">
      <c r="A142" s="4" t="inlineStr">
        <is>
          <t>SKU022</t>
        </is>
      </c>
      <c r="B142" s="4" t="inlineStr">
        <is>
          <t>Iced Tea 500ml</t>
        </is>
      </c>
      <c r="C142" s="4" t="inlineStr">
        <is>
          <t>Beverages</t>
        </is>
      </c>
      <c r="D142" s="4" t="inlineStr">
        <is>
          <t>WH02</t>
        </is>
      </c>
      <c r="E142" s="4" t="inlineStr">
        <is>
          <t>Jaipur DC</t>
        </is>
      </c>
      <c r="F142" s="4" t="inlineStr">
        <is>
          <t>North</t>
        </is>
      </c>
      <c r="G142" s="4" t="inlineStr">
        <is>
          <t>WH08</t>
        </is>
      </c>
      <c r="H142" s="4" t="inlineStr">
        <is>
          <t>Chennai DC</t>
        </is>
      </c>
      <c r="I142" s="4" t="inlineStr">
        <is>
          <t>South</t>
        </is>
      </c>
      <c r="J142" s="4" t="inlineStr">
        <is>
          <t>LOW</t>
        </is>
      </c>
      <c r="K142" s="11" t="n">
        <v>835</v>
      </c>
      <c r="L142" s="4" t="n">
        <v>0</v>
      </c>
      <c r="M142" s="11" t="n">
        <v>44255</v>
      </c>
      <c r="N142" s="11" t="n">
        <v>5010</v>
      </c>
      <c r="O142" s="11" t="n">
        <v>9185</v>
      </c>
      <c r="P142" s="11" t="n">
        <v>4175</v>
      </c>
    </row>
    <row r="143">
      <c r="A143" s="4" t="inlineStr">
        <is>
          <t>SKU022</t>
        </is>
      </c>
      <c r="B143" s="4" t="inlineStr">
        <is>
          <t>Iced Tea 500ml</t>
        </is>
      </c>
      <c r="C143" s="4" t="inlineStr">
        <is>
          <t>Beverages</t>
        </is>
      </c>
      <c r="D143" s="4" t="inlineStr">
        <is>
          <t>WH02</t>
        </is>
      </c>
      <c r="E143" s="4" t="inlineStr">
        <is>
          <t>Jaipur DC</t>
        </is>
      </c>
      <c r="F143" s="4" t="inlineStr">
        <is>
          <t>North</t>
        </is>
      </c>
      <c r="G143" s="4" t="inlineStr">
        <is>
          <t>WH11</t>
        </is>
      </c>
      <c r="H143" s="4" t="inlineStr">
        <is>
          <t>Guwahati DC</t>
        </is>
      </c>
      <c r="I143" s="4" t="inlineStr">
        <is>
          <t>East</t>
        </is>
      </c>
      <c r="J143" s="4" t="inlineStr">
        <is>
          <t>STOCKOUT</t>
        </is>
      </c>
      <c r="K143" s="11" t="n">
        <v>835</v>
      </c>
      <c r="L143" s="4" t="n">
        <v>0</v>
      </c>
      <c r="M143" s="11" t="n">
        <v>44255</v>
      </c>
      <c r="N143" s="11" t="n">
        <v>5010</v>
      </c>
      <c r="O143" s="11" t="n">
        <v>9185</v>
      </c>
      <c r="P143" s="11" t="n">
        <v>4175</v>
      </c>
    </row>
    <row r="144">
      <c r="A144" s="4" t="inlineStr">
        <is>
          <t>SKU104</t>
        </is>
      </c>
      <c r="B144" s="4" t="inlineStr">
        <is>
          <t>Hand Sanitizer 500ml</t>
        </is>
      </c>
      <c r="C144" s="4" t="inlineStr">
        <is>
          <t>OTC Pharma &amp; Wellness</t>
        </is>
      </c>
      <c r="D144" s="4" t="inlineStr">
        <is>
          <t>WH04</t>
        </is>
      </c>
      <c r="E144" s="4" t="inlineStr">
        <is>
          <t>Bhiwandi DC</t>
        </is>
      </c>
      <c r="F144" s="4" t="inlineStr">
        <is>
          <t>West</t>
        </is>
      </c>
      <c r="G144" s="4" t="inlineStr">
        <is>
          <t>WH08</t>
        </is>
      </c>
      <c r="H144" s="4" t="inlineStr">
        <is>
          <t>Chennai DC</t>
        </is>
      </c>
      <c r="I144" s="4" t="inlineStr">
        <is>
          <t>South</t>
        </is>
      </c>
      <c r="J144" s="4" t="inlineStr">
        <is>
          <t>LOW</t>
        </is>
      </c>
      <c r="K144" s="11" t="n">
        <v>823</v>
      </c>
      <c r="L144" s="4" t="n">
        <v>0</v>
      </c>
      <c r="M144" s="11" t="n">
        <v>30451</v>
      </c>
      <c r="N144" s="11" t="n">
        <v>4938</v>
      </c>
      <c r="O144" s="11" t="n">
        <v>9053</v>
      </c>
      <c r="P144" s="11" t="n">
        <v>4115</v>
      </c>
    </row>
    <row r="145">
      <c r="A145" s="4" t="inlineStr">
        <is>
          <t>SKU107</t>
        </is>
      </c>
      <c r="B145" s="4" t="inlineStr">
        <is>
          <t>Stretch Film 500mm</t>
        </is>
      </c>
      <c r="C145" s="4" t="inlineStr">
        <is>
          <t>Packaging &amp; Supplies</t>
        </is>
      </c>
      <c r="D145" s="4" t="inlineStr">
        <is>
          <t>WH01</t>
        </is>
      </c>
      <c r="E145" s="4" t="inlineStr">
        <is>
          <t>Gurugram DC</t>
        </is>
      </c>
      <c r="F145" s="4" t="inlineStr">
        <is>
          <t>North</t>
        </is>
      </c>
      <c r="G145" s="4" t="inlineStr">
        <is>
          <t>WH10</t>
        </is>
      </c>
      <c r="H145" s="4" t="inlineStr">
        <is>
          <t>Kolkata DC</t>
        </is>
      </c>
      <c r="I145" s="4" t="inlineStr">
        <is>
          <t>East</t>
        </is>
      </c>
      <c r="J145" s="4" t="inlineStr">
        <is>
          <t>STOCKOUT</t>
        </is>
      </c>
      <c r="K145" s="11" t="n">
        <v>77</v>
      </c>
      <c r="L145" s="4" t="n">
        <v>0</v>
      </c>
      <c r="M145" s="11" t="n">
        <v>24948</v>
      </c>
      <c r="N145" s="11" t="n">
        <v>462</v>
      </c>
      <c r="O145" s="11" t="n">
        <v>4543</v>
      </c>
      <c r="P145" s="11" t="n">
        <v>4081</v>
      </c>
    </row>
    <row r="146">
      <c r="A146" s="4" t="inlineStr">
        <is>
          <t>SKU063</t>
        </is>
      </c>
      <c r="B146" s="4" t="inlineStr">
        <is>
          <t>Floor Cleaner 1L</t>
        </is>
      </c>
      <c r="C146" s="4" t="inlineStr">
        <is>
          <t>Home Care</t>
        </is>
      </c>
      <c r="D146" s="4" t="inlineStr">
        <is>
          <t>WH04</t>
        </is>
      </c>
      <c r="E146" s="4" t="inlineStr">
        <is>
          <t>Bhiwandi DC</t>
        </is>
      </c>
      <c r="F146" s="4" t="inlineStr">
        <is>
          <t>West</t>
        </is>
      </c>
      <c r="G146" s="4" t="inlineStr">
        <is>
          <t>WH12</t>
        </is>
      </c>
      <c r="H146" s="4" t="inlineStr">
        <is>
          <t>Nagpur DC</t>
        </is>
      </c>
      <c r="I146" s="4" t="inlineStr">
        <is>
          <t>Central</t>
        </is>
      </c>
      <c r="J146" s="4" t="inlineStr">
        <is>
          <t>LOW</t>
        </is>
      </c>
      <c r="K146" s="11" t="n">
        <v>671</v>
      </c>
      <c r="L146" s="4" t="n">
        <v>0</v>
      </c>
      <c r="M146" s="11" t="n">
        <v>29524</v>
      </c>
      <c r="N146" s="11" t="n">
        <v>4026</v>
      </c>
      <c r="O146" s="11" t="n">
        <v>8052</v>
      </c>
      <c r="P146" s="11" t="n">
        <v>4026</v>
      </c>
    </row>
    <row r="147">
      <c r="A147" s="4" t="inlineStr">
        <is>
          <t>SKU063</t>
        </is>
      </c>
      <c r="B147" s="4" t="inlineStr">
        <is>
          <t>Floor Cleaner 1L</t>
        </is>
      </c>
      <c r="C147" s="4" t="inlineStr">
        <is>
          <t>Home Care</t>
        </is>
      </c>
      <c r="D147" s="4" t="inlineStr">
        <is>
          <t>WH04</t>
        </is>
      </c>
      <c r="E147" s="4" t="inlineStr">
        <is>
          <t>Bhiwandi DC</t>
        </is>
      </c>
      <c r="F147" s="4" t="inlineStr">
        <is>
          <t>West</t>
        </is>
      </c>
      <c r="G147" s="4" t="inlineStr">
        <is>
          <t>WH11</t>
        </is>
      </c>
      <c r="H147" s="4" t="inlineStr">
        <is>
          <t>Guwahati DC</t>
        </is>
      </c>
      <c r="I147" s="4" t="inlineStr">
        <is>
          <t>East</t>
        </is>
      </c>
      <c r="J147" s="4" t="inlineStr">
        <is>
          <t>STOCKOUT</t>
        </is>
      </c>
      <c r="K147" s="11" t="n">
        <v>663</v>
      </c>
      <c r="L147" s="4" t="n">
        <v>0</v>
      </c>
      <c r="M147" s="11" t="n">
        <v>29172</v>
      </c>
      <c r="N147" s="11" t="n">
        <v>3978</v>
      </c>
      <c r="O147" s="11" t="n">
        <v>7956</v>
      </c>
      <c r="P147" s="11" t="n">
        <v>3978</v>
      </c>
    </row>
    <row r="148">
      <c r="A148" s="4" t="inlineStr">
        <is>
          <t>SKU108</t>
        </is>
      </c>
      <c r="B148" s="4" t="inlineStr">
        <is>
          <t>BOPP Tape 48mm</t>
        </is>
      </c>
      <c r="C148" s="4" t="inlineStr">
        <is>
          <t>Packaging &amp; Supplies</t>
        </is>
      </c>
      <c r="D148" s="4" t="inlineStr">
        <is>
          <t>WH04</t>
        </is>
      </c>
      <c r="E148" s="4" t="inlineStr">
        <is>
          <t>Bhiwandi DC</t>
        </is>
      </c>
      <c r="F148" s="4" t="inlineStr">
        <is>
          <t>West</t>
        </is>
      </c>
      <c r="G148" s="4" t="inlineStr">
        <is>
          <t>WH02</t>
        </is>
      </c>
      <c r="H148" s="4" t="inlineStr">
        <is>
          <t>Jaipur DC</t>
        </is>
      </c>
      <c r="I148" s="4" t="inlineStr">
        <is>
          <t>North</t>
        </is>
      </c>
      <c r="J148" s="4" t="inlineStr">
        <is>
          <t>LOW</t>
        </is>
      </c>
      <c r="K148" s="11" t="n">
        <v>34</v>
      </c>
      <c r="L148" s="4" t="n">
        <v>0</v>
      </c>
      <c r="M148" s="11" t="n">
        <v>23766</v>
      </c>
      <c r="N148" s="11" t="n">
        <v>204</v>
      </c>
      <c r="O148" s="11" t="n">
        <v>4182</v>
      </c>
      <c r="P148" s="11" t="n">
        <v>3978</v>
      </c>
    </row>
    <row r="149">
      <c r="A149" s="4" t="inlineStr">
        <is>
          <t>SKU027</t>
        </is>
      </c>
      <c r="B149" s="4" t="inlineStr">
        <is>
          <t>Lassi 200ml</t>
        </is>
      </c>
      <c r="C149" s="4" t="inlineStr">
        <is>
          <t>Beverages</t>
        </is>
      </c>
      <c r="D149" s="4" t="inlineStr">
        <is>
          <t>WH03</t>
        </is>
      </c>
      <c r="E149" s="4" t="inlineStr">
        <is>
          <t>Lucknow DC</t>
        </is>
      </c>
      <c r="F149" s="4" t="inlineStr">
        <is>
          <t>North</t>
        </is>
      </c>
      <c r="G149" s="4" t="inlineStr">
        <is>
          <t>WH06</t>
        </is>
      </c>
      <c r="H149" s="4" t="inlineStr">
        <is>
          <t>Ahmedabad DC</t>
        </is>
      </c>
      <c r="I149" s="4" t="inlineStr">
        <is>
          <t>West</t>
        </is>
      </c>
      <c r="J149" s="4" t="inlineStr">
        <is>
          <t>LOW</t>
        </is>
      </c>
      <c r="K149" s="11" t="n">
        <v>657</v>
      </c>
      <c r="L149" s="4" t="n">
        <v>0</v>
      </c>
      <c r="M149" s="11" t="n">
        <v>39420</v>
      </c>
      <c r="N149" s="11" t="n">
        <v>3942</v>
      </c>
      <c r="O149" s="11" t="n">
        <v>7884</v>
      </c>
      <c r="P149" s="11" t="n">
        <v>3942</v>
      </c>
    </row>
    <row r="150">
      <c r="A150" s="4" t="inlineStr">
        <is>
          <t>SKU027</t>
        </is>
      </c>
      <c r="B150" s="4" t="inlineStr">
        <is>
          <t>Lassi 200ml</t>
        </is>
      </c>
      <c r="C150" s="4" t="inlineStr">
        <is>
          <t>Beverages</t>
        </is>
      </c>
      <c r="D150" s="4" t="inlineStr">
        <is>
          <t>WH03</t>
        </is>
      </c>
      <c r="E150" s="4" t="inlineStr">
        <is>
          <t>Lucknow DC</t>
        </is>
      </c>
      <c r="F150" s="4" t="inlineStr">
        <is>
          <t>North</t>
        </is>
      </c>
      <c r="G150" s="4" t="inlineStr">
        <is>
          <t>WH08</t>
        </is>
      </c>
      <c r="H150" s="4" t="inlineStr">
        <is>
          <t>Chennai DC</t>
        </is>
      </c>
      <c r="I150" s="4" t="inlineStr">
        <is>
          <t>South</t>
        </is>
      </c>
      <c r="J150" s="4" t="inlineStr">
        <is>
          <t>STOCKOUT</t>
        </is>
      </c>
      <c r="K150" s="11" t="n">
        <v>657</v>
      </c>
      <c r="L150" s="4" t="n">
        <v>0</v>
      </c>
      <c r="M150" s="11" t="n">
        <v>39420</v>
      </c>
      <c r="N150" s="11" t="n">
        <v>3942</v>
      </c>
      <c r="O150" s="11" t="n">
        <v>7884</v>
      </c>
      <c r="P150" s="11" t="n">
        <v>3942</v>
      </c>
    </row>
    <row r="151">
      <c r="A151" s="4" t="inlineStr">
        <is>
          <t>SKU027</t>
        </is>
      </c>
      <c r="B151" s="4" t="inlineStr">
        <is>
          <t>Lassi 200ml</t>
        </is>
      </c>
      <c r="C151" s="4" t="inlineStr">
        <is>
          <t>Beverages</t>
        </is>
      </c>
      <c r="D151" s="4" t="inlineStr">
        <is>
          <t>WH03</t>
        </is>
      </c>
      <c r="E151" s="4" t="inlineStr">
        <is>
          <t>Lucknow DC</t>
        </is>
      </c>
      <c r="F151" s="4" t="inlineStr">
        <is>
          <t>North</t>
        </is>
      </c>
      <c r="G151" s="4" t="inlineStr">
        <is>
          <t>WH11</t>
        </is>
      </c>
      <c r="H151" s="4" t="inlineStr">
        <is>
          <t>Guwahati DC</t>
        </is>
      </c>
      <c r="I151" s="4" t="inlineStr">
        <is>
          <t>East</t>
        </is>
      </c>
      <c r="J151" s="4" t="inlineStr">
        <is>
          <t>LOW</t>
        </is>
      </c>
      <c r="K151" s="11" t="n">
        <v>628</v>
      </c>
      <c r="L151" s="4" t="n">
        <v>0</v>
      </c>
      <c r="M151" s="11" t="n">
        <v>37680</v>
      </c>
      <c r="N151" s="11" t="n">
        <v>3768</v>
      </c>
      <c r="O151" s="11" t="n">
        <v>7536</v>
      </c>
      <c r="P151" s="11" t="n">
        <v>3768</v>
      </c>
    </row>
    <row r="152">
      <c r="A152" s="4" t="inlineStr">
        <is>
          <t>SKU091</t>
        </is>
      </c>
      <c r="B152" s="4" t="inlineStr">
        <is>
          <t>Paracetamol 500mg 15s</t>
        </is>
      </c>
      <c r="C152" s="4" t="inlineStr">
        <is>
          <t>OTC Pharma &amp; Wellness</t>
        </is>
      </c>
      <c r="D152" s="4" t="inlineStr">
        <is>
          <t>WH09</t>
        </is>
      </c>
      <c r="E152" s="4" t="inlineStr">
        <is>
          <t>Hyderabad DC</t>
        </is>
      </c>
      <c r="F152" s="4" t="inlineStr">
        <is>
          <t>South</t>
        </is>
      </c>
      <c r="G152" s="4" t="inlineStr">
        <is>
          <t>WH06</t>
        </is>
      </c>
      <c r="H152" s="4" t="inlineStr">
        <is>
          <t>Ahmedabad DC</t>
        </is>
      </c>
      <c r="I152" s="4" t="inlineStr">
        <is>
          <t>West</t>
        </is>
      </c>
      <c r="J152" s="4" t="inlineStr">
        <is>
          <t>CRITICAL</t>
        </is>
      </c>
      <c r="K152" s="11" t="n">
        <v>148</v>
      </c>
      <c r="L152" s="4" t="n">
        <v>0</v>
      </c>
      <c r="M152" s="11" t="n">
        <v>16724</v>
      </c>
      <c r="N152" s="11" t="n">
        <v>888</v>
      </c>
      <c r="O152" s="11" t="n">
        <v>4588</v>
      </c>
      <c r="P152" s="11" t="n">
        <v>3700</v>
      </c>
    </row>
    <row r="153">
      <c r="A153" s="4" t="inlineStr">
        <is>
          <t>SKU021</t>
        </is>
      </c>
      <c r="B153" s="4" t="inlineStr">
        <is>
          <t>Fruit Juice 1L</t>
        </is>
      </c>
      <c r="C153" s="4" t="inlineStr">
        <is>
          <t>Beverages</t>
        </is>
      </c>
      <c r="D153" s="4" t="inlineStr">
        <is>
          <t>WH05</t>
        </is>
      </c>
      <c r="E153" s="4" t="inlineStr">
        <is>
          <t>Pune DC</t>
        </is>
      </c>
      <c r="F153" s="4" t="inlineStr">
        <is>
          <t>West</t>
        </is>
      </c>
      <c r="G153" s="4" t="inlineStr">
        <is>
          <t>WH06</t>
        </is>
      </c>
      <c r="H153" s="4" t="inlineStr">
        <is>
          <t>Ahmedabad DC</t>
        </is>
      </c>
      <c r="I153" s="4" t="inlineStr">
        <is>
          <t>West</t>
        </is>
      </c>
      <c r="J153" s="4" t="inlineStr">
        <is>
          <t>LOW</t>
        </is>
      </c>
      <c r="K153" s="11" t="n">
        <v>556</v>
      </c>
      <c r="L153" s="4" t="n">
        <v>1</v>
      </c>
      <c r="M153" s="11" t="n">
        <v>30024</v>
      </c>
      <c r="N153" s="11" t="n">
        <v>1390</v>
      </c>
      <c r="O153" s="11" t="n">
        <v>5004</v>
      </c>
      <c r="P153" s="11" t="n">
        <v>3614</v>
      </c>
    </row>
    <row r="154">
      <c r="A154" s="4" t="inlineStr">
        <is>
          <t>SKU030</t>
        </is>
      </c>
      <c r="B154" s="4" t="inlineStr">
        <is>
          <t>Malt Drink 500g</t>
        </is>
      </c>
      <c r="C154" s="4" t="inlineStr">
        <is>
          <t>Beverages</t>
        </is>
      </c>
      <c r="D154" s="4" t="inlineStr">
        <is>
          <t>WH02</t>
        </is>
      </c>
      <c r="E154" s="4" t="inlineStr">
        <is>
          <t>Jaipur DC</t>
        </is>
      </c>
      <c r="F154" s="4" t="inlineStr">
        <is>
          <t>North</t>
        </is>
      </c>
      <c r="G154" s="4" t="inlineStr">
        <is>
          <t>WH03</t>
        </is>
      </c>
      <c r="H154" s="4" t="inlineStr">
        <is>
          <t>Lucknow DC</t>
        </is>
      </c>
      <c r="I154" s="4" t="inlineStr">
        <is>
          <t>North</t>
        </is>
      </c>
      <c r="J154" s="4" t="inlineStr">
        <is>
          <t>LOW</t>
        </is>
      </c>
      <c r="K154" s="11" t="n">
        <v>944</v>
      </c>
      <c r="L154" s="4" t="n">
        <v>1</v>
      </c>
      <c r="M154" s="11" t="n">
        <v>29264</v>
      </c>
      <c r="N154" s="11" t="n">
        <v>2360</v>
      </c>
      <c r="O154" s="11" t="n">
        <v>5664</v>
      </c>
      <c r="P154" s="11" t="n">
        <v>3304</v>
      </c>
    </row>
    <row r="155">
      <c r="A155" s="4" t="inlineStr">
        <is>
          <t>SKU104</t>
        </is>
      </c>
      <c r="B155" s="4" t="inlineStr">
        <is>
          <t>Hand Sanitizer 500ml</t>
        </is>
      </c>
      <c r="C155" s="4" t="inlineStr">
        <is>
          <t>OTC Pharma &amp; Wellness</t>
        </is>
      </c>
      <c r="D155" s="4" t="inlineStr">
        <is>
          <t>WH04</t>
        </is>
      </c>
      <c r="E155" s="4" t="inlineStr">
        <is>
          <t>Bhiwandi DC</t>
        </is>
      </c>
      <c r="F155" s="4" t="inlineStr">
        <is>
          <t>West</t>
        </is>
      </c>
      <c r="G155" s="4" t="inlineStr">
        <is>
          <t>WH07</t>
        </is>
      </c>
      <c r="H155" s="4" t="inlineStr">
        <is>
          <t>Bengaluru DC</t>
        </is>
      </c>
      <c r="I155" s="4" t="inlineStr">
        <is>
          <t>South</t>
        </is>
      </c>
      <c r="J155" s="4" t="inlineStr">
        <is>
          <t>LOW</t>
        </is>
      </c>
      <c r="K155" s="11" t="n">
        <v>659</v>
      </c>
      <c r="L155" s="4" t="n">
        <v>0</v>
      </c>
      <c r="M155" s="11" t="n">
        <v>24383</v>
      </c>
      <c r="N155" s="11" t="n">
        <v>3954</v>
      </c>
      <c r="O155" s="11" t="n">
        <v>7249</v>
      </c>
      <c r="P155" s="11" t="n">
        <v>3295</v>
      </c>
    </row>
    <row r="156">
      <c r="A156" s="4" t="inlineStr">
        <is>
          <t>SKU008</t>
        </is>
      </c>
      <c r="B156" s="4" t="inlineStr">
        <is>
          <t>Iodized Salt 1kg</t>
        </is>
      </c>
      <c r="C156" s="4" t="inlineStr">
        <is>
          <t>Packaged Staples</t>
        </is>
      </c>
      <c r="D156" s="4" t="inlineStr">
        <is>
          <t>WH03</t>
        </is>
      </c>
      <c r="E156" s="4" t="inlineStr">
        <is>
          <t>Lucknow DC</t>
        </is>
      </c>
      <c r="F156" s="4" t="inlineStr">
        <is>
          <t>North</t>
        </is>
      </c>
      <c r="G156" s="4" t="inlineStr">
        <is>
          <t>WH02</t>
        </is>
      </c>
      <c r="H156" s="4" t="inlineStr">
        <is>
          <t>Jaipur DC</t>
        </is>
      </c>
      <c r="I156" s="4" t="inlineStr">
        <is>
          <t>North</t>
        </is>
      </c>
      <c r="J156" s="4" t="inlineStr">
        <is>
          <t>LOW</t>
        </is>
      </c>
      <c r="K156" s="11" t="n">
        <v>240</v>
      </c>
      <c r="L156" s="4" t="n">
        <v>1</v>
      </c>
      <c r="M156" s="11" t="n">
        <v>33600</v>
      </c>
      <c r="N156" s="11" t="n">
        <v>600</v>
      </c>
      <c r="O156" s="11" t="n">
        <v>3840</v>
      </c>
      <c r="P156" s="11" t="n">
        <v>3240</v>
      </c>
    </row>
    <row r="157">
      <c r="A157" s="4" t="inlineStr">
        <is>
          <t>SKU096</t>
        </is>
      </c>
      <c r="B157" s="4" t="inlineStr">
        <is>
          <t>Antiseptic Liquid 250ml</t>
        </is>
      </c>
      <c r="C157" s="4" t="inlineStr">
        <is>
          <t>OTC Pharma &amp; Wellness</t>
        </is>
      </c>
      <c r="D157" s="4" t="inlineStr">
        <is>
          <t>WH04</t>
        </is>
      </c>
      <c r="E157" s="4" t="inlineStr">
        <is>
          <t>Bhiwandi DC</t>
        </is>
      </c>
      <c r="F157" s="4" t="inlineStr">
        <is>
          <t>West</t>
        </is>
      </c>
      <c r="G157" s="4" t="inlineStr">
        <is>
          <t>WH10</t>
        </is>
      </c>
      <c r="H157" s="4" t="inlineStr">
        <is>
          <t>Kolkata DC</t>
        </is>
      </c>
      <c r="I157" s="4" t="inlineStr">
        <is>
          <t>East</t>
        </is>
      </c>
      <c r="J157" s="4" t="inlineStr">
        <is>
          <t>LOW</t>
        </is>
      </c>
      <c r="K157" s="11" t="n">
        <v>180</v>
      </c>
      <c r="L157" s="4" t="n">
        <v>0</v>
      </c>
      <c r="M157" s="11" t="n">
        <v>15840</v>
      </c>
      <c r="N157" s="11" t="n">
        <v>1080</v>
      </c>
      <c r="O157" s="11" t="n">
        <v>4320</v>
      </c>
      <c r="P157" s="11" t="n">
        <v>3240</v>
      </c>
    </row>
    <row r="158">
      <c r="A158" s="4" t="inlineStr">
        <is>
          <t>SKU059</t>
        </is>
      </c>
      <c r="B158" s="4" t="inlineStr">
        <is>
          <t>Lip Balm</t>
        </is>
      </c>
      <c r="C158" s="4" t="inlineStr">
        <is>
          <t>Personal Care</t>
        </is>
      </c>
      <c r="D158" s="4" t="inlineStr">
        <is>
          <t>WH11</t>
        </is>
      </c>
      <c r="E158" s="4" t="inlineStr">
        <is>
          <t>Guwahati DC</t>
        </is>
      </c>
      <c r="F158" s="4" t="inlineStr">
        <is>
          <t>East</t>
        </is>
      </c>
      <c r="G158" s="4" t="inlineStr">
        <is>
          <t>WH12</t>
        </is>
      </c>
      <c r="H158" s="4" t="inlineStr">
        <is>
          <t>Nagpur DC</t>
        </is>
      </c>
      <c r="I158" s="4" t="inlineStr">
        <is>
          <t>Central</t>
        </is>
      </c>
      <c r="J158" s="4" t="inlineStr">
        <is>
          <t>LOW</t>
        </is>
      </c>
      <c r="K158" s="11" t="n">
        <v>74</v>
      </c>
      <c r="L158" s="4" t="n">
        <v>0</v>
      </c>
      <c r="M158" s="11" t="n">
        <v>11100</v>
      </c>
      <c r="N158" s="11" t="n">
        <v>444</v>
      </c>
      <c r="O158" s="11" t="n">
        <v>3552</v>
      </c>
      <c r="P158" s="11" t="n">
        <v>3108</v>
      </c>
    </row>
    <row r="159">
      <c r="A159" s="4" t="inlineStr">
        <is>
          <t>SKU108</t>
        </is>
      </c>
      <c r="B159" s="4" t="inlineStr">
        <is>
          <t>BOPP Tape 48mm</t>
        </is>
      </c>
      <c r="C159" s="4" t="inlineStr">
        <is>
          <t>Packaging &amp; Supplies</t>
        </is>
      </c>
      <c r="D159" s="4" t="inlineStr">
        <is>
          <t>WH04</t>
        </is>
      </c>
      <c r="E159" s="4" t="inlineStr">
        <is>
          <t>Bhiwandi DC</t>
        </is>
      </c>
      <c r="F159" s="4" t="inlineStr">
        <is>
          <t>West</t>
        </is>
      </c>
      <c r="G159" s="4" t="inlineStr">
        <is>
          <t>WH11</t>
        </is>
      </c>
      <c r="H159" s="4" t="inlineStr">
        <is>
          <t>Guwahati DC</t>
        </is>
      </c>
      <c r="I159" s="4" t="inlineStr">
        <is>
          <t>East</t>
        </is>
      </c>
      <c r="J159" s="4" t="inlineStr">
        <is>
          <t>LOW</t>
        </is>
      </c>
      <c r="K159" s="11" t="n">
        <v>26</v>
      </c>
      <c r="L159" s="4" t="n">
        <v>0</v>
      </c>
      <c r="M159" s="11" t="n">
        <v>18174</v>
      </c>
      <c r="N159" s="11" t="n">
        <v>156</v>
      </c>
      <c r="O159" s="11" t="n">
        <v>3198</v>
      </c>
      <c r="P159" s="11" t="n">
        <v>3042</v>
      </c>
    </row>
    <row r="160">
      <c r="A160" s="4" t="inlineStr">
        <is>
          <t>SKU092</t>
        </is>
      </c>
      <c r="B160" s="4" t="inlineStr">
        <is>
          <t>ORS Sachets 10pk</t>
        </is>
      </c>
      <c r="C160" s="4" t="inlineStr">
        <is>
          <t>OTC Pharma &amp; Wellness</t>
        </is>
      </c>
      <c r="D160" s="4" t="inlineStr">
        <is>
          <t>WH04</t>
        </is>
      </c>
      <c r="E160" s="4" t="inlineStr">
        <is>
          <t>Bhiwandi DC</t>
        </is>
      </c>
      <c r="F160" s="4" t="inlineStr">
        <is>
          <t>West</t>
        </is>
      </c>
      <c r="G160" s="4" t="inlineStr">
        <is>
          <t>WH11</t>
        </is>
      </c>
      <c r="H160" s="4" t="inlineStr">
        <is>
          <t>Guwahati DC</t>
        </is>
      </c>
      <c r="I160" s="4" t="inlineStr">
        <is>
          <t>East</t>
        </is>
      </c>
      <c r="J160" s="4" t="inlineStr">
        <is>
          <t>CRITICAL</t>
        </is>
      </c>
      <c r="K160" s="11" t="n">
        <v>208</v>
      </c>
      <c r="L160" s="4" t="n">
        <v>0</v>
      </c>
      <c r="M160" s="11" t="n">
        <v>11440</v>
      </c>
      <c r="N160" s="11" t="n">
        <v>1248</v>
      </c>
      <c r="O160" s="11" t="n">
        <v>4160</v>
      </c>
      <c r="P160" s="11" t="n">
        <v>2912</v>
      </c>
    </row>
    <row r="161">
      <c r="A161" s="4" t="inlineStr">
        <is>
          <t>SKU110</t>
        </is>
      </c>
      <c r="B161" s="4" t="inlineStr">
        <is>
          <t>Pallet Strapping Roll</t>
        </is>
      </c>
      <c r="C161" s="4" t="inlineStr">
        <is>
          <t>Packaging &amp; Supplies</t>
        </is>
      </c>
      <c r="D161" s="4" t="inlineStr">
        <is>
          <t>WH01</t>
        </is>
      </c>
      <c r="E161" s="4" t="inlineStr">
        <is>
          <t>Gurugram DC</t>
        </is>
      </c>
      <c r="F161" s="4" t="inlineStr">
        <is>
          <t>North</t>
        </is>
      </c>
      <c r="G161" s="4" t="inlineStr">
        <is>
          <t>WH03</t>
        </is>
      </c>
      <c r="H161" s="4" t="inlineStr">
        <is>
          <t>Lucknow DC</t>
        </is>
      </c>
      <c r="I161" s="4" t="inlineStr">
        <is>
          <t>North</t>
        </is>
      </c>
      <c r="J161" s="4" t="inlineStr">
        <is>
          <t>CRITICAL</t>
        </is>
      </c>
      <c r="K161" s="11" t="n">
        <v>516</v>
      </c>
      <c r="L161" s="4" t="n">
        <v>1</v>
      </c>
      <c r="M161" s="11" t="n">
        <v>23220</v>
      </c>
      <c r="N161" s="11" t="n">
        <v>1290</v>
      </c>
      <c r="O161" s="11" t="n">
        <v>4128</v>
      </c>
      <c r="P161" s="11" t="n">
        <v>2838</v>
      </c>
    </row>
    <row r="162">
      <c r="A162" s="4" t="inlineStr">
        <is>
          <t>SKU038</t>
        </is>
      </c>
      <c r="B162" s="4" t="inlineStr">
        <is>
          <t>Peanut Chikki 200g</t>
        </is>
      </c>
      <c r="C162" s="4" t="inlineStr">
        <is>
          <t>Snacks &amp; Confectionery</t>
        </is>
      </c>
      <c r="D162" s="4" t="inlineStr">
        <is>
          <t>WH04</t>
        </is>
      </c>
      <c r="E162" s="4" t="inlineStr">
        <is>
          <t>Bhiwandi DC</t>
        </is>
      </c>
      <c r="F162" s="4" t="inlineStr">
        <is>
          <t>West</t>
        </is>
      </c>
      <c r="G162" s="4" t="inlineStr">
        <is>
          <t>WH06</t>
        </is>
      </c>
      <c r="H162" s="4" t="inlineStr">
        <is>
          <t>Ahmedabad DC</t>
        </is>
      </c>
      <c r="I162" s="4" t="inlineStr">
        <is>
          <t>West</t>
        </is>
      </c>
      <c r="J162" s="4" t="inlineStr">
        <is>
          <t>LOW</t>
        </is>
      </c>
      <c r="K162" s="11" t="n">
        <v>1877</v>
      </c>
      <c r="L162" s="4" t="n">
        <v>1</v>
      </c>
      <c r="M162" s="11" t="n">
        <v>33786</v>
      </c>
      <c r="N162" s="11" t="n">
        <v>4693</v>
      </c>
      <c r="O162" s="11" t="n">
        <v>7508</v>
      </c>
      <c r="P162" s="11" t="n">
        <v>2816</v>
      </c>
    </row>
    <row r="163">
      <c r="A163" s="4" t="inlineStr">
        <is>
          <t>SKU002</t>
        </is>
      </c>
      <c r="B163" s="4" t="inlineStr">
        <is>
          <t>Basmati Rice 5kg</t>
        </is>
      </c>
      <c r="C163" s="4" t="inlineStr">
        <is>
          <t>Packaged Staples</t>
        </is>
      </c>
      <c r="D163" s="4" t="inlineStr">
        <is>
          <t>WH07</t>
        </is>
      </c>
      <c r="E163" s="4" t="inlineStr">
        <is>
          <t>Bengaluru DC</t>
        </is>
      </c>
      <c r="F163" s="4" t="inlineStr">
        <is>
          <t>South</t>
        </is>
      </c>
      <c r="G163" s="4" t="inlineStr">
        <is>
          <t>WH09</t>
        </is>
      </c>
      <c r="H163" s="4" t="inlineStr">
        <is>
          <t>Hyderabad DC</t>
        </is>
      </c>
      <c r="I163" s="4" t="inlineStr">
        <is>
          <t>South</t>
        </is>
      </c>
      <c r="J163" s="4" t="inlineStr">
        <is>
          <t>LOW</t>
        </is>
      </c>
      <c r="K163" s="11" t="n">
        <v>607</v>
      </c>
      <c r="L163" s="4" t="n">
        <v>1</v>
      </c>
      <c r="M163" s="11" t="n">
        <v>35813</v>
      </c>
      <c r="N163" s="11" t="n">
        <v>1518</v>
      </c>
      <c r="O163" s="11" t="n">
        <v>4249</v>
      </c>
      <c r="P163" s="11" t="n">
        <v>2732</v>
      </c>
    </row>
    <row r="164">
      <c r="A164" s="4" t="inlineStr">
        <is>
          <t>SKU044</t>
        </is>
      </c>
      <c r="B164" s="4" t="inlineStr">
        <is>
          <t>Rusk 300g</t>
        </is>
      </c>
      <c r="C164" s="4" t="inlineStr">
        <is>
          <t>Snacks &amp; Confectionery</t>
        </is>
      </c>
      <c r="D164" s="4" t="inlineStr">
        <is>
          <t>WH12</t>
        </is>
      </c>
      <c r="E164" s="4" t="inlineStr">
        <is>
          <t>Nagpur DC</t>
        </is>
      </c>
      <c r="F164" s="4" t="inlineStr">
        <is>
          <t>Central</t>
        </is>
      </c>
      <c r="G164" s="4" t="inlineStr">
        <is>
          <t>WH03</t>
        </is>
      </c>
      <c r="H164" s="4" t="inlineStr">
        <is>
          <t>Lucknow DC</t>
        </is>
      </c>
      <c r="I164" s="4" t="inlineStr">
        <is>
          <t>North</t>
        </is>
      </c>
      <c r="J164" s="4" t="inlineStr">
        <is>
          <t>STOCKOUT</t>
        </is>
      </c>
      <c r="K164" s="11" t="n">
        <v>376</v>
      </c>
      <c r="L164" s="4" t="n">
        <v>0</v>
      </c>
      <c r="M164" s="11" t="n">
        <v>21432</v>
      </c>
      <c r="N164" s="11" t="n">
        <v>2256</v>
      </c>
      <c r="O164" s="11" t="n">
        <v>4888</v>
      </c>
      <c r="P164" s="11" t="n">
        <v>2632</v>
      </c>
    </row>
    <row r="165">
      <c r="A165" s="4" t="inlineStr">
        <is>
          <t>SKU044</t>
        </is>
      </c>
      <c r="B165" s="4" t="inlineStr">
        <is>
          <t>Rusk 300g</t>
        </is>
      </c>
      <c r="C165" s="4" t="inlineStr">
        <is>
          <t>Snacks &amp; Confectionery</t>
        </is>
      </c>
      <c r="D165" s="4" t="inlineStr">
        <is>
          <t>WH12</t>
        </is>
      </c>
      <c r="E165" s="4" t="inlineStr">
        <is>
          <t>Nagpur DC</t>
        </is>
      </c>
      <c r="F165" s="4" t="inlineStr">
        <is>
          <t>Central</t>
        </is>
      </c>
      <c r="G165" s="4" t="inlineStr">
        <is>
          <t>WH08</t>
        </is>
      </c>
      <c r="H165" s="4" t="inlineStr">
        <is>
          <t>Chennai DC</t>
        </is>
      </c>
      <c r="I165" s="4" t="inlineStr">
        <is>
          <t>South</t>
        </is>
      </c>
      <c r="J165" s="4" t="inlineStr">
        <is>
          <t>LOW</t>
        </is>
      </c>
      <c r="K165" s="11" t="n">
        <v>376</v>
      </c>
      <c r="L165" s="4" t="n">
        <v>0</v>
      </c>
      <c r="M165" s="11" t="n">
        <v>21432</v>
      </c>
      <c r="N165" s="11" t="n">
        <v>2256</v>
      </c>
      <c r="O165" s="11" t="n">
        <v>4888</v>
      </c>
      <c r="P165" s="11" t="n">
        <v>2632</v>
      </c>
    </row>
    <row r="166">
      <c r="A166" s="4" t="inlineStr">
        <is>
          <t>SKU044</t>
        </is>
      </c>
      <c r="B166" s="4" t="inlineStr">
        <is>
          <t>Rusk 300g</t>
        </is>
      </c>
      <c r="C166" s="4" t="inlineStr">
        <is>
          <t>Snacks &amp; Confectionery</t>
        </is>
      </c>
      <c r="D166" s="4" t="inlineStr">
        <is>
          <t>WH12</t>
        </is>
      </c>
      <c r="E166" s="4" t="inlineStr">
        <is>
          <t>Nagpur DC</t>
        </is>
      </c>
      <c r="F166" s="4" t="inlineStr">
        <is>
          <t>Central</t>
        </is>
      </c>
      <c r="G166" s="4" t="inlineStr">
        <is>
          <t>WH09</t>
        </is>
      </c>
      <c r="H166" s="4" t="inlineStr">
        <is>
          <t>Hyderabad DC</t>
        </is>
      </c>
      <c r="I166" s="4" t="inlineStr">
        <is>
          <t>South</t>
        </is>
      </c>
      <c r="J166" s="4" t="inlineStr">
        <is>
          <t>LOW</t>
        </is>
      </c>
      <c r="K166" s="11" t="n">
        <v>376</v>
      </c>
      <c r="L166" s="4" t="n">
        <v>0</v>
      </c>
      <c r="M166" s="11" t="n">
        <v>21432</v>
      </c>
      <c r="N166" s="11" t="n">
        <v>2256</v>
      </c>
      <c r="O166" s="11" t="n">
        <v>4888</v>
      </c>
      <c r="P166" s="11" t="n">
        <v>2632</v>
      </c>
    </row>
    <row r="167">
      <c r="A167" s="4" t="inlineStr">
        <is>
          <t>SKU098</t>
        </is>
      </c>
      <c r="B167" s="4" t="inlineStr">
        <is>
          <t>Bandage Pack</t>
        </is>
      </c>
      <c r="C167" s="4" t="inlineStr">
        <is>
          <t>OTC Pharma &amp; Wellness</t>
        </is>
      </c>
      <c r="D167" s="4" t="inlineStr">
        <is>
          <t>WH12</t>
        </is>
      </c>
      <c r="E167" s="4" t="inlineStr">
        <is>
          <t>Nagpur DC</t>
        </is>
      </c>
      <c r="F167" s="4" t="inlineStr">
        <is>
          <t>Central</t>
        </is>
      </c>
      <c r="G167" s="4" t="inlineStr">
        <is>
          <t>WH08</t>
        </is>
      </c>
      <c r="H167" s="4" t="inlineStr">
        <is>
          <t>Chennai DC</t>
        </is>
      </c>
      <c r="I167" s="4" t="inlineStr">
        <is>
          <t>South</t>
        </is>
      </c>
      <c r="J167" s="4" t="inlineStr">
        <is>
          <t>LOW</t>
        </is>
      </c>
      <c r="K167" s="11" t="n">
        <v>228</v>
      </c>
      <c r="L167" s="4" t="n">
        <v>0</v>
      </c>
      <c r="M167" s="11" t="n">
        <v>11172</v>
      </c>
      <c r="N167" s="11" t="n">
        <v>1368</v>
      </c>
      <c r="O167" s="11" t="n">
        <v>3876</v>
      </c>
      <c r="P167" s="11" t="n">
        <v>2508</v>
      </c>
    </row>
    <row r="168">
      <c r="A168" s="4" t="inlineStr">
        <is>
          <t>SKU107</t>
        </is>
      </c>
      <c r="B168" s="4" t="inlineStr">
        <is>
          <t>Stretch Film 500mm</t>
        </is>
      </c>
      <c r="C168" s="4" t="inlineStr">
        <is>
          <t>Packaging &amp; Supplies</t>
        </is>
      </c>
      <c r="D168" s="4" t="inlineStr">
        <is>
          <t>WH01</t>
        </is>
      </c>
      <c r="E168" s="4" t="inlineStr">
        <is>
          <t>Gurugram DC</t>
        </is>
      </c>
      <c r="F168" s="4" t="inlineStr">
        <is>
          <t>North</t>
        </is>
      </c>
      <c r="G168" s="4" t="inlineStr">
        <is>
          <t>WH03</t>
        </is>
      </c>
      <c r="H168" s="4" t="inlineStr">
        <is>
          <t>Lucknow DC</t>
        </is>
      </c>
      <c r="I168" s="4" t="inlineStr">
        <is>
          <t>North</t>
        </is>
      </c>
      <c r="J168" s="4" t="inlineStr">
        <is>
          <t>LOW</t>
        </is>
      </c>
      <c r="K168" s="11" t="n">
        <v>43</v>
      </c>
      <c r="L168" s="4" t="n">
        <v>1</v>
      </c>
      <c r="M168" s="11" t="n">
        <v>13932</v>
      </c>
      <c r="N168" s="11" t="n">
        <v>108</v>
      </c>
      <c r="O168" s="11" t="n">
        <v>2537</v>
      </c>
      <c r="P168" s="11" t="n">
        <v>2430</v>
      </c>
    </row>
    <row r="169">
      <c r="A169" s="4" t="inlineStr">
        <is>
          <t>SKU106</t>
        </is>
      </c>
      <c r="B169" s="4" t="inlineStr">
        <is>
          <t>Corrugated Box 12x12</t>
        </is>
      </c>
      <c r="C169" s="4" t="inlineStr">
        <is>
          <t>Packaging &amp; Supplies</t>
        </is>
      </c>
      <c r="D169" s="4" t="inlineStr">
        <is>
          <t>WH10</t>
        </is>
      </c>
      <c r="E169" s="4" t="inlineStr">
        <is>
          <t>Kolkata DC</t>
        </is>
      </c>
      <c r="F169" s="4" t="inlineStr">
        <is>
          <t>East</t>
        </is>
      </c>
      <c r="G169" s="4" t="inlineStr">
        <is>
          <t>WH11</t>
        </is>
      </c>
      <c r="H169" s="4" t="inlineStr">
        <is>
          <t>Guwahati DC</t>
        </is>
      </c>
      <c r="I169" s="4" t="inlineStr">
        <is>
          <t>East</t>
        </is>
      </c>
      <c r="J169" s="4" t="inlineStr">
        <is>
          <t>CRITICAL</t>
        </is>
      </c>
      <c r="K169" s="11" t="n">
        <v>31</v>
      </c>
      <c r="L169" s="4" t="n">
        <v>1</v>
      </c>
      <c r="M169" s="11" t="n">
        <v>12400</v>
      </c>
      <c r="N169" s="11" t="n">
        <v>78</v>
      </c>
      <c r="O169" s="11" t="n">
        <v>2480</v>
      </c>
      <c r="P169" s="11" t="n">
        <v>2403</v>
      </c>
    </row>
    <row r="170">
      <c r="A170" s="4" t="inlineStr">
        <is>
          <t>SKU008</t>
        </is>
      </c>
      <c r="B170" s="4" t="inlineStr">
        <is>
          <t>Iodized Salt 1kg</t>
        </is>
      </c>
      <c r="C170" s="4" t="inlineStr">
        <is>
          <t>Packaged Staples</t>
        </is>
      </c>
      <c r="D170" s="4" t="inlineStr">
        <is>
          <t>WH03</t>
        </is>
      </c>
      <c r="E170" s="4" t="inlineStr">
        <is>
          <t>Lucknow DC</t>
        </is>
      </c>
      <c r="F170" s="4" t="inlineStr">
        <is>
          <t>North</t>
        </is>
      </c>
      <c r="G170" s="4" t="inlineStr">
        <is>
          <t>WH09</t>
        </is>
      </c>
      <c r="H170" s="4" t="inlineStr">
        <is>
          <t>Hyderabad DC</t>
        </is>
      </c>
      <c r="I170" s="4" t="inlineStr">
        <is>
          <t>South</t>
        </is>
      </c>
      <c r="J170" s="4" t="inlineStr">
        <is>
          <t>LOW</t>
        </is>
      </c>
      <c r="K170" s="11" t="n">
        <v>240</v>
      </c>
      <c r="L170" s="4" t="n">
        <v>0</v>
      </c>
      <c r="M170" s="11" t="n">
        <v>33600</v>
      </c>
      <c r="N170" s="11" t="n">
        <v>1440</v>
      </c>
      <c r="O170" s="11" t="n">
        <v>3840</v>
      </c>
      <c r="P170" s="11" t="n">
        <v>2400</v>
      </c>
    </row>
    <row r="171">
      <c r="A171" s="4" t="inlineStr">
        <is>
          <t>SKU106</t>
        </is>
      </c>
      <c r="B171" s="4" t="inlineStr">
        <is>
          <t>Corrugated Box 12x12</t>
        </is>
      </c>
      <c r="C171" s="4" t="inlineStr">
        <is>
          <t>Packaging &amp; Supplies</t>
        </is>
      </c>
      <c r="D171" s="4" t="inlineStr">
        <is>
          <t>WH10</t>
        </is>
      </c>
      <c r="E171" s="4" t="inlineStr">
        <is>
          <t>Kolkata DC</t>
        </is>
      </c>
      <c r="F171" s="4" t="inlineStr">
        <is>
          <t>East</t>
        </is>
      </c>
      <c r="G171" s="4" t="inlineStr">
        <is>
          <t>WH02</t>
        </is>
      </c>
      <c r="H171" s="4" t="inlineStr">
        <is>
          <t>Jaipur DC</t>
        </is>
      </c>
      <c r="I171" s="4" t="inlineStr">
        <is>
          <t>North</t>
        </is>
      </c>
      <c r="J171" s="4" t="inlineStr">
        <is>
          <t>LOW</t>
        </is>
      </c>
      <c r="K171" s="11" t="n">
        <v>31</v>
      </c>
      <c r="L171" s="4" t="n">
        <v>0</v>
      </c>
      <c r="M171" s="11" t="n">
        <v>12400</v>
      </c>
      <c r="N171" s="11" t="n">
        <v>186</v>
      </c>
      <c r="O171" s="11" t="n">
        <v>2480</v>
      </c>
      <c r="P171" s="11" t="n">
        <v>2294</v>
      </c>
    </row>
    <row r="172">
      <c r="A172" s="4" t="inlineStr">
        <is>
          <t>SKU106</t>
        </is>
      </c>
      <c r="B172" s="4" t="inlineStr">
        <is>
          <t>Corrugated Box 12x12</t>
        </is>
      </c>
      <c r="C172" s="4" t="inlineStr">
        <is>
          <t>Packaging &amp; Supplies</t>
        </is>
      </c>
      <c r="D172" s="4" t="inlineStr">
        <is>
          <t>WH10</t>
        </is>
      </c>
      <c r="E172" s="4" t="inlineStr">
        <is>
          <t>Kolkata DC</t>
        </is>
      </c>
      <c r="F172" s="4" t="inlineStr">
        <is>
          <t>East</t>
        </is>
      </c>
      <c r="G172" s="4" t="inlineStr">
        <is>
          <t>WH03</t>
        </is>
      </c>
      <c r="H172" s="4" t="inlineStr">
        <is>
          <t>Lucknow DC</t>
        </is>
      </c>
      <c r="I172" s="4" t="inlineStr">
        <is>
          <t>North</t>
        </is>
      </c>
      <c r="J172" s="4" t="inlineStr">
        <is>
          <t>CRITICAL</t>
        </is>
      </c>
      <c r="K172" s="11" t="n">
        <v>31</v>
      </c>
      <c r="L172" s="4" t="n">
        <v>0</v>
      </c>
      <c r="M172" s="11" t="n">
        <v>12400</v>
      </c>
      <c r="N172" s="11" t="n">
        <v>186</v>
      </c>
      <c r="O172" s="11" t="n">
        <v>2480</v>
      </c>
      <c r="P172" s="11" t="n">
        <v>2294</v>
      </c>
    </row>
    <row r="173">
      <c r="A173" s="4" t="inlineStr">
        <is>
          <t>SKU106</t>
        </is>
      </c>
      <c r="B173" s="4" t="inlineStr">
        <is>
          <t>Corrugated Box 12x12</t>
        </is>
      </c>
      <c r="C173" s="4" t="inlineStr">
        <is>
          <t>Packaging &amp; Supplies</t>
        </is>
      </c>
      <c r="D173" s="4" t="inlineStr">
        <is>
          <t>WH10</t>
        </is>
      </c>
      <c r="E173" s="4" t="inlineStr">
        <is>
          <t>Kolkata DC</t>
        </is>
      </c>
      <c r="F173" s="4" t="inlineStr">
        <is>
          <t>East</t>
        </is>
      </c>
      <c r="G173" s="4" t="inlineStr">
        <is>
          <t>WH05</t>
        </is>
      </c>
      <c r="H173" s="4" t="inlineStr">
        <is>
          <t>Pune DC</t>
        </is>
      </c>
      <c r="I173" s="4" t="inlineStr">
        <is>
          <t>West</t>
        </is>
      </c>
      <c r="J173" s="4" t="inlineStr">
        <is>
          <t>LOW</t>
        </is>
      </c>
      <c r="K173" s="11" t="n">
        <v>31</v>
      </c>
      <c r="L173" s="4" t="n">
        <v>0</v>
      </c>
      <c r="M173" s="11" t="n">
        <v>12400</v>
      </c>
      <c r="N173" s="11" t="n">
        <v>186</v>
      </c>
      <c r="O173" s="11" t="n">
        <v>2480</v>
      </c>
      <c r="P173" s="11" t="n">
        <v>2294</v>
      </c>
    </row>
    <row r="174">
      <c r="A174" s="4" t="inlineStr">
        <is>
          <t>SKU106</t>
        </is>
      </c>
      <c r="B174" s="4" t="inlineStr">
        <is>
          <t>Corrugated Box 12x12</t>
        </is>
      </c>
      <c r="C174" s="4" t="inlineStr">
        <is>
          <t>Packaging &amp; Supplies</t>
        </is>
      </c>
      <c r="D174" s="4" t="inlineStr">
        <is>
          <t>WH10</t>
        </is>
      </c>
      <c r="E174" s="4" t="inlineStr">
        <is>
          <t>Kolkata DC</t>
        </is>
      </c>
      <c r="F174" s="4" t="inlineStr">
        <is>
          <t>East</t>
        </is>
      </c>
      <c r="G174" s="4" t="inlineStr">
        <is>
          <t>WH08</t>
        </is>
      </c>
      <c r="H174" s="4" t="inlineStr">
        <is>
          <t>Chennai DC</t>
        </is>
      </c>
      <c r="I174" s="4" t="inlineStr">
        <is>
          <t>South</t>
        </is>
      </c>
      <c r="J174" s="4" t="inlineStr">
        <is>
          <t>STOCKOUT</t>
        </is>
      </c>
      <c r="K174" s="11" t="n">
        <v>31</v>
      </c>
      <c r="L174" s="4" t="n">
        <v>0</v>
      </c>
      <c r="M174" s="11" t="n">
        <v>12400</v>
      </c>
      <c r="N174" s="11" t="n">
        <v>186</v>
      </c>
      <c r="O174" s="11" t="n">
        <v>2480</v>
      </c>
      <c r="P174" s="11" t="n">
        <v>2294</v>
      </c>
    </row>
    <row r="175">
      <c r="A175" s="4" t="inlineStr">
        <is>
          <t>SKU077</t>
        </is>
      </c>
      <c r="B175" s="4" t="inlineStr">
        <is>
          <t>Fast Charger 25W</t>
        </is>
      </c>
      <c r="C175" s="4" t="inlineStr">
        <is>
          <t>Electronics Accessories</t>
        </is>
      </c>
      <c r="D175" s="4" t="inlineStr">
        <is>
          <t>WH09</t>
        </is>
      </c>
      <c r="E175" s="4" t="inlineStr">
        <is>
          <t>Hyderabad DC</t>
        </is>
      </c>
      <c r="F175" s="4" t="inlineStr">
        <is>
          <t>South</t>
        </is>
      </c>
      <c r="G175" s="4" t="inlineStr">
        <is>
          <t>WH11</t>
        </is>
      </c>
      <c r="H175" s="4" t="inlineStr">
        <is>
          <t>Guwahati DC</t>
        </is>
      </c>
      <c r="I175" s="4" t="inlineStr">
        <is>
          <t>East</t>
        </is>
      </c>
      <c r="J175" s="4" t="inlineStr">
        <is>
          <t>STOCKOUT</t>
        </is>
      </c>
      <c r="K175" s="11" t="n">
        <v>23</v>
      </c>
      <c r="L175" s="4" t="n">
        <v>0</v>
      </c>
      <c r="M175" s="11" t="n">
        <v>8372</v>
      </c>
      <c r="N175" s="11" t="n">
        <v>138</v>
      </c>
      <c r="O175" s="11" t="n">
        <v>2323</v>
      </c>
      <c r="P175" s="11" t="n">
        <v>2185</v>
      </c>
    </row>
    <row r="176">
      <c r="A176" s="4" t="inlineStr">
        <is>
          <t>SKU094</t>
        </is>
      </c>
      <c r="B176" s="4" t="inlineStr">
        <is>
          <t>Cough Syrup 100ml</t>
        </is>
      </c>
      <c r="C176" s="4" t="inlineStr">
        <is>
          <t>OTC Pharma &amp; Wellness</t>
        </is>
      </c>
      <c r="D176" s="4" t="inlineStr">
        <is>
          <t>WH01</t>
        </is>
      </c>
      <c r="E176" s="4" t="inlineStr">
        <is>
          <t>Gurugram DC</t>
        </is>
      </c>
      <c r="F176" s="4" t="inlineStr">
        <is>
          <t>North</t>
        </is>
      </c>
      <c r="G176" s="4" t="inlineStr">
        <is>
          <t>WH03</t>
        </is>
      </c>
      <c r="H176" s="4" t="inlineStr">
        <is>
          <t>Lucknow DC</t>
        </is>
      </c>
      <c r="I176" s="4" t="inlineStr">
        <is>
          <t>North</t>
        </is>
      </c>
      <c r="J176" s="4" t="inlineStr">
        <is>
          <t>LOW</t>
        </is>
      </c>
      <c r="K176" s="11" t="n">
        <v>35</v>
      </c>
      <c r="L176" s="4" t="n">
        <v>1</v>
      </c>
      <c r="M176" s="11" t="n">
        <v>6650</v>
      </c>
      <c r="N176" s="11" t="n">
        <v>88</v>
      </c>
      <c r="O176" s="11" t="n">
        <v>2240</v>
      </c>
      <c r="P176" s="11" t="n">
        <v>2153</v>
      </c>
    </row>
    <row r="177">
      <c r="A177" s="4" t="inlineStr">
        <is>
          <t>SKU038</t>
        </is>
      </c>
      <c r="B177" s="4" t="inlineStr">
        <is>
          <t>Peanut Chikki 200g</t>
        </is>
      </c>
      <c r="C177" s="4" t="inlineStr">
        <is>
          <t>Snacks &amp; Confectionery</t>
        </is>
      </c>
      <c r="D177" s="4" t="inlineStr">
        <is>
          <t>WH11</t>
        </is>
      </c>
      <c r="E177" s="4" t="inlineStr">
        <is>
          <t>Guwahati DC</t>
        </is>
      </c>
      <c r="F177" s="4" t="inlineStr">
        <is>
          <t>East</t>
        </is>
      </c>
      <c r="G177" s="4" t="inlineStr">
        <is>
          <t>WH10</t>
        </is>
      </c>
      <c r="H177" s="4" t="inlineStr">
        <is>
          <t>Kolkata DC</t>
        </is>
      </c>
      <c r="I177" s="4" t="inlineStr">
        <is>
          <t>East</t>
        </is>
      </c>
      <c r="J177" s="4" t="inlineStr">
        <is>
          <t>LOW</t>
        </is>
      </c>
      <c r="K177" s="11" t="n">
        <v>1415</v>
      </c>
      <c r="L177" s="4" t="n">
        <v>1</v>
      </c>
      <c r="M177" s="11" t="n">
        <v>25470</v>
      </c>
      <c r="N177" s="11" t="n">
        <v>3538</v>
      </c>
      <c r="O177" s="11" t="n">
        <v>5660</v>
      </c>
      <c r="P177" s="11" t="n">
        <v>2123</v>
      </c>
    </row>
    <row r="178">
      <c r="A178" s="4" t="inlineStr">
        <is>
          <t>SKU008</t>
        </is>
      </c>
      <c r="B178" s="4" t="inlineStr">
        <is>
          <t>Iodized Salt 1kg</t>
        </is>
      </c>
      <c r="C178" s="4" t="inlineStr">
        <is>
          <t>Packaged Staples</t>
        </is>
      </c>
      <c r="D178" s="4" t="inlineStr">
        <is>
          <t>WH03</t>
        </is>
      </c>
      <c r="E178" s="4" t="inlineStr">
        <is>
          <t>Lucknow DC</t>
        </is>
      </c>
      <c r="F178" s="4" t="inlineStr">
        <is>
          <t>North</t>
        </is>
      </c>
      <c r="G178" s="4" t="inlineStr">
        <is>
          <t>WH11</t>
        </is>
      </c>
      <c r="H178" s="4" t="inlineStr">
        <is>
          <t>Guwahati DC</t>
        </is>
      </c>
      <c r="I178" s="4" t="inlineStr">
        <is>
          <t>East</t>
        </is>
      </c>
      <c r="J178" s="4" t="inlineStr">
        <is>
          <t>CRITICAL</t>
        </is>
      </c>
      <c r="K178" s="11" t="n">
        <v>212</v>
      </c>
      <c r="L178" s="4" t="n">
        <v>0</v>
      </c>
      <c r="M178" s="11" t="n">
        <v>29680</v>
      </c>
      <c r="N178" s="11" t="n">
        <v>1272</v>
      </c>
      <c r="O178" s="11" t="n">
        <v>3392</v>
      </c>
      <c r="P178" s="11" t="n">
        <v>2120</v>
      </c>
    </row>
    <row r="179">
      <c r="A179" s="4" t="inlineStr">
        <is>
          <t>SKU075</t>
        </is>
      </c>
      <c r="B179" s="4" t="inlineStr">
        <is>
          <t>Naphthalene Balls 200g</t>
        </is>
      </c>
      <c r="C179" s="4" t="inlineStr">
        <is>
          <t>Home Care</t>
        </is>
      </c>
      <c r="D179" s="4" t="inlineStr">
        <is>
          <t>WH03</t>
        </is>
      </c>
      <c r="E179" s="4" t="inlineStr">
        <is>
          <t>Lucknow DC</t>
        </is>
      </c>
      <c r="F179" s="4" t="inlineStr">
        <is>
          <t>North</t>
        </is>
      </c>
      <c r="G179" s="4" t="inlineStr">
        <is>
          <t>WH02</t>
        </is>
      </c>
      <c r="H179" s="4" t="inlineStr">
        <is>
          <t>Jaipur DC</t>
        </is>
      </c>
      <c r="I179" s="4" t="inlineStr">
        <is>
          <t>North</t>
        </is>
      </c>
      <c r="J179" s="4" t="inlineStr">
        <is>
          <t>LOW</t>
        </is>
      </c>
      <c r="K179" s="11" t="n">
        <v>238</v>
      </c>
      <c r="L179" s="4" t="n">
        <v>1</v>
      </c>
      <c r="M179" s="11" t="n">
        <v>11662</v>
      </c>
      <c r="N179" s="11" t="n">
        <v>595</v>
      </c>
      <c r="O179" s="11" t="n">
        <v>2618</v>
      </c>
      <c r="P179" s="11" t="n">
        <v>2023</v>
      </c>
    </row>
    <row r="180">
      <c r="A180" s="4" t="inlineStr">
        <is>
          <t>SKU019</t>
        </is>
      </c>
      <c r="B180" s="4" t="inlineStr">
        <is>
          <t>Packaged Water 1L</t>
        </is>
      </c>
      <c r="C180" s="4" t="inlineStr">
        <is>
          <t>Beverages</t>
        </is>
      </c>
      <c r="D180" s="4" t="inlineStr">
        <is>
          <t>WH03</t>
        </is>
      </c>
      <c r="E180" s="4" t="inlineStr">
        <is>
          <t>Lucknow DC</t>
        </is>
      </c>
      <c r="F180" s="4" t="inlineStr">
        <is>
          <t>North</t>
        </is>
      </c>
      <c r="G180" s="4" t="inlineStr">
        <is>
          <t>WH02</t>
        </is>
      </c>
      <c r="H180" s="4" t="inlineStr">
        <is>
          <t>Jaipur DC</t>
        </is>
      </c>
      <c r="I180" s="4" t="inlineStr">
        <is>
          <t>North</t>
        </is>
      </c>
      <c r="J180" s="4" t="inlineStr">
        <is>
          <t>STOCKOUT</t>
        </is>
      </c>
      <c r="K180" s="11" t="n">
        <v>224</v>
      </c>
      <c r="L180" s="4" t="n">
        <v>1</v>
      </c>
      <c r="M180" s="11" t="n">
        <v>12768</v>
      </c>
      <c r="N180" s="11" t="n">
        <v>560</v>
      </c>
      <c r="O180" s="11" t="n">
        <v>2464</v>
      </c>
      <c r="P180" s="11" t="n">
        <v>1904</v>
      </c>
    </row>
    <row r="181">
      <c r="A181" s="4" t="inlineStr">
        <is>
          <t>SKU096</t>
        </is>
      </c>
      <c r="B181" s="4" t="inlineStr">
        <is>
          <t>Antiseptic Liquid 250ml</t>
        </is>
      </c>
      <c r="C181" s="4" t="inlineStr">
        <is>
          <t>OTC Pharma &amp; Wellness</t>
        </is>
      </c>
      <c r="D181" s="4" t="inlineStr">
        <is>
          <t>WH04</t>
        </is>
      </c>
      <c r="E181" s="4" t="inlineStr">
        <is>
          <t>Bhiwandi DC</t>
        </is>
      </c>
      <c r="F181" s="4" t="inlineStr">
        <is>
          <t>West</t>
        </is>
      </c>
      <c r="G181" s="4" t="inlineStr">
        <is>
          <t>WH11</t>
        </is>
      </c>
      <c r="H181" s="4" t="inlineStr">
        <is>
          <t>Guwahati DC</t>
        </is>
      </c>
      <c r="I181" s="4" t="inlineStr">
        <is>
          <t>East</t>
        </is>
      </c>
      <c r="J181" s="4" t="inlineStr">
        <is>
          <t>LOW</t>
        </is>
      </c>
      <c r="K181" s="11" t="n">
        <v>95</v>
      </c>
      <c r="L181" s="4" t="n">
        <v>0</v>
      </c>
      <c r="M181" s="11" t="n">
        <v>8360</v>
      </c>
      <c r="N181" s="11" t="n">
        <v>570</v>
      </c>
      <c r="O181" s="11" t="n">
        <v>2280</v>
      </c>
      <c r="P181" s="11" t="n">
        <v>1710</v>
      </c>
    </row>
    <row r="182">
      <c r="A182" s="4" t="inlineStr">
        <is>
          <t>SKU106</t>
        </is>
      </c>
      <c r="B182" s="4" t="inlineStr">
        <is>
          <t>Corrugated Box 12x12</t>
        </is>
      </c>
      <c r="C182" s="4" t="inlineStr">
        <is>
          <t>Packaging &amp; Supplies</t>
        </is>
      </c>
      <c r="D182" s="4" t="inlineStr">
        <is>
          <t>WH10</t>
        </is>
      </c>
      <c r="E182" s="4" t="inlineStr">
        <is>
          <t>Kolkata DC</t>
        </is>
      </c>
      <c r="F182" s="4" t="inlineStr">
        <is>
          <t>East</t>
        </is>
      </c>
      <c r="G182" s="4" t="inlineStr">
        <is>
          <t>WH12</t>
        </is>
      </c>
      <c r="H182" s="4" t="inlineStr">
        <is>
          <t>Nagpur DC</t>
        </is>
      </c>
      <c r="I182" s="4" t="inlineStr">
        <is>
          <t>Central</t>
        </is>
      </c>
      <c r="J182" s="4" t="inlineStr">
        <is>
          <t>LOW</t>
        </is>
      </c>
      <c r="K182" s="11" t="n">
        <v>23</v>
      </c>
      <c r="L182" s="4" t="n">
        <v>0</v>
      </c>
      <c r="M182" s="11" t="n">
        <v>9200</v>
      </c>
      <c r="N182" s="11" t="n">
        <v>138</v>
      </c>
      <c r="O182" s="11" t="n">
        <v>1840</v>
      </c>
      <c r="P182" s="11" t="n">
        <v>1702</v>
      </c>
    </row>
    <row r="183">
      <c r="A183" s="4" t="inlineStr">
        <is>
          <t>SKU021</t>
        </is>
      </c>
      <c r="B183" s="4" t="inlineStr">
        <is>
          <t>Fruit Juice 1L</t>
        </is>
      </c>
      <c r="C183" s="4" t="inlineStr">
        <is>
          <t>Beverages</t>
        </is>
      </c>
      <c r="D183" s="4" t="inlineStr">
        <is>
          <t>WH05</t>
        </is>
      </c>
      <c r="E183" s="4" t="inlineStr">
        <is>
          <t>Pune DC</t>
        </is>
      </c>
      <c r="F183" s="4" t="inlineStr">
        <is>
          <t>West</t>
        </is>
      </c>
      <c r="G183" s="4" t="inlineStr">
        <is>
          <t>WH11</t>
        </is>
      </c>
      <c r="H183" s="4" t="inlineStr">
        <is>
          <t>Guwahati DC</t>
        </is>
      </c>
      <c r="I183" s="4" t="inlineStr">
        <is>
          <t>East</t>
        </is>
      </c>
      <c r="J183" s="4" t="inlineStr">
        <is>
          <t>LOW</t>
        </is>
      </c>
      <c r="K183" s="11" t="n">
        <v>556</v>
      </c>
      <c r="L183" s="4" t="n">
        <v>0</v>
      </c>
      <c r="M183" s="11" t="n">
        <v>30024</v>
      </c>
      <c r="N183" s="11" t="n">
        <v>3336</v>
      </c>
      <c r="O183" s="11" t="n">
        <v>5004</v>
      </c>
      <c r="P183" s="11" t="n">
        <v>1668</v>
      </c>
    </row>
    <row r="184">
      <c r="A184" s="4" t="inlineStr">
        <is>
          <t>SKU046</t>
        </is>
      </c>
      <c r="B184" s="4" t="inlineStr">
        <is>
          <t>Shampoo 340ml</t>
        </is>
      </c>
      <c r="C184" s="4" t="inlineStr">
        <is>
          <t>Personal Care</t>
        </is>
      </c>
      <c r="D184" s="4" t="inlineStr">
        <is>
          <t>WH03</t>
        </is>
      </c>
      <c r="E184" s="4" t="inlineStr">
        <is>
          <t>Lucknow DC</t>
        </is>
      </c>
      <c r="F184" s="4" t="inlineStr">
        <is>
          <t>North</t>
        </is>
      </c>
      <c r="G184" s="4" t="inlineStr">
        <is>
          <t>WH02</t>
        </is>
      </c>
      <c r="H184" s="4" t="inlineStr">
        <is>
          <t>Jaipur DC</t>
        </is>
      </c>
      <c r="I184" s="4" t="inlineStr">
        <is>
          <t>North</t>
        </is>
      </c>
      <c r="J184" s="4" t="inlineStr">
        <is>
          <t>STOCKOUT</t>
        </is>
      </c>
      <c r="K184" s="11" t="n">
        <v>113</v>
      </c>
      <c r="L184" s="4" t="n">
        <v>1</v>
      </c>
      <c r="M184" s="11" t="n">
        <v>5763</v>
      </c>
      <c r="N184" s="11" t="n">
        <v>283</v>
      </c>
      <c r="O184" s="11" t="n">
        <v>1808</v>
      </c>
      <c r="P184" s="11" t="n">
        <v>1526</v>
      </c>
    </row>
    <row r="185">
      <c r="A185" s="4" t="inlineStr">
        <is>
          <t>SKU071</t>
        </is>
      </c>
      <c r="B185" s="4" t="inlineStr">
        <is>
          <t>Bleach 500ml</t>
        </is>
      </c>
      <c r="C185" s="4" t="inlineStr">
        <is>
          <t>Home Care</t>
        </is>
      </c>
      <c r="D185" s="4" t="inlineStr">
        <is>
          <t>WH10</t>
        </is>
      </c>
      <c r="E185" s="4" t="inlineStr">
        <is>
          <t>Kolkata DC</t>
        </is>
      </c>
      <c r="F185" s="4" t="inlineStr">
        <is>
          <t>East</t>
        </is>
      </c>
      <c r="G185" s="4" t="inlineStr">
        <is>
          <t>WH11</t>
        </is>
      </c>
      <c r="H185" s="4" t="inlineStr">
        <is>
          <t>Guwahati DC</t>
        </is>
      </c>
      <c r="I185" s="4" t="inlineStr">
        <is>
          <t>East</t>
        </is>
      </c>
      <c r="J185" s="4" t="inlineStr">
        <is>
          <t>STOCKOUT</t>
        </is>
      </c>
      <c r="K185" s="11" t="n">
        <v>187</v>
      </c>
      <c r="L185" s="4" t="n">
        <v>1</v>
      </c>
      <c r="M185" s="11" t="n">
        <v>7667</v>
      </c>
      <c r="N185" s="11" t="n">
        <v>468</v>
      </c>
      <c r="O185" s="11" t="n">
        <v>1870</v>
      </c>
      <c r="P185" s="11" t="n">
        <v>1403</v>
      </c>
    </row>
    <row r="186">
      <c r="A186" s="4" t="inlineStr">
        <is>
          <t>SKU030</t>
        </is>
      </c>
      <c r="B186" s="4" t="inlineStr">
        <is>
          <t>Malt Drink 500g</t>
        </is>
      </c>
      <c r="C186" s="4" t="inlineStr">
        <is>
          <t>Beverages</t>
        </is>
      </c>
      <c r="D186" s="4" t="inlineStr">
        <is>
          <t>WH11</t>
        </is>
      </c>
      <c r="E186" s="4" t="inlineStr">
        <is>
          <t>Guwahati DC</t>
        </is>
      </c>
      <c r="F186" s="4" t="inlineStr">
        <is>
          <t>East</t>
        </is>
      </c>
      <c r="G186" s="4" t="inlineStr">
        <is>
          <t>WH10</t>
        </is>
      </c>
      <c r="H186" s="4" t="inlineStr">
        <is>
          <t>Kolkata DC</t>
        </is>
      </c>
      <c r="I186" s="4" t="inlineStr">
        <is>
          <t>East</t>
        </is>
      </c>
      <c r="J186" s="4" t="inlineStr">
        <is>
          <t>LOW</t>
        </is>
      </c>
      <c r="K186" s="11" t="n">
        <v>382</v>
      </c>
      <c r="L186" s="4" t="n">
        <v>1</v>
      </c>
      <c r="M186" s="11" t="n">
        <v>11842</v>
      </c>
      <c r="N186" s="11" t="n">
        <v>955</v>
      </c>
      <c r="O186" s="11" t="n">
        <v>2292</v>
      </c>
      <c r="P186" s="11" t="n">
        <v>1337</v>
      </c>
    </row>
    <row r="187">
      <c r="A187" s="4" t="inlineStr">
        <is>
          <t>SKU021</t>
        </is>
      </c>
      <c r="B187" s="4" t="inlineStr">
        <is>
          <t>Fruit Juice 1L</t>
        </is>
      </c>
      <c r="C187" s="4" t="inlineStr">
        <is>
          <t>Beverages</t>
        </is>
      </c>
      <c r="D187" s="4" t="inlineStr">
        <is>
          <t>WH05</t>
        </is>
      </c>
      <c r="E187" s="4" t="inlineStr">
        <is>
          <t>Pune DC</t>
        </is>
      </c>
      <c r="F187" s="4" t="inlineStr">
        <is>
          <t>West</t>
        </is>
      </c>
      <c r="G187" s="4" t="inlineStr">
        <is>
          <t>WH02</t>
        </is>
      </c>
      <c r="H187" s="4" t="inlineStr">
        <is>
          <t>Jaipur DC</t>
        </is>
      </c>
      <c r="I187" s="4" t="inlineStr">
        <is>
          <t>North</t>
        </is>
      </c>
      <c r="J187" s="4" t="inlineStr">
        <is>
          <t>LOW</t>
        </is>
      </c>
      <c r="K187" s="11" t="n">
        <v>439</v>
      </c>
      <c r="L187" s="4" t="n">
        <v>0</v>
      </c>
      <c r="M187" s="11" t="n">
        <v>23706</v>
      </c>
      <c r="N187" s="11" t="n">
        <v>2634</v>
      </c>
      <c r="O187" s="11" t="n">
        <v>3951</v>
      </c>
      <c r="P187" s="11" t="n">
        <v>1317</v>
      </c>
    </row>
    <row r="188">
      <c r="A188" s="4" t="inlineStr">
        <is>
          <t>SKU110</t>
        </is>
      </c>
      <c r="B188" s="4" t="inlineStr">
        <is>
          <t>Pallet Strapping Roll</t>
        </is>
      </c>
      <c r="C188" s="4" t="inlineStr">
        <is>
          <t>Packaging &amp; Supplies</t>
        </is>
      </c>
      <c r="D188" s="4" t="inlineStr">
        <is>
          <t>WH01</t>
        </is>
      </c>
      <c r="E188" s="4" t="inlineStr">
        <is>
          <t>Gurugram DC</t>
        </is>
      </c>
      <c r="F188" s="4" t="inlineStr">
        <is>
          <t>North</t>
        </is>
      </c>
      <c r="G188" s="4" t="inlineStr">
        <is>
          <t>WH09</t>
        </is>
      </c>
      <c r="H188" s="4" t="inlineStr">
        <is>
          <t>Hyderabad DC</t>
        </is>
      </c>
      <c r="I188" s="4" t="inlineStr">
        <is>
          <t>South</t>
        </is>
      </c>
      <c r="J188" s="4" t="inlineStr">
        <is>
          <t>LOW</t>
        </is>
      </c>
      <c r="K188" s="11" t="n">
        <v>650</v>
      </c>
      <c r="L188" s="4" t="n">
        <v>0</v>
      </c>
      <c r="M188" s="11" t="n">
        <v>29250</v>
      </c>
      <c r="N188" s="11" t="n">
        <v>3900</v>
      </c>
      <c r="O188" s="11" t="n">
        <v>5200</v>
      </c>
      <c r="P188" s="11" t="n">
        <v>1300</v>
      </c>
    </row>
    <row r="189">
      <c r="A189" s="4" t="inlineStr">
        <is>
          <t>SKU046</t>
        </is>
      </c>
      <c r="B189" s="4" t="inlineStr">
        <is>
          <t>Shampoo 340ml</t>
        </is>
      </c>
      <c r="C189" s="4" t="inlineStr">
        <is>
          <t>Personal Care</t>
        </is>
      </c>
      <c r="D189" s="4" t="inlineStr">
        <is>
          <t>WH03</t>
        </is>
      </c>
      <c r="E189" s="4" t="inlineStr">
        <is>
          <t>Lucknow DC</t>
        </is>
      </c>
      <c r="F189" s="4" t="inlineStr">
        <is>
          <t>North</t>
        </is>
      </c>
      <c r="G189" s="4" t="inlineStr">
        <is>
          <t>WH05</t>
        </is>
      </c>
      <c r="H189" s="4" t="inlineStr">
        <is>
          <t>Pune DC</t>
        </is>
      </c>
      <c r="I189" s="4" t="inlineStr">
        <is>
          <t>West</t>
        </is>
      </c>
      <c r="J189" s="4" t="inlineStr">
        <is>
          <t>LOW</t>
        </is>
      </c>
      <c r="K189" s="11" t="n">
        <v>113</v>
      </c>
      <c r="L189" s="4" t="n">
        <v>0</v>
      </c>
      <c r="M189" s="11" t="n">
        <v>5763</v>
      </c>
      <c r="N189" s="11" t="n">
        <v>678</v>
      </c>
      <c r="O189" s="11" t="n">
        <v>1808</v>
      </c>
      <c r="P189" s="11" t="n">
        <v>1130</v>
      </c>
    </row>
    <row r="190">
      <c r="A190" s="4" t="inlineStr">
        <is>
          <t>SKU046</t>
        </is>
      </c>
      <c r="B190" s="4" t="inlineStr">
        <is>
          <t>Shampoo 340ml</t>
        </is>
      </c>
      <c r="C190" s="4" t="inlineStr">
        <is>
          <t>Personal Care</t>
        </is>
      </c>
      <c r="D190" s="4" t="inlineStr">
        <is>
          <t>WH03</t>
        </is>
      </c>
      <c r="E190" s="4" t="inlineStr">
        <is>
          <t>Lucknow DC</t>
        </is>
      </c>
      <c r="F190" s="4" t="inlineStr">
        <is>
          <t>North</t>
        </is>
      </c>
      <c r="G190" s="4" t="inlineStr">
        <is>
          <t>WH08</t>
        </is>
      </c>
      <c r="H190" s="4" t="inlineStr">
        <is>
          <t>Chennai DC</t>
        </is>
      </c>
      <c r="I190" s="4" t="inlineStr">
        <is>
          <t>South</t>
        </is>
      </c>
      <c r="J190" s="4" t="inlineStr">
        <is>
          <t>LOW</t>
        </is>
      </c>
      <c r="K190" s="11" t="n">
        <v>113</v>
      </c>
      <c r="L190" s="4" t="n">
        <v>0</v>
      </c>
      <c r="M190" s="11" t="n">
        <v>5763</v>
      </c>
      <c r="N190" s="11" t="n">
        <v>678</v>
      </c>
      <c r="O190" s="11" t="n">
        <v>1808</v>
      </c>
      <c r="P190" s="11" t="n">
        <v>1130</v>
      </c>
    </row>
    <row r="191">
      <c r="A191" s="4" t="inlineStr">
        <is>
          <t>SKU046</t>
        </is>
      </c>
      <c r="B191" s="4" t="inlineStr">
        <is>
          <t>Shampoo 340ml</t>
        </is>
      </c>
      <c r="C191" s="4" t="inlineStr">
        <is>
          <t>Personal Care</t>
        </is>
      </c>
      <c r="D191" s="4" t="inlineStr">
        <is>
          <t>WH03</t>
        </is>
      </c>
      <c r="E191" s="4" t="inlineStr">
        <is>
          <t>Lucknow DC</t>
        </is>
      </c>
      <c r="F191" s="4" t="inlineStr">
        <is>
          <t>North</t>
        </is>
      </c>
      <c r="G191" s="4" t="inlineStr">
        <is>
          <t>WH11</t>
        </is>
      </c>
      <c r="H191" s="4" t="inlineStr">
        <is>
          <t>Guwahati DC</t>
        </is>
      </c>
      <c r="I191" s="4" t="inlineStr">
        <is>
          <t>East</t>
        </is>
      </c>
      <c r="J191" s="4" t="inlineStr">
        <is>
          <t>STOCKOUT</t>
        </is>
      </c>
      <c r="K191" s="11" t="n">
        <v>113</v>
      </c>
      <c r="L191" s="4" t="n">
        <v>0</v>
      </c>
      <c r="M191" s="11" t="n">
        <v>5763</v>
      </c>
      <c r="N191" s="11" t="n">
        <v>678</v>
      </c>
      <c r="O191" s="11" t="n">
        <v>1808</v>
      </c>
      <c r="P191" s="11" t="n">
        <v>1130</v>
      </c>
    </row>
    <row r="192">
      <c r="A192" s="4" t="inlineStr">
        <is>
          <t>SKU046</t>
        </is>
      </c>
      <c r="B192" s="4" t="inlineStr">
        <is>
          <t>Shampoo 340ml</t>
        </is>
      </c>
      <c r="C192" s="4" t="inlineStr">
        <is>
          <t>Personal Care</t>
        </is>
      </c>
      <c r="D192" s="4" t="inlineStr">
        <is>
          <t>WH03</t>
        </is>
      </c>
      <c r="E192" s="4" t="inlineStr">
        <is>
          <t>Lucknow DC</t>
        </is>
      </c>
      <c r="F192" s="4" t="inlineStr">
        <is>
          <t>North</t>
        </is>
      </c>
      <c r="G192" s="4" t="inlineStr">
        <is>
          <t>WH12</t>
        </is>
      </c>
      <c r="H192" s="4" t="inlineStr">
        <is>
          <t>Nagpur DC</t>
        </is>
      </c>
      <c r="I192" s="4" t="inlineStr">
        <is>
          <t>Central</t>
        </is>
      </c>
      <c r="J192" s="4" t="inlineStr">
        <is>
          <t>CRITICAL</t>
        </is>
      </c>
      <c r="K192" s="11" t="n">
        <v>113</v>
      </c>
      <c r="L192" s="4" t="n">
        <v>0</v>
      </c>
      <c r="M192" s="11" t="n">
        <v>5763</v>
      </c>
      <c r="N192" s="11" t="n">
        <v>678</v>
      </c>
      <c r="O192" s="11" t="n">
        <v>1808</v>
      </c>
      <c r="P192" s="11" t="n">
        <v>1130</v>
      </c>
    </row>
    <row r="193">
      <c r="A193" s="4" t="inlineStr">
        <is>
          <t>SKU019</t>
        </is>
      </c>
      <c r="B193" s="4" t="inlineStr">
        <is>
          <t>Packaged Water 1L</t>
        </is>
      </c>
      <c r="C193" s="4" t="inlineStr">
        <is>
          <t>Beverages</t>
        </is>
      </c>
      <c r="D193" s="4" t="inlineStr">
        <is>
          <t>WH03</t>
        </is>
      </c>
      <c r="E193" s="4" t="inlineStr">
        <is>
          <t>Lucknow DC</t>
        </is>
      </c>
      <c r="F193" s="4" t="inlineStr">
        <is>
          <t>North</t>
        </is>
      </c>
      <c r="G193" s="4" t="inlineStr">
        <is>
          <t>WH04</t>
        </is>
      </c>
      <c r="H193" s="4" t="inlineStr">
        <is>
          <t>Bhiwandi DC</t>
        </is>
      </c>
      <c r="I193" s="4" t="inlineStr">
        <is>
          <t>West</t>
        </is>
      </c>
      <c r="J193" s="4" t="inlineStr">
        <is>
          <t>LOW</t>
        </is>
      </c>
      <c r="K193" s="11" t="n">
        <v>224</v>
      </c>
      <c r="L193" s="4" t="n">
        <v>0</v>
      </c>
      <c r="M193" s="11" t="n">
        <v>12768</v>
      </c>
      <c r="N193" s="11" t="n">
        <v>1344</v>
      </c>
      <c r="O193" s="11" t="n">
        <v>2464</v>
      </c>
      <c r="P193" s="11" t="n">
        <v>1120</v>
      </c>
    </row>
    <row r="194">
      <c r="A194" s="4" t="inlineStr">
        <is>
          <t>SKU019</t>
        </is>
      </c>
      <c r="B194" s="4" t="inlineStr">
        <is>
          <t>Packaged Water 1L</t>
        </is>
      </c>
      <c r="C194" s="4" t="inlineStr">
        <is>
          <t>Beverages</t>
        </is>
      </c>
      <c r="D194" s="4" t="inlineStr">
        <is>
          <t>WH03</t>
        </is>
      </c>
      <c r="E194" s="4" t="inlineStr">
        <is>
          <t>Lucknow DC</t>
        </is>
      </c>
      <c r="F194" s="4" t="inlineStr">
        <is>
          <t>North</t>
        </is>
      </c>
      <c r="G194" s="4" t="inlineStr">
        <is>
          <t>WH05</t>
        </is>
      </c>
      <c r="H194" s="4" t="inlineStr">
        <is>
          <t>Pune DC</t>
        </is>
      </c>
      <c r="I194" s="4" t="inlineStr">
        <is>
          <t>West</t>
        </is>
      </c>
      <c r="J194" s="4" t="inlineStr">
        <is>
          <t>LOW</t>
        </is>
      </c>
      <c r="K194" s="11" t="n">
        <v>224</v>
      </c>
      <c r="L194" s="4" t="n">
        <v>0</v>
      </c>
      <c r="M194" s="11" t="n">
        <v>12768</v>
      </c>
      <c r="N194" s="11" t="n">
        <v>1344</v>
      </c>
      <c r="O194" s="11" t="n">
        <v>2464</v>
      </c>
      <c r="P194" s="11" t="n">
        <v>1120</v>
      </c>
    </row>
    <row r="195">
      <c r="A195" s="4" t="inlineStr">
        <is>
          <t>SKU019</t>
        </is>
      </c>
      <c r="B195" s="4" t="inlineStr">
        <is>
          <t>Packaged Water 1L</t>
        </is>
      </c>
      <c r="C195" s="4" t="inlineStr">
        <is>
          <t>Beverages</t>
        </is>
      </c>
      <c r="D195" s="4" t="inlineStr">
        <is>
          <t>WH03</t>
        </is>
      </c>
      <c r="E195" s="4" t="inlineStr">
        <is>
          <t>Lucknow DC</t>
        </is>
      </c>
      <c r="F195" s="4" t="inlineStr">
        <is>
          <t>North</t>
        </is>
      </c>
      <c r="G195" s="4" t="inlineStr">
        <is>
          <t>WH06</t>
        </is>
      </c>
      <c r="H195" s="4" t="inlineStr">
        <is>
          <t>Ahmedabad DC</t>
        </is>
      </c>
      <c r="I195" s="4" t="inlineStr">
        <is>
          <t>West</t>
        </is>
      </c>
      <c r="J195" s="4" t="inlineStr">
        <is>
          <t>LOW</t>
        </is>
      </c>
      <c r="K195" s="11" t="n">
        <v>224</v>
      </c>
      <c r="L195" s="4" t="n">
        <v>0</v>
      </c>
      <c r="M195" s="11" t="n">
        <v>12768</v>
      </c>
      <c r="N195" s="11" t="n">
        <v>1344</v>
      </c>
      <c r="O195" s="11" t="n">
        <v>2464</v>
      </c>
      <c r="P195" s="11" t="n">
        <v>1120</v>
      </c>
    </row>
    <row r="196">
      <c r="A196" s="4" t="inlineStr">
        <is>
          <t>SKU019</t>
        </is>
      </c>
      <c r="B196" s="4" t="inlineStr">
        <is>
          <t>Packaged Water 1L</t>
        </is>
      </c>
      <c r="C196" s="4" t="inlineStr">
        <is>
          <t>Beverages</t>
        </is>
      </c>
      <c r="D196" s="4" t="inlineStr">
        <is>
          <t>WH03</t>
        </is>
      </c>
      <c r="E196" s="4" t="inlineStr">
        <is>
          <t>Lucknow DC</t>
        </is>
      </c>
      <c r="F196" s="4" t="inlineStr">
        <is>
          <t>North</t>
        </is>
      </c>
      <c r="G196" s="4" t="inlineStr">
        <is>
          <t>WH08</t>
        </is>
      </c>
      <c r="H196" s="4" t="inlineStr">
        <is>
          <t>Chennai DC</t>
        </is>
      </c>
      <c r="I196" s="4" t="inlineStr">
        <is>
          <t>South</t>
        </is>
      </c>
      <c r="J196" s="4" t="inlineStr">
        <is>
          <t>LOW</t>
        </is>
      </c>
      <c r="K196" s="11" t="n">
        <v>224</v>
      </c>
      <c r="L196" s="4" t="n">
        <v>0</v>
      </c>
      <c r="M196" s="11" t="n">
        <v>12768</v>
      </c>
      <c r="N196" s="11" t="n">
        <v>1344</v>
      </c>
      <c r="O196" s="11" t="n">
        <v>2464</v>
      </c>
      <c r="P196" s="11" t="n">
        <v>1120</v>
      </c>
    </row>
    <row r="197">
      <c r="A197" s="4" t="inlineStr">
        <is>
          <t>SKU019</t>
        </is>
      </c>
      <c r="B197" s="4" t="inlineStr">
        <is>
          <t>Packaged Water 1L</t>
        </is>
      </c>
      <c r="C197" s="4" t="inlineStr">
        <is>
          <t>Beverages</t>
        </is>
      </c>
      <c r="D197" s="4" t="inlineStr">
        <is>
          <t>WH03</t>
        </is>
      </c>
      <c r="E197" s="4" t="inlineStr">
        <is>
          <t>Lucknow DC</t>
        </is>
      </c>
      <c r="F197" s="4" t="inlineStr">
        <is>
          <t>North</t>
        </is>
      </c>
      <c r="G197" s="4" t="inlineStr">
        <is>
          <t>WH11</t>
        </is>
      </c>
      <c r="H197" s="4" t="inlineStr">
        <is>
          <t>Guwahati DC</t>
        </is>
      </c>
      <c r="I197" s="4" t="inlineStr">
        <is>
          <t>East</t>
        </is>
      </c>
      <c r="J197" s="4" t="inlineStr">
        <is>
          <t>CRITICAL</t>
        </is>
      </c>
      <c r="K197" s="11" t="n">
        <v>224</v>
      </c>
      <c r="L197" s="4" t="n">
        <v>0</v>
      </c>
      <c r="M197" s="11" t="n">
        <v>12768</v>
      </c>
      <c r="N197" s="11" t="n">
        <v>1344</v>
      </c>
      <c r="O197" s="11" t="n">
        <v>2464</v>
      </c>
      <c r="P197" s="11" t="n">
        <v>1120</v>
      </c>
    </row>
    <row r="198">
      <c r="A198" s="4" t="inlineStr">
        <is>
          <t>SKU110</t>
        </is>
      </c>
      <c r="B198" s="4" t="inlineStr">
        <is>
          <t>Pallet Strapping Roll</t>
        </is>
      </c>
      <c r="C198" s="4" t="inlineStr">
        <is>
          <t>Packaging &amp; Supplies</t>
        </is>
      </c>
      <c r="D198" s="4" t="inlineStr">
        <is>
          <t>WH01</t>
        </is>
      </c>
      <c r="E198" s="4" t="inlineStr">
        <is>
          <t>Gurugram DC</t>
        </is>
      </c>
      <c r="F198" s="4" t="inlineStr">
        <is>
          <t>North</t>
        </is>
      </c>
      <c r="G198" s="4" t="inlineStr">
        <is>
          <t>WH08</t>
        </is>
      </c>
      <c r="H198" s="4" t="inlineStr">
        <is>
          <t>Chennai DC</t>
        </is>
      </c>
      <c r="I198" s="4" t="inlineStr">
        <is>
          <t>South</t>
        </is>
      </c>
      <c r="J198" s="4" t="inlineStr">
        <is>
          <t>LOW</t>
        </is>
      </c>
      <c r="K198" s="11" t="n">
        <v>453</v>
      </c>
      <c r="L198" s="4" t="n">
        <v>0</v>
      </c>
      <c r="M198" s="11" t="n">
        <v>20385</v>
      </c>
      <c r="N198" s="11" t="n">
        <v>2718</v>
      </c>
      <c r="O198" s="11" t="n">
        <v>3624</v>
      </c>
      <c r="P198" s="11" t="n">
        <v>906</v>
      </c>
    </row>
    <row r="199">
      <c r="A199" s="4" t="inlineStr">
        <is>
          <t>SKU120</t>
        </is>
      </c>
      <c r="B199" s="4" t="inlineStr">
        <is>
          <t>Cutter Blades 10pk</t>
        </is>
      </c>
      <c r="C199" s="4" t="inlineStr">
        <is>
          <t>Packaging &amp; Supplies</t>
        </is>
      </c>
      <c r="D199" s="4" t="inlineStr">
        <is>
          <t>WH11</t>
        </is>
      </c>
      <c r="E199" s="4" t="inlineStr">
        <is>
          <t>Guwahati DC</t>
        </is>
      </c>
      <c r="F199" s="4" t="inlineStr">
        <is>
          <t>East</t>
        </is>
      </c>
      <c r="G199" s="4" t="inlineStr">
        <is>
          <t>WH10</t>
        </is>
      </c>
      <c r="H199" s="4" t="inlineStr">
        <is>
          <t>Kolkata DC</t>
        </is>
      </c>
      <c r="I199" s="4" t="inlineStr">
        <is>
          <t>East</t>
        </is>
      </c>
      <c r="J199" s="4" t="inlineStr">
        <is>
          <t>LOW</t>
        </is>
      </c>
      <c r="K199" s="11" t="n">
        <v>358</v>
      </c>
      <c r="L199" s="4" t="n">
        <v>1</v>
      </c>
      <c r="M199" s="11" t="n">
        <v>10740</v>
      </c>
      <c r="N199" s="11" t="n">
        <v>895</v>
      </c>
      <c r="O199" s="11" t="n">
        <v>1790</v>
      </c>
      <c r="P199" s="11" t="n">
        <v>895</v>
      </c>
    </row>
    <row r="200">
      <c r="A200" s="4" t="inlineStr">
        <is>
          <t>SKU115</t>
        </is>
      </c>
      <c r="B200" s="4" t="inlineStr">
        <is>
          <t>Edge Protectors 50pk</t>
        </is>
      </c>
      <c r="C200" s="4" t="inlineStr">
        <is>
          <t>Packaging &amp; Supplies</t>
        </is>
      </c>
      <c r="D200" s="4" t="inlineStr">
        <is>
          <t>WH04</t>
        </is>
      </c>
      <c r="E200" s="4" t="inlineStr">
        <is>
          <t>Bhiwandi DC</t>
        </is>
      </c>
      <c r="F200" s="4" t="inlineStr">
        <is>
          <t>West</t>
        </is>
      </c>
      <c r="G200" s="4" t="inlineStr">
        <is>
          <t>WH03</t>
        </is>
      </c>
      <c r="H200" s="4" t="inlineStr">
        <is>
          <t>Lucknow DC</t>
        </is>
      </c>
      <c r="I200" s="4" t="inlineStr">
        <is>
          <t>North</t>
        </is>
      </c>
      <c r="J200" s="4" t="inlineStr">
        <is>
          <t>CRITICAL</t>
        </is>
      </c>
      <c r="K200" s="11" t="n">
        <v>175</v>
      </c>
      <c r="L200" s="4" t="n">
        <v>0</v>
      </c>
      <c r="M200" s="11" t="n">
        <v>9100</v>
      </c>
      <c r="N200" s="11" t="n">
        <v>1050</v>
      </c>
      <c r="O200" s="11" t="n">
        <v>1925</v>
      </c>
      <c r="P200" s="11" t="n">
        <v>875</v>
      </c>
    </row>
    <row r="201">
      <c r="A201" s="4" t="inlineStr">
        <is>
          <t>SKU110</t>
        </is>
      </c>
      <c r="B201" s="4" t="inlineStr">
        <is>
          <t>Pallet Strapping Roll</t>
        </is>
      </c>
      <c r="C201" s="4" t="inlineStr">
        <is>
          <t>Packaging &amp; Supplies</t>
        </is>
      </c>
      <c r="D201" s="4" t="inlineStr">
        <is>
          <t>WH01</t>
        </is>
      </c>
      <c r="E201" s="4" t="inlineStr">
        <is>
          <t>Gurugram DC</t>
        </is>
      </c>
      <c r="F201" s="4" t="inlineStr">
        <is>
          <t>North</t>
        </is>
      </c>
      <c r="G201" s="4" t="inlineStr">
        <is>
          <t>WH11</t>
        </is>
      </c>
      <c r="H201" s="4" t="inlineStr">
        <is>
          <t>Guwahati DC</t>
        </is>
      </c>
      <c r="I201" s="4" t="inlineStr">
        <is>
          <t>East</t>
        </is>
      </c>
      <c r="J201" s="4" t="inlineStr">
        <is>
          <t>STOCKOUT</t>
        </is>
      </c>
      <c r="K201" s="11" t="n">
        <v>407</v>
      </c>
      <c r="L201" s="4" t="n">
        <v>0</v>
      </c>
      <c r="M201" s="11" t="n">
        <v>18315</v>
      </c>
      <c r="N201" s="11" t="n">
        <v>2442</v>
      </c>
      <c r="O201" s="11" t="n">
        <v>3256</v>
      </c>
      <c r="P201" s="11" t="n">
        <v>814</v>
      </c>
    </row>
    <row r="202">
      <c r="A202" s="4" t="inlineStr">
        <is>
          <t>SKU071</t>
        </is>
      </c>
      <c r="B202" s="4" t="inlineStr">
        <is>
          <t>Bleach 500ml</t>
        </is>
      </c>
      <c r="C202" s="4" t="inlineStr">
        <is>
          <t>Home Care</t>
        </is>
      </c>
      <c r="D202" s="4" t="inlineStr">
        <is>
          <t>WH10</t>
        </is>
      </c>
      <c r="E202" s="4" t="inlineStr">
        <is>
          <t>Kolkata DC</t>
        </is>
      </c>
      <c r="F202" s="4" t="inlineStr">
        <is>
          <t>East</t>
        </is>
      </c>
      <c r="G202" s="4" t="inlineStr">
        <is>
          <t>WH03</t>
        </is>
      </c>
      <c r="H202" s="4" t="inlineStr">
        <is>
          <t>Lucknow DC</t>
        </is>
      </c>
      <c r="I202" s="4" t="inlineStr">
        <is>
          <t>North</t>
        </is>
      </c>
      <c r="J202" s="4" t="inlineStr">
        <is>
          <t>LOW</t>
        </is>
      </c>
      <c r="K202" s="11" t="n">
        <v>187</v>
      </c>
      <c r="L202" s="4" t="n">
        <v>0</v>
      </c>
      <c r="M202" s="11" t="n">
        <v>7667</v>
      </c>
      <c r="N202" s="11" t="n">
        <v>1122</v>
      </c>
      <c r="O202" s="11" t="n">
        <v>1870</v>
      </c>
      <c r="P202" s="11" t="n">
        <v>748</v>
      </c>
    </row>
    <row r="203">
      <c r="A203" s="4" t="inlineStr">
        <is>
          <t>SKU106</t>
        </is>
      </c>
      <c r="B203" s="4" t="inlineStr">
        <is>
          <t>Corrugated Box 12x12</t>
        </is>
      </c>
      <c r="C203" s="4" t="inlineStr">
        <is>
          <t>Packaging &amp; Supplies</t>
        </is>
      </c>
      <c r="D203" s="4" t="inlineStr">
        <is>
          <t>WH10</t>
        </is>
      </c>
      <c r="E203" s="4" t="inlineStr">
        <is>
          <t>Kolkata DC</t>
        </is>
      </c>
      <c r="F203" s="4" t="inlineStr">
        <is>
          <t>East</t>
        </is>
      </c>
      <c r="G203" s="4" t="inlineStr">
        <is>
          <t>WH09</t>
        </is>
      </c>
      <c r="H203" s="4" t="inlineStr">
        <is>
          <t>Hyderabad DC</t>
        </is>
      </c>
      <c r="I203" s="4" t="inlineStr">
        <is>
          <t>South</t>
        </is>
      </c>
      <c r="J203" s="4" t="inlineStr">
        <is>
          <t>LOW</t>
        </is>
      </c>
      <c r="K203" s="11" t="n">
        <v>10</v>
      </c>
      <c r="L203" s="4" t="n">
        <v>0</v>
      </c>
      <c r="M203" s="11" t="n">
        <v>4000</v>
      </c>
      <c r="N203" s="11" t="n">
        <v>60</v>
      </c>
      <c r="O203" s="11" t="n">
        <v>800</v>
      </c>
      <c r="P203" s="11" t="n">
        <v>740</v>
      </c>
    </row>
    <row r="204">
      <c r="A204" s="4" t="inlineStr">
        <is>
          <t>SKU115</t>
        </is>
      </c>
      <c r="B204" s="4" t="inlineStr">
        <is>
          <t>Edge Protectors 50pk</t>
        </is>
      </c>
      <c r="C204" s="4" t="inlineStr">
        <is>
          <t>Packaging &amp; Supplies</t>
        </is>
      </c>
      <c r="D204" s="4" t="inlineStr">
        <is>
          <t>WH04</t>
        </is>
      </c>
      <c r="E204" s="4" t="inlineStr">
        <is>
          <t>Bhiwandi DC</t>
        </is>
      </c>
      <c r="F204" s="4" t="inlineStr">
        <is>
          <t>West</t>
        </is>
      </c>
      <c r="G204" s="4" t="inlineStr">
        <is>
          <t>WH08</t>
        </is>
      </c>
      <c r="H204" s="4" t="inlineStr">
        <is>
          <t>Chennai DC</t>
        </is>
      </c>
      <c r="I204" s="4" t="inlineStr">
        <is>
          <t>South</t>
        </is>
      </c>
      <c r="J204" s="4" t="inlineStr">
        <is>
          <t>CRITICAL</t>
        </is>
      </c>
      <c r="K204" s="11" t="n">
        <v>147</v>
      </c>
      <c r="L204" s="4" t="n">
        <v>0</v>
      </c>
      <c r="M204" s="11" t="n">
        <v>7644</v>
      </c>
      <c r="N204" s="11" t="n">
        <v>882</v>
      </c>
      <c r="O204" s="11" t="n">
        <v>1617</v>
      </c>
      <c r="P204" s="11" t="n">
        <v>735</v>
      </c>
    </row>
    <row r="205">
      <c r="A205" s="4" t="inlineStr">
        <is>
          <t>SKU115</t>
        </is>
      </c>
      <c r="B205" s="4" t="inlineStr">
        <is>
          <t>Edge Protectors 50pk</t>
        </is>
      </c>
      <c r="C205" s="4" t="inlineStr">
        <is>
          <t>Packaging &amp; Supplies</t>
        </is>
      </c>
      <c r="D205" s="4" t="inlineStr">
        <is>
          <t>WH11</t>
        </is>
      </c>
      <c r="E205" s="4" t="inlineStr">
        <is>
          <t>Guwahati DC</t>
        </is>
      </c>
      <c r="F205" s="4" t="inlineStr">
        <is>
          <t>East</t>
        </is>
      </c>
      <c r="G205" s="4" t="inlineStr">
        <is>
          <t>WH10</t>
        </is>
      </c>
      <c r="H205" s="4" t="inlineStr">
        <is>
          <t>Kolkata DC</t>
        </is>
      </c>
      <c r="I205" s="4" t="inlineStr">
        <is>
          <t>East</t>
        </is>
      </c>
      <c r="J205" s="4" t="inlineStr">
        <is>
          <t>LOW</t>
        </is>
      </c>
      <c r="K205" s="11" t="n">
        <v>78</v>
      </c>
      <c r="L205" s="4" t="n">
        <v>1</v>
      </c>
      <c r="M205" s="11" t="n">
        <v>4056</v>
      </c>
      <c r="N205" s="11" t="n">
        <v>195</v>
      </c>
      <c r="O205" s="11" t="n">
        <v>858</v>
      </c>
      <c r="P205" s="11" t="n">
        <v>663</v>
      </c>
    </row>
    <row r="206">
      <c r="A206" s="4" t="inlineStr">
        <is>
          <t>SKU002</t>
        </is>
      </c>
      <c r="B206" s="4" t="inlineStr">
        <is>
          <t>Basmati Rice 5kg</t>
        </is>
      </c>
      <c r="C206" s="4" t="inlineStr">
        <is>
          <t>Packaged Staples</t>
        </is>
      </c>
      <c r="D206" s="4" t="inlineStr">
        <is>
          <t>WH07</t>
        </is>
      </c>
      <c r="E206" s="4" t="inlineStr">
        <is>
          <t>Bengaluru DC</t>
        </is>
      </c>
      <c r="F206" s="4" t="inlineStr">
        <is>
          <t>South</t>
        </is>
      </c>
      <c r="G206" s="4" t="inlineStr">
        <is>
          <t>WH02</t>
        </is>
      </c>
      <c r="H206" s="4" t="inlineStr">
        <is>
          <t>Jaipur DC</t>
        </is>
      </c>
      <c r="I206" s="4" t="inlineStr">
        <is>
          <t>North</t>
        </is>
      </c>
      <c r="J206" s="4" t="inlineStr">
        <is>
          <t>CRITICAL</t>
        </is>
      </c>
      <c r="K206" s="11" t="n">
        <v>607</v>
      </c>
      <c r="L206" s="4" t="n">
        <v>0</v>
      </c>
      <c r="M206" s="11" t="n">
        <v>35813</v>
      </c>
      <c r="N206" s="11" t="n">
        <v>3642</v>
      </c>
      <c r="O206" s="11" t="n">
        <v>4249</v>
      </c>
      <c r="P206" s="11" t="n">
        <v>607</v>
      </c>
    </row>
    <row r="207">
      <c r="A207" s="4" t="inlineStr">
        <is>
          <t>SKU104</t>
        </is>
      </c>
      <c r="B207" s="4" t="inlineStr">
        <is>
          <t>Hand Sanitizer 500ml</t>
        </is>
      </c>
      <c r="C207" s="4" t="inlineStr">
        <is>
          <t>OTC Pharma &amp; Wellness</t>
        </is>
      </c>
      <c r="D207" s="4" t="inlineStr">
        <is>
          <t>WH04</t>
        </is>
      </c>
      <c r="E207" s="4" t="inlineStr">
        <is>
          <t>Bhiwandi DC</t>
        </is>
      </c>
      <c r="F207" s="4" t="inlineStr">
        <is>
          <t>West</t>
        </is>
      </c>
      <c r="G207" s="4" t="inlineStr">
        <is>
          <t>WH02</t>
        </is>
      </c>
      <c r="H207" s="4" t="inlineStr">
        <is>
          <t>Jaipur DC</t>
        </is>
      </c>
      <c r="I207" s="4" t="inlineStr">
        <is>
          <t>North</t>
        </is>
      </c>
      <c r="J207" s="4" t="inlineStr">
        <is>
          <t>LOW</t>
        </is>
      </c>
      <c r="K207" s="11" t="n">
        <v>112</v>
      </c>
      <c r="L207" s="4" t="n">
        <v>0</v>
      </c>
      <c r="M207" s="11" t="n">
        <v>4144</v>
      </c>
      <c r="N207" s="11" t="n">
        <v>672</v>
      </c>
      <c r="O207" s="11" t="n">
        <v>1232</v>
      </c>
      <c r="P207" s="11" t="n">
        <v>560</v>
      </c>
    </row>
    <row r="208">
      <c r="A208" s="4" t="inlineStr">
        <is>
          <t>SKU053</t>
        </is>
      </c>
      <c r="B208" s="4" t="inlineStr">
        <is>
          <t>Sanitary Pads 20pk</t>
        </is>
      </c>
      <c r="C208" s="4" t="inlineStr">
        <is>
          <t>Personal Care</t>
        </is>
      </c>
      <c r="D208" s="4" t="inlineStr">
        <is>
          <t>WH08</t>
        </is>
      </c>
      <c r="E208" s="4" t="inlineStr">
        <is>
          <t>Chennai DC</t>
        </is>
      </c>
      <c r="F208" s="4" t="inlineStr">
        <is>
          <t>South</t>
        </is>
      </c>
      <c r="G208" s="4" t="inlineStr">
        <is>
          <t>WH10</t>
        </is>
      </c>
      <c r="H208" s="4" t="inlineStr">
        <is>
          <t>Kolkata DC</t>
        </is>
      </c>
      <c r="I208" s="4" t="inlineStr">
        <is>
          <t>East</t>
        </is>
      </c>
      <c r="J208" s="4" t="inlineStr">
        <is>
          <t>STOCKOUT</t>
        </is>
      </c>
      <c r="K208" s="11" t="n">
        <v>176</v>
      </c>
      <c r="L208" s="4" t="n">
        <v>0</v>
      </c>
      <c r="M208" s="11" t="n">
        <v>5456</v>
      </c>
      <c r="N208" s="11" t="n">
        <v>1056</v>
      </c>
      <c r="O208" s="11" t="n">
        <v>1408</v>
      </c>
      <c r="P208" s="11" t="n">
        <v>352</v>
      </c>
    </row>
    <row r="209">
      <c r="A209" s="4" t="inlineStr">
        <is>
          <t>SKU115</t>
        </is>
      </c>
      <c r="B209" s="4" t="inlineStr">
        <is>
          <t>Edge Protectors 50pk</t>
        </is>
      </c>
      <c r="C209" s="4" t="inlineStr">
        <is>
          <t>Packaging &amp; Supplies</t>
        </is>
      </c>
      <c r="D209" s="4" t="inlineStr">
        <is>
          <t>WH04</t>
        </is>
      </c>
      <c r="E209" s="4" t="inlineStr">
        <is>
          <t>Bhiwandi DC</t>
        </is>
      </c>
      <c r="F209" s="4" t="inlineStr">
        <is>
          <t>West</t>
        </is>
      </c>
      <c r="G209" s="4" t="inlineStr">
        <is>
          <t>WH12</t>
        </is>
      </c>
      <c r="H209" s="4" t="inlineStr">
        <is>
          <t>Nagpur DC</t>
        </is>
      </c>
      <c r="I209" s="4" t="inlineStr">
        <is>
          <t>Central</t>
        </is>
      </c>
      <c r="J209" s="4" t="inlineStr">
        <is>
          <t>LOW</t>
        </is>
      </c>
      <c r="K209" s="11" t="n">
        <v>69</v>
      </c>
      <c r="L209" s="4" t="n">
        <v>0</v>
      </c>
      <c r="M209" s="11" t="n">
        <v>3588</v>
      </c>
      <c r="N209" s="11" t="n">
        <v>414</v>
      </c>
      <c r="O209" s="11" t="n">
        <v>759</v>
      </c>
      <c r="P209" s="11" t="n">
        <v>345</v>
      </c>
    </row>
    <row r="210">
      <c r="A210" s="4" t="inlineStr">
        <is>
          <t>SKU053</t>
        </is>
      </c>
      <c r="B210" s="4" t="inlineStr">
        <is>
          <t>Sanitary Pads 20pk</t>
        </is>
      </c>
      <c r="C210" s="4" t="inlineStr">
        <is>
          <t>Personal Care</t>
        </is>
      </c>
      <c r="D210" s="4" t="inlineStr">
        <is>
          <t>WH08</t>
        </is>
      </c>
      <c r="E210" s="4" t="inlineStr">
        <is>
          <t>Chennai DC</t>
        </is>
      </c>
      <c r="F210" s="4" t="inlineStr">
        <is>
          <t>South</t>
        </is>
      </c>
      <c r="G210" s="4" t="inlineStr">
        <is>
          <t>WH02</t>
        </is>
      </c>
      <c r="H210" s="4" t="inlineStr">
        <is>
          <t>Jaipur DC</t>
        </is>
      </c>
      <c r="I210" s="4" t="inlineStr">
        <is>
          <t>North</t>
        </is>
      </c>
      <c r="J210" s="4" t="inlineStr">
        <is>
          <t>LOW</t>
        </is>
      </c>
      <c r="K210" s="11" t="n">
        <v>154</v>
      </c>
      <c r="L210" s="4" t="n">
        <v>0</v>
      </c>
      <c r="M210" s="11" t="n">
        <v>4774</v>
      </c>
      <c r="N210" s="11" t="n">
        <v>924</v>
      </c>
      <c r="O210" s="11" t="n">
        <v>1232</v>
      </c>
      <c r="P210" s="11" t="n">
        <v>308</v>
      </c>
    </row>
    <row r="211">
      <c r="A211" s="4" t="inlineStr">
        <is>
          <t>SKU049</t>
        </is>
      </c>
      <c r="B211" s="4" t="inlineStr">
        <is>
          <t>Face Wash 100ml</t>
        </is>
      </c>
      <c r="C211" s="4" t="inlineStr">
        <is>
          <t>Personal Care</t>
        </is>
      </c>
      <c r="D211" s="4" t="inlineStr">
        <is>
          <t>WH11</t>
        </is>
      </c>
      <c r="E211" s="4" t="inlineStr">
        <is>
          <t>Guwahati DC</t>
        </is>
      </c>
      <c r="F211" s="4" t="inlineStr">
        <is>
          <t>East</t>
        </is>
      </c>
      <c r="G211" s="4" t="inlineStr">
        <is>
          <t>WH10</t>
        </is>
      </c>
      <c r="H211" s="4" t="inlineStr">
        <is>
          <t>Kolkata DC</t>
        </is>
      </c>
      <c r="I211" s="4" t="inlineStr">
        <is>
          <t>East</t>
        </is>
      </c>
      <c r="J211" s="4" t="inlineStr">
        <is>
          <t>CRITICAL</t>
        </is>
      </c>
      <c r="K211" s="11" t="n">
        <v>46</v>
      </c>
      <c r="L211" s="4" t="n">
        <v>1</v>
      </c>
      <c r="M211" s="11" t="n">
        <v>1472</v>
      </c>
      <c r="N211" s="11" t="n">
        <v>115</v>
      </c>
      <c r="O211" s="11" t="n">
        <v>414</v>
      </c>
      <c r="P211" s="11" t="n">
        <v>299</v>
      </c>
    </row>
    <row r="212">
      <c r="A212" s="4" t="inlineStr">
        <is>
          <t>SKU024</t>
        </is>
      </c>
      <c r="B212" s="4" t="inlineStr">
        <is>
          <t>Instant Coffee 100g</t>
        </is>
      </c>
      <c r="C212" s="4" t="inlineStr">
        <is>
          <t>Beverages</t>
        </is>
      </c>
      <c r="D212" s="4" t="inlineStr">
        <is>
          <t>WH11</t>
        </is>
      </c>
      <c r="E212" s="4" t="inlineStr">
        <is>
          <t>Guwahati DC</t>
        </is>
      </c>
      <c r="F212" s="4" t="inlineStr">
        <is>
          <t>East</t>
        </is>
      </c>
      <c r="G212" s="4" t="inlineStr">
        <is>
          <t>WH10</t>
        </is>
      </c>
      <c r="H212" s="4" t="inlineStr">
        <is>
          <t>Kolkata DC</t>
        </is>
      </c>
      <c r="I212" s="4" t="inlineStr">
        <is>
          <t>East</t>
        </is>
      </c>
      <c r="J212" s="4" t="inlineStr">
        <is>
          <t>CRITICAL</t>
        </is>
      </c>
      <c r="K212" s="11" t="n">
        <v>170</v>
      </c>
      <c r="L212" s="4" t="n">
        <v>1</v>
      </c>
      <c r="M212" s="11" t="n">
        <v>4590</v>
      </c>
      <c r="N212" s="11" t="n">
        <v>425</v>
      </c>
      <c r="O212" s="11" t="n">
        <v>680</v>
      </c>
      <c r="P212" s="11" t="n">
        <v>255</v>
      </c>
    </row>
    <row r="213">
      <c r="A213" s="4" t="inlineStr">
        <is>
          <t>SKU053</t>
        </is>
      </c>
      <c r="B213" s="4" t="inlineStr">
        <is>
          <t>Sanitary Pads 20pk</t>
        </is>
      </c>
      <c r="C213" s="4" t="inlineStr">
        <is>
          <t>Personal Care</t>
        </is>
      </c>
      <c r="D213" s="4" t="inlineStr">
        <is>
          <t>WH08</t>
        </is>
      </c>
      <c r="E213" s="4" t="inlineStr">
        <is>
          <t>Chennai DC</t>
        </is>
      </c>
      <c r="F213" s="4" t="inlineStr">
        <is>
          <t>South</t>
        </is>
      </c>
      <c r="G213" s="4" t="inlineStr">
        <is>
          <t>WH11</t>
        </is>
      </c>
      <c r="H213" s="4" t="inlineStr">
        <is>
          <t>Guwahati DC</t>
        </is>
      </c>
      <c r="I213" s="4" t="inlineStr">
        <is>
          <t>East</t>
        </is>
      </c>
      <c r="J213" s="4" t="inlineStr">
        <is>
          <t>LOW</t>
        </is>
      </c>
      <c r="K213" s="11" t="n">
        <v>121</v>
      </c>
      <c r="L213" s="4" t="n">
        <v>0</v>
      </c>
      <c r="M213" s="11" t="n">
        <v>3751</v>
      </c>
      <c r="N213" s="11" t="n">
        <v>726</v>
      </c>
      <c r="O213" s="11" t="n">
        <v>968</v>
      </c>
      <c r="P213" s="11" t="n">
        <v>242</v>
      </c>
    </row>
    <row r="214">
      <c r="A214" s="4" t="inlineStr">
        <is>
          <t>SKU053</t>
        </is>
      </c>
      <c r="B214" s="4" t="inlineStr">
        <is>
          <t>Sanitary Pads 20pk</t>
        </is>
      </c>
      <c r="C214" s="4" t="inlineStr">
        <is>
          <t>Personal Care</t>
        </is>
      </c>
      <c r="D214" s="4" t="inlineStr">
        <is>
          <t>WH08</t>
        </is>
      </c>
      <c r="E214" s="4" t="inlineStr">
        <is>
          <t>Chennai DC</t>
        </is>
      </c>
      <c r="F214" s="4" t="inlineStr">
        <is>
          <t>South</t>
        </is>
      </c>
      <c r="G214" s="4" t="inlineStr">
        <is>
          <t>WH05</t>
        </is>
      </c>
      <c r="H214" s="4" t="inlineStr">
        <is>
          <t>Pune DC</t>
        </is>
      </c>
      <c r="I214" s="4" t="inlineStr">
        <is>
          <t>West</t>
        </is>
      </c>
      <c r="J214" s="4" t="inlineStr">
        <is>
          <t>CRITICAL</t>
        </is>
      </c>
      <c r="K214" s="11" t="n">
        <v>111</v>
      </c>
      <c r="L214" s="4" t="n">
        <v>0</v>
      </c>
      <c r="M214" s="11" t="n">
        <v>3441</v>
      </c>
      <c r="N214" s="11" t="n">
        <v>666</v>
      </c>
      <c r="O214" s="11" t="n">
        <v>888</v>
      </c>
      <c r="P214" s="11" t="n">
        <v>222</v>
      </c>
    </row>
    <row r="215">
      <c r="A215" s="4" t="inlineStr">
        <is>
          <t>SKU112</t>
        </is>
      </c>
      <c r="B215" s="4" t="inlineStr">
        <is>
          <t>Poly Mailer 100pk</t>
        </is>
      </c>
      <c r="C215" s="4" t="inlineStr">
        <is>
          <t>Packaging &amp; Supplies</t>
        </is>
      </c>
      <c r="D215" s="4" t="inlineStr">
        <is>
          <t>WH12</t>
        </is>
      </c>
      <c r="E215" s="4" t="inlineStr">
        <is>
          <t>Nagpur DC</t>
        </is>
      </c>
      <c r="F215" s="4" t="inlineStr">
        <is>
          <t>Central</t>
        </is>
      </c>
      <c r="G215" s="4" t="inlineStr">
        <is>
          <t>WH07</t>
        </is>
      </c>
      <c r="H215" s="4" t="inlineStr">
        <is>
          <t>Bengaluru DC</t>
        </is>
      </c>
      <c r="I215" s="4" t="inlineStr">
        <is>
          <t>South</t>
        </is>
      </c>
      <c r="J215" s="4" t="inlineStr">
        <is>
          <t>LOW</t>
        </is>
      </c>
      <c r="K215" s="11" t="n">
        <v>10</v>
      </c>
      <c r="L215" s="4" t="n">
        <v>0</v>
      </c>
      <c r="M215" s="11" t="n">
        <v>930</v>
      </c>
      <c r="N215" s="11" t="n">
        <v>60</v>
      </c>
      <c r="O215" s="11" t="n">
        <v>200</v>
      </c>
      <c r="P215" s="11" t="n">
        <v>140</v>
      </c>
    </row>
    <row r="216">
      <c r="A216" s="4" t="inlineStr">
        <is>
          <t>SKU112</t>
        </is>
      </c>
      <c r="B216" s="4" t="inlineStr">
        <is>
          <t>Poly Mailer 100pk</t>
        </is>
      </c>
      <c r="C216" s="4" t="inlineStr">
        <is>
          <t>Packaging &amp; Supplies</t>
        </is>
      </c>
      <c r="D216" s="4" t="inlineStr">
        <is>
          <t>WH12</t>
        </is>
      </c>
      <c r="E216" s="4" t="inlineStr">
        <is>
          <t>Nagpur DC</t>
        </is>
      </c>
      <c r="F216" s="4" t="inlineStr">
        <is>
          <t>Central</t>
        </is>
      </c>
      <c r="G216" s="4" t="inlineStr">
        <is>
          <t>WH08</t>
        </is>
      </c>
      <c r="H216" s="4" t="inlineStr">
        <is>
          <t>Chennai DC</t>
        </is>
      </c>
      <c r="I216" s="4" t="inlineStr">
        <is>
          <t>South</t>
        </is>
      </c>
      <c r="J216" s="4" t="inlineStr">
        <is>
          <t>LOW</t>
        </is>
      </c>
      <c r="K216" s="11" t="n">
        <v>10</v>
      </c>
      <c r="L216" s="4" t="n">
        <v>0</v>
      </c>
      <c r="M216" s="11" t="n">
        <v>930</v>
      </c>
      <c r="N216" s="11" t="n">
        <v>60</v>
      </c>
      <c r="O216" s="11" t="n">
        <v>200</v>
      </c>
      <c r="P216" s="11" t="n">
        <v>140</v>
      </c>
    </row>
    <row r="217">
      <c r="A217" s="4" t="inlineStr">
        <is>
          <t>SKU112</t>
        </is>
      </c>
      <c r="B217" s="4" t="inlineStr">
        <is>
          <t>Poly Mailer 100pk</t>
        </is>
      </c>
      <c r="C217" s="4" t="inlineStr">
        <is>
          <t>Packaging &amp; Supplies</t>
        </is>
      </c>
      <c r="D217" s="4" t="inlineStr">
        <is>
          <t>WH12</t>
        </is>
      </c>
      <c r="E217" s="4" t="inlineStr">
        <is>
          <t>Nagpur DC</t>
        </is>
      </c>
      <c r="F217" s="4" t="inlineStr">
        <is>
          <t>Central</t>
        </is>
      </c>
      <c r="G217" s="4" t="inlineStr">
        <is>
          <t>WH09</t>
        </is>
      </c>
      <c r="H217" s="4" t="inlineStr">
        <is>
          <t>Hyderabad DC</t>
        </is>
      </c>
      <c r="I217" s="4" t="inlineStr">
        <is>
          <t>South</t>
        </is>
      </c>
      <c r="J217" s="4" t="inlineStr">
        <is>
          <t>LOW</t>
        </is>
      </c>
      <c r="K217" s="11" t="n">
        <v>10</v>
      </c>
      <c r="L217" s="4" t="n">
        <v>0</v>
      </c>
      <c r="M217" s="11" t="n">
        <v>930</v>
      </c>
      <c r="N217" s="11" t="n">
        <v>60</v>
      </c>
      <c r="O217" s="11" t="n">
        <v>200</v>
      </c>
      <c r="P217" s="11" t="n">
        <v>140</v>
      </c>
    </row>
    <row r="218">
      <c r="A218" s="4" t="inlineStr">
        <is>
          <t>SKU112</t>
        </is>
      </c>
      <c r="B218" s="4" t="inlineStr">
        <is>
          <t>Poly Mailer 100pk</t>
        </is>
      </c>
      <c r="C218" s="4" t="inlineStr">
        <is>
          <t>Packaging &amp; Supplies</t>
        </is>
      </c>
      <c r="D218" s="4" t="inlineStr">
        <is>
          <t>WH12</t>
        </is>
      </c>
      <c r="E218" s="4" t="inlineStr">
        <is>
          <t>Nagpur DC</t>
        </is>
      </c>
      <c r="F218" s="4" t="inlineStr">
        <is>
          <t>Central</t>
        </is>
      </c>
      <c r="G218" s="4" t="inlineStr">
        <is>
          <t>WH10</t>
        </is>
      </c>
      <c r="H218" s="4" t="inlineStr">
        <is>
          <t>Kolkata DC</t>
        </is>
      </c>
      <c r="I218" s="4" t="inlineStr">
        <is>
          <t>East</t>
        </is>
      </c>
      <c r="J218" s="4" t="inlineStr">
        <is>
          <t>STOCKOUT</t>
        </is>
      </c>
      <c r="K218" s="11" t="n">
        <v>10</v>
      </c>
      <c r="L218" s="4" t="n">
        <v>0</v>
      </c>
      <c r="M218" s="11" t="n">
        <v>930</v>
      </c>
      <c r="N218" s="11" t="n">
        <v>60</v>
      </c>
      <c r="O218" s="11" t="n">
        <v>200</v>
      </c>
      <c r="P218" s="11" t="n">
        <v>140</v>
      </c>
    </row>
    <row r="219">
      <c r="A219" s="4" t="inlineStr">
        <is>
          <t>SKU112</t>
        </is>
      </c>
      <c r="B219" s="4" t="inlineStr">
        <is>
          <t>Poly Mailer 100pk</t>
        </is>
      </c>
      <c r="C219" s="4" t="inlineStr">
        <is>
          <t>Packaging &amp; Supplies</t>
        </is>
      </c>
      <c r="D219" s="4" t="inlineStr">
        <is>
          <t>WH12</t>
        </is>
      </c>
      <c r="E219" s="4" t="inlineStr">
        <is>
          <t>Nagpur DC</t>
        </is>
      </c>
      <c r="F219" s="4" t="inlineStr">
        <is>
          <t>Central</t>
        </is>
      </c>
      <c r="G219" s="4" t="inlineStr">
        <is>
          <t>WH11</t>
        </is>
      </c>
      <c r="H219" s="4" t="inlineStr">
        <is>
          <t>Guwahati DC</t>
        </is>
      </c>
      <c r="I219" s="4" t="inlineStr">
        <is>
          <t>East</t>
        </is>
      </c>
      <c r="J219" s="4" t="inlineStr">
        <is>
          <t>STOCKOUT</t>
        </is>
      </c>
      <c r="K219" s="11" t="n">
        <v>10</v>
      </c>
      <c r="L219" s="4" t="n">
        <v>0</v>
      </c>
      <c r="M219" s="11" t="n">
        <v>930</v>
      </c>
      <c r="N219" s="11" t="n">
        <v>60</v>
      </c>
      <c r="O219" s="11" t="n">
        <v>200</v>
      </c>
      <c r="P219" s="11" t="n">
        <v>140</v>
      </c>
    </row>
    <row r="220">
      <c r="A220" s="4" t="inlineStr">
        <is>
          <t>SKU049</t>
        </is>
      </c>
      <c r="B220" s="4" t="inlineStr">
        <is>
          <t>Face Wash 100ml</t>
        </is>
      </c>
      <c r="C220" s="4" t="inlineStr">
        <is>
          <t>Personal Care</t>
        </is>
      </c>
      <c r="D220" s="4" t="inlineStr">
        <is>
          <t>WH11</t>
        </is>
      </c>
      <c r="E220" s="4" t="inlineStr">
        <is>
          <t>Guwahati DC</t>
        </is>
      </c>
      <c r="F220" s="4" t="inlineStr">
        <is>
          <t>East</t>
        </is>
      </c>
      <c r="G220" s="4" t="inlineStr">
        <is>
          <t>WH07</t>
        </is>
      </c>
      <c r="H220" s="4" t="inlineStr">
        <is>
          <t>Bengaluru DC</t>
        </is>
      </c>
      <c r="I220" s="4" t="inlineStr">
        <is>
          <t>South</t>
        </is>
      </c>
      <c r="J220" s="4" t="inlineStr">
        <is>
          <t>STOCKOUT</t>
        </is>
      </c>
      <c r="K220" s="11" t="n">
        <v>46</v>
      </c>
      <c r="L220" s="4" t="n">
        <v>0</v>
      </c>
      <c r="M220" s="11" t="n">
        <v>1472</v>
      </c>
      <c r="N220" s="11" t="n">
        <v>276</v>
      </c>
      <c r="O220" s="11" t="n">
        <v>414</v>
      </c>
      <c r="P220" s="11" t="n">
        <v>138</v>
      </c>
    </row>
    <row r="221">
      <c r="A221" s="4" t="inlineStr">
        <is>
          <t>SKU049</t>
        </is>
      </c>
      <c r="B221" s="4" t="inlineStr">
        <is>
          <t>Face Wash 100ml</t>
        </is>
      </c>
      <c r="C221" s="4" t="inlineStr">
        <is>
          <t>Personal Care</t>
        </is>
      </c>
      <c r="D221" s="4" t="inlineStr">
        <is>
          <t>WH11</t>
        </is>
      </c>
      <c r="E221" s="4" t="inlineStr">
        <is>
          <t>Guwahati DC</t>
        </is>
      </c>
      <c r="F221" s="4" t="inlineStr">
        <is>
          <t>East</t>
        </is>
      </c>
      <c r="G221" s="4" t="inlineStr">
        <is>
          <t>WH08</t>
        </is>
      </c>
      <c r="H221" s="4" t="inlineStr">
        <is>
          <t>Chennai DC</t>
        </is>
      </c>
      <c r="I221" s="4" t="inlineStr">
        <is>
          <t>South</t>
        </is>
      </c>
      <c r="J221" s="4" t="inlineStr">
        <is>
          <t>STOCKOUT</t>
        </is>
      </c>
      <c r="K221" s="11" t="n">
        <v>46</v>
      </c>
      <c r="L221" s="4" t="n">
        <v>0</v>
      </c>
      <c r="M221" s="11" t="n">
        <v>1472</v>
      </c>
      <c r="N221" s="11" t="n">
        <v>276</v>
      </c>
      <c r="O221" s="11" t="n">
        <v>414</v>
      </c>
      <c r="P221" s="11" t="n">
        <v>138</v>
      </c>
    </row>
    <row r="222">
      <c r="A222" s="4" t="inlineStr">
        <is>
          <t>SKU030</t>
        </is>
      </c>
      <c r="B222" s="4" t="inlineStr">
        <is>
          <t>Malt Drink 500g</t>
        </is>
      </c>
      <c r="C222" s="4" t="inlineStr">
        <is>
          <t>Beverages</t>
        </is>
      </c>
      <c r="D222" s="4" t="inlineStr">
        <is>
          <t>WH04</t>
        </is>
      </c>
      <c r="E222" s="4" t="inlineStr">
        <is>
          <t>Bhiwandi DC</t>
        </is>
      </c>
      <c r="F222" s="4" t="inlineStr">
        <is>
          <t>West</t>
        </is>
      </c>
      <c r="G222" s="4" t="inlineStr">
        <is>
          <t>WH08</t>
        </is>
      </c>
      <c r="H222" s="4" t="inlineStr">
        <is>
          <t>Chennai DC</t>
        </is>
      </c>
      <c r="I222" s="4" t="inlineStr">
        <is>
          <t>South</t>
        </is>
      </c>
      <c r="J222" s="4" t="inlineStr">
        <is>
          <t>CRITICAL</t>
        </is>
      </c>
      <c r="K222" s="11" t="n">
        <v>3663</v>
      </c>
      <c r="L222" s="4" t="n">
        <v>0</v>
      </c>
      <c r="M222" s="11" t="n">
        <v>113553</v>
      </c>
      <c r="N222" s="11" t="n">
        <v>21978</v>
      </c>
      <c r="O222" s="11" t="n">
        <v>21978</v>
      </c>
      <c r="P222" s="11" t="n">
        <v>0</v>
      </c>
    </row>
    <row r="223">
      <c r="A223" s="4" t="inlineStr">
        <is>
          <t>SKU120</t>
        </is>
      </c>
      <c r="B223" s="4" t="inlineStr">
        <is>
          <t>Cutter Blades 10pk</t>
        </is>
      </c>
      <c r="C223" s="4" t="inlineStr">
        <is>
          <t>Packaging &amp; Supplies</t>
        </is>
      </c>
      <c r="D223" s="4" t="inlineStr">
        <is>
          <t>WH01</t>
        </is>
      </c>
      <c r="E223" s="4" t="inlineStr">
        <is>
          <t>Gurugram DC</t>
        </is>
      </c>
      <c r="F223" s="4" t="inlineStr">
        <is>
          <t>North</t>
        </is>
      </c>
      <c r="G223" s="4" t="inlineStr">
        <is>
          <t>WH06</t>
        </is>
      </c>
      <c r="H223" s="4" t="inlineStr">
        <is>
          <t>Ahmedabad DC</t>
        </is>
      </c>
      <c r="I223" s="4" t="inlineStr">
        <is>
          <t>West</t>
        </is>
      </c>
      <c r="J223" s="4" t="inlineStr">
        <is>
          <t>LOW</t>
        </is>
      </c>
      <c r="K223" s="11" t="n">
        <v>196</v>
      </c>
      <c r="L223" s="4" t="n">
        <v>0</v>
      </c>
      <c r="M223" s="11" t="n">
        <v>5880</v>
      </c>
      <c r="N223" s="11" t="n">
        <v>1176</v>
      </c>
      <c r="O223" s="11" t="n">
        <v>980</v>
      </c>
      <c r="P223" s="11" t="n">
        <v>-196</v>
      </c>
    </row>
    <row r="224">
      <c r="A224" s="4" t="inlineStr">
        <is>
          <t>SKU024</t>
        </is>
      </c>
      <c r="B224" s="4" t="inlineStr">
        <is>
          <t>Instant Coffee 100g</t>
        </is>
      </c>
      <c r="C224" s="4" t="inlineStr">
        <is>
          <t>Beverages</t>
        </is>
      </c>
      <c r="D224" s="4" t="inlineStr">
        <is>
          <t>WH11</t>
        </is>
      </c>
      <c r="E224" s="4" t="inlineStr">
        <is>
          <t>Guwahati DC</t>
        </is>
      </c>
      <c r="F224" s="4" t="inlineStr">
        <is>
          <t>East</t>
        </is>
      </c>
      <c r="G224" s="4" t="inlineStr">
        <is>
          <t>WH12</t>
        </is>
      </c>
      <c r="H224" s="4" t="inlineStr">
        <is>
          <t>Nagpur DC</t>
        </is>
      </c>
      <c r="I224" s="4" t="inlineStr">
        <is>
          <t>Central</t>
        </is>
      </c>
      <c r="J224" s="4" t="inlineStr">
        <is>
          <t>LOW</t>
        </is>
      </c>
      <c r="K224" s="11" t="n">
        <v>120</v>
      </c>
      <c r="L224" s="4" t="n">
        <v>0</v>
      </c>
      <c r="M224" s="11" t="n">
        <v>3240</v>
      </c>
      <c r="N224" s="11" t="n">
        <v>720</v>
      </c>
      <c r="O224" s="11" t="n">
        <v>480</v>
      </c>
      <c r="P224" s="11" t="n">
        <v>-240</v>
      </c>
    </row>
    <row r="225">
      <c r="A225" s="4" t="inlineStr">
        <is>
          <t>SKU024</t>
        </is>
      </c>
      <c r="B225" s="4" t="inlineStr">
        <is>
          <t>Instant Coffee 100g</t>
        </is>
      </c>
      <c r="C225" s="4" t="inlineStr">
        <is>
          <t>Beverages</t>
        </is>
      </c>
      <c r="D225" s="4" t="inlineStr">
        <is>
          <t>WH11</t>
        </is>
      </c>
      <c r="E225" s="4" t="inlineStr">
        <is>
          <t>Guwahati DC</t>
        </is>
      </c>
      <c r="F225" s="4" t="inlineStr">
        <is>
          <t>East</t>
        </is>
      </c>
      <c r="G225" s="4" t="inlineStr">
        <is>
          <t>WH07</t>
        </is>
      </c>
      <c r="H225" s="4" t="inlineStr">
        <is>
          <t>Bengaluru DC</t>
        </is>
      </c>
      <c r="I225" s="4" t="inlineStr">
        <is>
          <t>South</t>
        </is>
      </c>
      <c r="J225" s="4" t="inlineStr">
        <is>
          <t>CRITICAL</t>
        </is>
      </c>
      <c r="K225" s="11" t="n">
        <v>170</v>
      </c>
      <c r="L225" s="4" t="n">
        <v>0</v>
      </c>
      <c r="M225" s="11" t="n">
        <v>4590</v>
      </c>
      <c r="N225" s="11" t="n">
        <v>1020</v>
      </c>
      <c r="O225" s="11" t="n">
        <v>680</v>
      </c>
      <c r="P225" s="11" t="n">
        <v>-340</v>
      </c>
    </row>
    <row r="226">
      <c r="A226" s="4" t="inlineStr">
        <is>
          <t>SKU024</t>
        </is>
      </c>
      <c r="B226" s="4" t="inlineStr">
        <is>
          <t>Instant Coffee 100g</t>
        </is>
      </c>
      <c r="C226" s="4" t="inlineStr">
        <is>
          <t>Beverages</t>
        </is>
      </c>
      <c r="D226" s="4" t="inlineStr">
        <is>
          <t>WH11</t>
        </is>
      </c>
      <c r="E226" s="4" t="inlineStr">
        <is>
          <t>Guwahati DC</t>
        </is>
      </c>
      <c r="F226" s="4" t="inlineStr">
        <is>
          <t>East</t>
        </is>
      </c>
      <c r="G226" s="4" t="inlineStr">
        <is>
          <t>WH08</t>
        </is>
      </c>
      <c r="H226" s="4" t="inlineStr">
        <is>
          <t>Chennai DC</t>
        </is>
      </c>
      <c r="I226" s="4" t="inlineStr">
        <is>
          <t>South</t>
        </is>
      </c>
      <c r="J226" s="4" t="inlineStr">
        <is>
          <t>LOW</t>
        </is>
      </c>
      <c r="K226" s="11" t="n">
        <v>170</v>
      </c>
      <c r="L226" s="4" t="n">
        <v>0</v>
      </c>
      <c r="M226" s="11" t="n">
        <v>4590</v>
      </c>
      <c r="N226" s="11" t="n">
        <v>1020</v>
      </c>
      <c r="O226" s="11" t="n">
        <v>680</v>
      </c>
      <c r="P226" s="11" t="n">
        <v>-340</v>
      </c>
    </row>
    <row r="227">
      <c r="A227" s="4" t="inlineStr">
        <is>
          <t>SKU032</t>
        </is>
      </c>
      <c r="B227" s="4" t="inlineStr">
        <is>
          <t>Namkeen Mix 400g</t>
        </is>
      </c>
      <c r="C227" s="4" t="inlineStr">
        <is>
          <t>Snacks &amp; Confectionery</t>
        </is>
      </c>
      <c r="D227" s="4" t="inlineStr">
        <is>
          <t>WH11</t>
        </is>
      </c>
      <c r="E227" s="4" t="inlineStr">
        <is>
          <t>Guwahati DC</t>
        </is>
      </c>
      <c r="F227" s="4" t="inlineStr">
        <is>
          <t>East</t>
        </is>
      </c>
      <c r="G227" s="4" t="inlineStr">
        <is>
          <t>WH02</t>
        </is>
      </c>
      <c r="H227" s="4" t="inlineStr">
        <is>
          <t>Jaipur DC</t>
        </is>
      </c>
      <c r="I227" s="4" t="inlineStr">
        <is>
          <t>North</t>
        </is>
      </c>
      <c r="J227" s="4" t="inlineStr">
        <is>
          <t>LOW</t>
        </is>
      </c>
      <c r="K227" s="11" t="n">
        <v>189</v>
      </c>
      <c r="L227" s="4" t="n">
        <v>0</v>
      </c>
      <c r="M227" s="11" t="n">
        <v>2646</v>
      </c>
      <c r="N227" s="11" t="n">
        <v>1134</v>
      </c>
      <c r="O227" s="11" t="n">
        <v>567</v>
      </c>
      <c r="P227" s="11" t="n">
        <v>-567</v>
      </c>
    </row>
    <row r="228">
      <c r="A228" s="4" t="inlineStr">
        <is>
          <t>SKU032</t>
        </is>
      </c>
      <c r="B228" s="4" t="inlineStr">
        <is>
          <t>Namkeen Mix 400g</t>
        </is>
      </c>
      <c r="C228" s="4" t="inlineStr">
        <is>
          <t>Snacks &amp; Confectionery</t>
        </is>
      </c>
      <c r="D228" s="4" t="inlineStr">
        <is>
          <t>WH11</t>
        </is>
      </c>
      <c r="E228" s="4" t="inlineStr">
        <is>
          <t>Guwahati DC</t>
        </is>
      </c>
      <c r="F228" s="4" t="inlineStr">
        <is>
          <t>East</t>
        </is>
      </c>
      <c r="G228" s="4" t="inlineStr">
        <is>
          <t>WH12</t>
        </is>
      </c>
      <c r="H228" s="4" t="inlineStr">
        <is>
          <t>Nagpur DC</t>
        </is>
      </c>
      <c r="I228" s="4" t="inlineStr">
        <is>
          <t>Central</t>
        </is>
      </c>
      <c r="J228" s="4" t="inlineStr">
        <is>
          <t>LOW</t>
        </is>
      </c>
      <c r="K228" s="11" t="n">
        <v>189</v>
      </c>
      <c r="L228" s="4" t="n">
        <v>0</v>
      </c>
      <c r="M228" s="11" t="n">
        <v>2646</v>
      </c>
      <c r="N228" s="11" t="n">
        <v>1134</v>
      </c>
      <c r="O228" s="11" t="n">
        <v>567</v>
      </c>
      <c r="P228" s="11" t="n">
        <v>-567</v>
      </c>
    </row>
    <row r="229">
      <c r="A229" s="4" t="inlineStr">
        <is>
          <t>SKU120</t>
        </is>
      </c>
      <c r="B229" s="4" t="inlineStr">
        <is>
          <t>Cutter Blades 10pk</t>
        </is>
      </c>
      <c r="C229" s="4" t="inlineStr">
        <is>
          <t>Packaging &amp; Supplies</t>
        </is>
      </c>
      <c r="D229" s="4" t="inlineStr">
        <is>
          <t>WH01</t>
        </is>
      </c>
      <c r="E229" s="4" t="inlineStr">
        <is>
          <t>Gurugram DC</t>
        </is>
      </c>
      <c r="F229" s="4" t="inlineStr">
        <is>
          <t>North</t>
        </is>
      </c>
      <c r="G229" s="4" t="inlineStr">
        <is>
          <t>WH08</t>
        </is>
      </c>
      <c r="H229" s="4" t="inlineStr">
        <is>
          <t>Chennai DC</t>
        </is>
      </c>
      <c r="I229" s="4" t="inlineStr">
        <is>
          <t>South</t>
        </is>
      </c>
      <c r="J229" s="4" t="inlineStr">
        <is>
          <t>CRITICAL</t>
        </is>
      </c>
      <c r="K229" s="11" t="n">
        <v>719</v>
      </c>
      <c r="L229" s="4" t="n">
        <v>0</v>
      </c>
      <c r="M229" s="11" t="n">
        <v>21570</v>
      </c>
      <c r="N229" s="11" t="n">
        <v>4314</v>
      </c>
      <c r="O229" s="11" t="n">
        <v>3595</v>
      </c>
      <c r="P229" s="11" t="n">
        <v>-719</v>
      </c>
    </row>
    <row r="230">
      <c r="A230" s="4" t="inlineStr">
        <is>
          <t>SKU043</t>
        </is>
      </c>
      <c r="B230" s="4" t="inlineStr">
        <is>
          <t>Soan Papdi 500g</t>
        </is>
      </c>
      <c r="C230" s="4" t="inlineStr">
        <is>
          <t>Snacks &amp; Confectionery</t>
        </is>
      </c>
      <c r="D230" s="4" t="inlineStr">
        <is>
          <t>WH12</t>
        </is>
      </c>
      <c r="E230" s="4" t="inlineStr">
        <is>
          <t>Nagpur DC</t>
        </is>
      </c>
      <c r="F230" s="4" t="inlineStr">
        <is>
          <t>Central</t>
        </is>
      </c>
      <c r="G230" s="4" t="inlineStr">
        <is>
          <t>WH08</t>
        </is>
      </c>
      <c r="H230" s="4" t="inlineStr">
        <is>
          <t>Chennai DC</t>
        </is>
      </c>
      <c r="I230" s="4" t="inlineStr">
        <is>
          <t>South</t>
        </is>
      </c>
      <c r="J230" s="4" t="inlineStr">
        <is>
          <t>STOCKOUT</t>
        </is>
      </c>
      <c r="K230" s="11" t="n">
        <v>279</v>
      </c>
      <c r="L230" s="4" t="n">
        <v>0</v>
      </c>
      <c r="M230" s="11" t="n">
        <v>4185</v>
      </c>
      <c r="N230" s="11" t="n">
        <v>1674</v>
      </c>
      <c r="O230" s="11" t="n">
        <v>837</v>
      </c>
      <c r="P230" s="11" t="n">
        <v>-837</v>
      </c>
    </row>
    <row r="231">
      <c r="A231" s="4" t="inlineStr">
        <is>
          <t>SKU035</t>
        </is>
      </c>
      <c r="B231" s="4" t="inlineStr">
        <is>
          <t>Chocolate Bar 40g</t>
        </is>
      </c>
      <c r="C231" s="4" t="inlineStr">
        <is>
          <t>Snacks &amp; Confectionery</t>
        </is>
      </c>
      <c r="D231" s="4" t="inlineStr">
        <is>
          <t>WH04</t>
        </is>
      </c>
      <c r="E231" s="4" t="inlineStr">
        <is>
          <t>Bhiwandi DC</t>
        </is>
      </c>
      <c r="F231" s="4" t="inlineStr">
        <is>
          <t>West</t>
        </is>
      </c>
      <c r="G231" s="4" t="inlineStr">
        <is>
          <t>WH02</t>
        </is>
      </c>
      <c r="H231" s="4" t="inlineStr">
        <is>
          <t>Jaipur DC</t>
        </is>
      </c>
      <c r="I231" s="4" t="inlineStr">
        <is>
          <t>North</t>
        </is>
      </c>
      <c r="J231" s="4" t="inlineStr">
        <is>
          <t>LOW</t>
        </is>
      </c>
      <c r="K231" s="11" t="n">
        <v>440</v>
      </c>
      <c r="L231" s="4" t="n">
        <v>0</v>
      </c>
      <c r="M231" s="11" t="n">
        <v>7040</v>
      </c>
      <c r="N231" s="11" t="n">
        <v>2640</v>
      </c>
      <c r="O231" s="11" t="n">
        <v>1760</v>
      </c>
      <c r="P231" s="11" t="n">
        <v>-880</v>
      </c>
    </row>
    <row r="232">
      <c r="A232" s="4" t="inlineStr">
        <is>
          <t>SKU117</t>
        </is>
      </c>
      <c r="B232" s="4" t="inlineStr">
        <is>
          <t>Courier Bags 100pk</t>
        </is>
      </c>
      <c r="C232" s="4" t="inlineStr">
        <is>
          <t>Packaging &amp; Supplies</t>
        </is>
      </c>
      <c r="D232" s="4" t="inlineStr">
        <is>
          <t>WH01</t>
        </is>
      </c>
      <c r="E232" s="4" t="inlineStr">
        <is>
          <t>Gurugram DC</t>
        </is>
      </c>
      <c r="F232" s="4" t="inlineStr">
        <is>
          <t>North</t>
        </is>
      </c>
      <c r="G232" s="4" t="inlineStr">
        <is>
          <t>WH06</t>
        </is>
      </c>
      <c r="H232" s="4" t="inlineStr">
        <is>
          <t>Ahmedabad DC</t>
        </is>
      </c>
      <c r="I232" s="4" t="inlineStr">
        <is>
          <t>West</t>
        </is>
      </c>
      <c r="J232" s="4" t="inlineStr">
        <is>
          <t>LOW</t>
        </is>
      </c>
      <c r="K232" s="11" t="n">
        <v>444</v>
      </c>
      <c r="L232" s="4" t="n">
        <v>0</v>
      </c>
      <c r="M232" s="11" t="n">
        <v>9324</v>
      </c>
      <c r="N232" s="11" t="n">
        <v>2664</v>
      </c>
      <c r="O232" s="11" t="n">
        <v>1776</v>
      </c>
      <c r="P232" s="11" t="n">
        <v>-888</v>
      </c>
    </row>
    <row r="233">
      <c r="A233" s="4" t="inlineStr">
        <is>
          <t>SKU012</t>
        </is>
      </c>
      <c r="B233" s="4" t="inlineStr">
        <is>
          <t>Rajma 1kg</t>
        </is>
      </c>
      <c r="C233" s="4" t="inlineStr">
        <is>
          <t>Packaged Staples</t>
        </is>
      </c>
      <c r="D233" s="4" t="inlineStr">
        <is>
          <t>WH11</t>
        </is>
      </c>
      <c r="E233" s="4" t="inlineStr">
        <is>
          <t>Guwahati DC</t>
        </is>
      </c>
      <c r="F233" s="4" t="inlineStr">
        <is>
          <t>East</t>
        </is>
      </c>
      <c r="G233" s="4" t="inlineStr">
        <is>
          <t>WH07</t>
        </is>
      </c>
      <c r="H233" s="4" t="inlineStr">
        <is>
          <t>Bengaluru DC</t>
        </is>
      </c>
      <c r="I233" s="4" t="inlineStr">
        <is>
          <t>South</t>
        </is>
      </c>
      <c r="J233" s="4" t="inlineStr">
        <is>
          <t>STOCKOUT</t>
        </is>
      </c>
      <c r="K233" s="11" t="n">
        <v>900</v>
      </c>
      <c r="L233" s="4" t="n">
        <v>0</v>
      </c>
      <c r="M233" s="11" t="n">
        <v>40500</v>
      </c>
      <c r="N233" s="11" t="n">
        <v>5400</v>
      </c>
      <c r="O233" s="11" t="n">
        <v>4500</v>
      </c>
      <c r="P233" s="11" t="n">
        <v>-900</v>
      </c>
    </row>
    <row r="234">
      <c r="A234" s="4" t="inlineStr">
        <is>
          <t>SKU012</t>
        </is>
      </c>
      <c r="B234" s="4" t="inlineStr">
        <is>
          <t>Rajma 1kg</t>
        </is>
      </c>
      <c r="C234" s="4" t="inlineStr">
        <is>
          <t>Packaged Staples</t>
        </is>
      </c>
      <c r="D234" s="4" t="inlineStr">
        <is>
          <t>WH11</t>
        </is>
      </c>
      <c r="E234" s="4" t="inlineStr">
        <is>
          <t>Guwahati DC</t>
        </is>
      </c>
      <c r="F234" s="4" t="inlineStr">
        <is>
          <t>East</t>
        </is>
      </c>
      <c r="G234" s="4" t="inlineStr">
        <is>
          <t>WH08</t>
        </is>
      </c>
      <c r="H234" s="4" t="inlineStr">
        <is>
          <t>Chennai DC</t>
        </is>
      </c>
      <c r="I234" s="4" t="inlineStr">
        <is>
          <t>South</t>
        </is>
      </c>
      <c r="J234" s="4" t="inlineStr">
        <is>
          <t>LOW</t>
        </is>
      </c>
      <c r="K234" s="11" t="n">
        <v>900</v>
      </c>
      <c r="L234" s="4" t="n">
        <v>0</v>
      </c>
      <c r="M234" s="11" t="n">
        <v>40500</v>
      </c>
      <c r="N234" s="11" t="n">
        <v>5400</v>
      </c>
      <c r="O234" s="11" t="n">
        <v>4500</v>
      </c>
      <c r="P234" s="11" t="n">
        <v>-900</v>
      </c>
    </row>
    <row r="235">
      <c r="A235" s="4" t="inlineStr">
        <is>
          <t>SKU120</t>
        </is>
      </c>
      <c r="B235" s="4" t="inlineStr">
        <is>
          <t>Cutter Blades 10pk</t>
        </is>
      </c>
      <c r="C235" s="4" t="inlineStr">
        <is>
          <t>Packaging &amp; Supplies</t>
        </is>
      </c>
      <c r="D235" s="4" t="inlineStr">
        <is>
          <t>WH01</t>
        </is>
      </c>
      <c r="E235" s="4" t="inlineStr">
        <is>
          <t>Gurugram DC</t>
        </is>
      </c>
      <c r="F235" s="4" t="inlineStr">
        <is>
          <t>North</t>
        </is>
      </c>
      <c r="G235" s="4" t="inlineStr">
        <is>
          <t>WH07</t>
        </is>
      </c>
      <c r="H235" s="4" t="inlineStr">
        <is>
          <t>Bengaluru DC</t>
        </is>
      </c>
      <c r="I235" s="4" t="inlineStr">
        <is>
          <t>South</t>
        </is>
      </c>
      <c r="J235" s="4" t="inlineStr">
        <is>
          <t>LOW</t>
        </is>
      </c>
      <c r="K235" s="11" t="n">
        <v>904</v>
      </c>
      <c r="L235" s="4" t="n">
        <v>0</v>
      </c>
      <c r="M235" s="11" t="n">
        <v>27120</v>
      </c>
      <c r="N235" s="11" t="n">
        <v>5424</v>
      </c>
      <c r="O235" s="11" t="n">
        <v>4520</v>
      </c>
      <c r="P235" s="11" t="n">
        <v>-904</v>
      </c>
    </row>
    <row r="236">
      <c r="A236" s="4" t="inlineStr">
        <is>
          <t>SKU043</t>
        </is>
      </c>
      <c r="B236" s="4" t="inlineStr">
        <is>
          <t>Soan Papdi 500g</t>
        </is>
      </c>
      <c r="C236" s="4" t="inlineStr">
        <is>
          <t>Snacks &amp; Confectionery</t>
        </is>
      </c>
      <c r="D236" s="4" t="inlineStr">
        <is>
          <t>WH12</t>
        </is>
      </c>
      <c r="E236" s="4" t="inlineStr">
        <is>
          <t>Nagpur DC</t>
        </is>
      </c>
      <c r="F236" s="4" t="inlineStr">
        <is>
          <t>Central</t>
        </is>
      </c>
      <c r="G236" s="4" t="inlineStr">
        <is>
          <t>WH10</t>
        </is>
      </c>
      <c r="H236" s="4" t="inlineStr">
        <is>
          <t>Kolkata DC</t>
        </is>
      </c>
      <c r="I236" s="4" t="inlineStr">
        <is>
          <t>East</t>
        </is>
      </c>
      <c r="J236" s="4" t="inlineStr">
        <is>
          <t>STOCKOUT</t>
        </is>
      </c>
      <c r="K236" s="11" t="n">
        <v>349</v>
      </c>
      <c r="L236" s="4" t="n">
        <v>0</v>
      </c>
      <c r="M236" s="11" t="n">
        <v>5235</v>
      </c>
      <c r="N236" s="11" t="n">
        <v>2094</v>
      </c>
      <c r="O236" s="11" t="n">
        <v>1047</v>
      </c>
      <c r="P236" s="11" t="n">
        <v>-1047</v>
      </c>
    </row>
    <row r="237">
      <c r="A237" s="4" t="inlineStr">
        <is>
          <t>SKU117</t>
        </is>
      </c>
      <c r="B237" s="4" t="inlineStr">
        <is>
          <t>Courier Bags 100pk</t>
        </is>
      </c>
      <c r="C237" s="4" t="inlineStr">
        <is>
          <t>Packaging &amp; Supplies</t>
        </is>
      </c>
      <c r="D237" s="4" t="inlineStr">
        <is>
          <t>WH01</t>
        </is>
      </c>
      <c r="E237" s="4" t="inlineStr">
        <is>
          <t>Gurugram DC</t>
        </is>
      </c>
      <c r="F237" s="4" t="inlineStr">
        <is>
          <t>North</t>
        </is>
      </c>
      <c r="G237" s="4" t="inlineStr">
        <is>
          <t>WH08</t>
        </is>
      </c>
      <c r="H237" s="4" t="inlineStr">
        <is>
          <t>Chennai DC</t>
        </is>
      </c>
      <c r="I237" s="4" t="inlineStr">
        <is>
          <t>South</t>
        </is>
      </c>
      <c r="J237" s="4" t="inlineStr">
        <is>
          <t>CRITICAL</t>
        </is>
      </c>
      <c r="K237" s="11" t="n">
        <v>684</v>
      </c>
      <c r="L237" s="4" t="n">
        <v>0</v>
      </c>
      <c r="M237" s="11" t="n">
        <v>14364</v>
      </c>
      <c r="N237" s="11" t="n">
        <v>4104</v>
      </c>
      <c r="O237" s="11" t="n">
        <v>2736</v>
      </c>
      <c r="P237" s="11" t="n">
        <v>-1368</v>
      </c>
    </row>
    <row r="238">
      <c r="A238" s="4" t="inlineStr">
        <is>
          <t>SKU117</t>
        </is>
      </c>
      <c r="B238" s="4" t="inlineStr">
        <is>
          <t>Courier Bags 100pk</t>
        </is>
      </c>
      <c r="C238" s="4" t="inlineStr">
        <is>
          <t>Packaging &amp; Supplies</t>
        </is>
      </c>
      <c r="D238" s="4" t="inlineStr">
        <is>
          <t>WH01</t>
        </is>
      </c>
      <c r="E238" s="4" t="inlineStr">
        <is>
          <t>Gurugram DC</t>
        </is>
      </c>
      <c r="F238" s="4" t="inlineStr">
        <is>
          <t>North</t>
        </is>
      </c>
      <c r="G238" s="4" t="inlineStr">
        <is>
          <t>WH07</t>
        </is>
      </c>
      <c r="H238" s="4" t="inlineStr">
        <is>
          <t>Bengaluru DC</t>
        </is>
      </c>
      <c r="I238" s="4" t="inlineStr">
        <is>
          <t>South</t>
        </is>
      </c>
      <c r="J238" s="4" t="inlineStr">
        <is>
          <t>LOW</t>
        </is>
      </c>
      <c r="K238" s="11" t="n">
        <v>961</v>
      </c>
      <c r="L238" s="4" t="n">
        <v>0</v>
      </c>
      <c r="M238" s="11" t="n">
        <v>20181</v>
      </c>
      <c r="N238" s="11" t="n">
        <v>5766</v>
      </c>
      <c r="O238" s="11" t="n">
        <v>3844</v>
      </c>
      <c r="P238" s="11" t="n">
        <v>-1922</v>
      </c>
    </row>
    <row r="239">
      <c r="A239" s="4" t="inlineStr">
        <is>
          <t>SKU035</t>
        </is>
      </c>
      <c r="B239" s="4" t="inlineStr">
        <is>
          <t>Chocolate Bar 40g</t>
        </is>
      </c>
      <c r="C239" s="4" t="inlineStr">
        <is>
          <t>Snacks &amp; Confectionery</t>
        </is>
      </c>
      <c r="D239" s="4" t="inlineStr">
        <is>
          <t>WH04</t>
        </is>
      </c>
      <c r="E239" s="4" t="inlineStr">
        <is>
          <t>Bhiwandi DC</t>
        </is>
      </c>
      <c r="F239" s="4" t="inlineStr">
        <is>
          <t>West</t>
        </is>
      </c>
      <c r="G239" s="4" t="inlineStr">
        <is>
          <t>WH03</t>
        </is>
      </c>
      <c r="H239" s="4" t="inlineStr">
        <is>
          <t>Lucknow DC</t>
        </is>
      </c>
      <c r="I239" s="4" t="inlineStr">
        <is>
          <t>North</t>
        </is>
      </c>
      <c r="J239" s="4" t="inlineStr">
        <is>
          <t>LOW</t>
        </is>
      </c>
      <c r="K239" s="11" t="n">
        <v>976</v>
      </c>
      <c r="L239" s="4" t="n">
        <v>0</v>
      </c>
      <c r="M239" s="11" t="n">
        <v>15616</v>
      </c>
      <c r="N239" s="11" t="n">
        <v>5856</v>
      </c>
      <c r="O239" s="11" t="n">
        <v>3904</v>
      </c>
      <c r="P239" s="11" t="n">
        <v>-1952</v>
      </c>
    </row>
    <row r="240">
      <c r="A240" s="4" t="inlineStr">
        <is>
          <t>SKU035</t>
        </is>
      </c>
      <c r="B240" s="4" t="inlineStr">
        <is>
          <t>Chocolate Bar 40g</t>
        </is>
      </c>
      <c r="C240" s="4" t="inlineStr">
        <is>
          <t>Snacks &amp; Confectionery</t>
        </is>
      </c>
      <c r="D240" s="4" t="inlineStr">
        <is>
          <t>WH04</t>
        </is>
      </c>
      <c r="E240" s="4" t="inlineStr">
        <is>
          <t>Bhiwandi DC</t>
        </is>
      </c>
      <c r="F240" s="4" t="inlineStr">
        <is>
          <t>West</t>
        </is>
      </c>
      <c r="G240" s="4" t="inlineStr">
        <is>
          <t>WH08</t>
        </is>
      </c>
      <c r="H240" s="4" t="inlineStr">
        <is>
          <t>Chennai DC</t>
        </is>
      </c>
      <c r="I240" s="4" t="inlineStr">
        <is>
          <t>South</t>
        </is>
      </c>
      <c r="J240" s="4" t="inlineStr">
        <is>
          <t>LOW</t>
        </is>
      </c>
      <c r="K240" s="11" t="n">
        <v>2269</v>
      </c>
      <c r="L240" s="4" t="n">
        <v>0</v>
      </c>
      <c r="M240" s="11" t="n">
        <v>36304</v>
      </c>
      <c r="N240" s="11" t="n">
        <v>13614</v>
      </c>
      <c r="O240" s="11" t="n">
        <v>9076</v>
      </c>
      <c r="P240" s="11" t="n">
        <v>-4538</v>
      </c>
    </row>
    <row r="241">
      <c r="A241" s="5" t="inlineStr">
        <is>
          <t>TOTAL</t>
        </is>
      </c>
      <c r="K241" s="7">
        <f>SUM(K5:K240)</f>
        <v/>
      </c>
      <c r="M241" s="7">
        <f>SUM(M5:M240)</f>
        <v/>
      </c>
      <c r="N241" s="7">
        <f>SUM(N5:N240)</f>
        <v/>
      </c>
      <c r="O241" s="7">
        <f>SUM(O5:O240)</f>
        <v/>
      </c>
      <c r="P241" s="7">
        <f>SUM(P5:P240)</f>
        <v/>
      </c>
    </row>
  </sheetData>
  <autoFilter ref="A4:P24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81"/>
  <sheetViews>
    <sheetView showGridLines="0" workbookViewId="0">
      <pane ySplit="21" topLeftCell="A2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.6" customWidth="1" min="2" max="2"/>
    <col width="11" customWidth="1" min="3" max="3"/>
    <col width="22" customWidth="1" min="4" max="4"/>
    <col width="11.9" customWidth="1" min="5" max="5"/>
    <col width="13.7" customWidth="1" min="6" max="6"/>
    <col width="15.5" customWidth="1" min="7" max="7"/>
    <col width="11" customWidth="1" min="8" max="8"/>
    <col width="12.8" customWidth="1" min="9" max="9"/>
    <col width="11" customWidth="1" min="10" max="10"/>
    <col width="20" customWidth="1" min="11" max="11"/>
    <col width="31.7" customWidth="1" min="12" max="12"/>
    <col width="13.7" customWidth="1" min="13" max="13"/>
    <col width="14.6" customWidth="1" min="14" max="14"/>
    <col width="35" customWidth="1" min="15" max="15"/>
  </cols>
  <sheetData>
    <row r="1">
      <c r="A1" s="1" t="inlineStr">
        <is>
          <t>Asset waste root-cause analysis (Oct-2024 to Sep-2026)</t>
        </is>
      </c>
    </row>
    <row r="2">
      <c r="A2" s="2" t="inlineStr">
        <is>
          <t>Source: sp_asset_waste_rca. surplus_assets &gt; 0 = over-provisioned; &lt; 0 = shortfall.</t>
        </is>
      </c>
    </row>
    <row r="4" ht="30" customHeight="1">
      <c r="A4" s="18" t="inlineStr">
        <is>
          <t>warehouse_id</t>
        </is>
      </c>
      <c r="B4" s="18" t="inlineStr">
        <is>
          <t>warehouse_name</t>
        </is>
      </c>
      <c r="C4" s="18" t="inlineStr">
        <is>
          <t>region</t>
        </is>
      </c>
      <c r="D4" s="18" t="inlineStr">
        <is>
          <t>assets</t>
        </is>
      </c>
      <c r="E4" s="18" t="inlineStr">
        <is>
          <t>utilisation_pct</t>
        </is>
      </c>
      <c r="F4" s="18" t="inlineStr">
        <is>
          <t>idle_pct</t>
        </is>
      </c>
      <c r="G4" s="18" t="inlineStr">
        <is>
          <t>downtime_pct</t>
        </is>
      </c>
      <c r="H4" s="18" t="inlineStr">
        <is>
          <t>breakdowns</t>
        </is>
      </c>
      <c r="I4" s="18" t="inlineStr">
        <is>
          <t>maintenance_cost_inr</t>
        </is>
      </c>
      <c r="J4" s="18" t="inlineStr">
        <is>
          <t>idle_cost_inr</t>
        </is>
      </c>
      <c r="K4" s="18" t="inlineStr">
        <is>
          <t>net_surplus_assets</t>
        </is>
      </c>
    </row>
    <row r="5">
      <c r="A5" s="4" t="inlineStr">
        <is>
          <t>WH05</t>
        </is>
      </c>
      <c r="B5" s="4" t="inlineStr">
        <is>
          <t>Pune DC</t>
        </is>
      </c>
      <c r="C5" s="4" t="inlineStr">
        <is>
          <t>West</t>
        </is>
      </c>
      <c r="D5" s="4" t="n">
        <v>41</v>
      </c>
      <c r="E5" s="20" t="n">
        <v>35.5</v>
      </c>
      <c r="F5" s="20" t="n">
        <v>60.5</v>
      </c>
      <c r="G5" s="20" t="n">
        <v>4</v>
      </c>
      <c r="H5" s="4" t="n">
        <v>695</v>
      </c>
      <c r="I5" s="11" t="n">
        <v>32331783</v>
      </c>
      <c r="J5" s="11" t="n">
        <v>16232912</v>
      </c>
      <c r="K5" s="4" t="n">
        <v>20</v>
      </c>
    </row>
    <row r="6">
      <c r="A6" s="4" t="inlineStr">
        <is>
          <t>WH02</t>
        </is>
      </c>
      <c r="B6" s="4" t="inlineStr">
        <is>
          <t>Jaipur DC</t>
        </is>
      </c>
      <c r="C6" s="4" t="inlineStr">
        <is>
          <t>North</t>
        </is>
      </c>
      <c r="D6" s="4" t="n">
        <v>23</v>
      </c>
      <c r="E6" s="20" t="n">
        <v>40.9</v>
      </c>
      <c r="F6" s="20" t="n">
        <v>54.2</v>
      </c>
      <c r="G6" s="20" t="n">
        <v>4.8</v>
      </c>
      <c r="H6" s="4" t="n">
        <v>499</v>
      </c>
      <c r="I6" s="11" t="n">
        <v>21055387</v>
      </c>
      <c r="J6" s="11" t="n">
        <v>8283572</v>
      </c>
      <c r="K6" s="4" t="n">
        <v>10</v>
      </c>
    </row>
    <row r="7">
      <c r="A7" s="4" t="inlineStr">
        <is>
          <t>WH04</t>
        </is>
      </c>
      <c r="B7" s="4" t="inlineStr">
        <is>
          <t>Bhiwandi DC</t>
        </is>
      </c>
      <c r="C7" s="4" t="inlineStr">
        <is>
          <t>West</t>
        </is>
      </c>
      <c r="D7" s="4" t="n">
        <v>41</v>
      </c>
      <c r="E7" s="20" t="n">
        <v>70.7</v>
      </c>
      <c r="F7" s="20" t="n">
        <v>24.6</v>
      </c>
      <c r="G7" s="20" t="n">
        <v>4.7</v>
      </c>
      <c r="H7" s="4" t="n">
        <v>782</v>
      </c>
      <c r="I7" s="11" t="n">
        <v>34600578</v>
      </c>
      <c r="J7" s="11" t="n">
        <v>6632178</v>
      </c>
      <c r="K7" s="4" t="n">
        <v>0</v>
      </c>
    </row>
    <row r="8">
      <c r="A8" s="4" t="inlineStr">
        <is>
          <t>WH07</t>
        </is>
      </c>
      <c r="B8" s="4" t="inlineStr">
        <is>
          <t>Bengaluru DC</t>
        </is>
      </c>
      <c r="C8" s="4" t="inlineStr">
        <is>
          <t>South</t>
        </is>
      </c>
      <c r="D8" s="4" t="n">
        <v>33</v>
      </c>
      <c r="E8" s="20" t="n">
        <v>69.3</v>
      </c>
      <c r="F8" s="20" t="n">
        <v>26.3</v>
      </c>
      <c r="G8" s="20" t="n">
        <v>4.4</v>
      </c>
      <c r="H8" s="4" t="n">
        <v>565</v>
      </c>
      <c r="I8" s="11" t="n">
        <v>25346191</v>
      </c>
      <c r="J8" s="11" t="n">
        <v>5613195</v>
      </c>
      <c r="K8" s="4" t="n">
        <v>0</v>
      </c>
    </row>
    <row r="9">
      <c r="A9" s="4" t="inlineStr">
        <is>
          <t>WH09</t>
        </is>
      </c>
      <c r="B9" s="4" t="inlineStr">
        <is>
          <t>Hyderabad DC</t>
        </is>
      </c>
      <c r="C9" s="4" t="inlineStr">
        <is>
          <t>South</t>
        </is>
      </c>
      <c r="D9" s="4" t="n">
        <v>27</v>
      </c>
      <c r="E9" s="20" t="n">
        <v>71.7</v>
      </c>
      <c r="F9" s="20" t="n">
        <v>23.7</v>
      </c>
      <c r="G9" s="20" t="n">
        <v>4.6</v>
      </c>
      <c r="H9" s="4" t="n">
        <v>505</v>
      </c>
      <c r="I9" s="11" t="n">
        <v>23061818</v>
      </c>
      <c r="J9" s="11" t="n">
        <v>4460277</v>
      </c>
      <c r="K9" s="4" t="n">
        <v>0</v>
      </c>
    </row>
    <row r="10">
      <c r="A10" s="4" t="inlineStr">
        <is>
          <t>WH01</t>
        </is>
      </c>
      <c r="B10" s="4" t="inlineStr">
        <is>
          <t>Gurugram DC</t>
        </is>
      </c>
      <c r="C10" s="4" t="inlineStr">
        <is>
          <t>North</t>
        </is>
      </c>
      <c r="D10" s="4" t="n">
        <v>27</v>
      </c>
      <c r="E10" s="20" t="n">
        <v>73.3</v>
      </c>
      <c r="F10" s="20" t="n">
        <v>22.1</v>
      </c>
      <c r="G10" s="20" t="n">
        <v>4.6</v>
      </c>
      <c r="H10" s="4" t="n">
        <v>523</v>
      </c>
      <c r="I10" s="11" t="n">
        <v>22301448</v>
      </c>
      <c r="J10" s="11" t="n">
        <v>4090603</v>
      </c>
      <c r="K10" s="4" t="n">
        <v>0</v>
      </c>
    </row>
    <row r="11">
      <c r="A11" s="4" t="inlineStr">
        <is>
          <t>WH10</t>
        </is>
      </c>
      <c r="B11" s="4" t="inlineStr">
        <is>
          <t>Kolkata DC</t>
        </is>
      </c>
      <c r="C11" s="4" t="inlineStr">
        <is>
          <t>East</t>
        </is>
      </c>
      <c r="D11" s="4" t="n">
        <v>26</v>
      </c>
      <c r="E11" s="20" t="n">
        <v>68.40000000000001</v>
      </c>
      <c r="F11" s="20" t="n">
        <v>22.9</v>
      </c>
      <c r="G11" s="20" t="n">
        <v>8.800000000000001</v>
      </c>
      <c r="H11" s="4" t="n">
        <v>1032</v>
      </c>
      <c r="I11" s="11" t="n">
        <v>41121117</v>
      </c>
      <c r="J11" s="11" t="n">
        <v>3871535</v>
      </c>
      <c r="K11" s="4" t="n">
        <v>0</v>
      </c>
    </row>
    <row r="12">
      <c r="A12" s="4" t="inlineStr">
        <is>
          <t>WH06</t>
        </is>
      </c>
      <c r="B12" s="4" t="inlineStr">
        <is>
          <t>Ahmedabad DC</t>
        </is>
      </c>
      <c r="C12" s="4" t="inlineStr">
        <is>
          <t>West</t>
        </is>
      </c>
      <c r="D12" s="4" t="n">
        <v>23</v>
      </c>
      <c r="E12" s="20" t="n">
        <v>70</v>
      </c>
      <c r="F12" s="20" t="n">
        <v>26</v>
      </c>
      <c r="G12" s="20" t="n">
        <v>3.9</v>
      </c>
      <c r="H12" s="4" t="n">
        <v>334</v>
      </c>
      <c r="I12" s="11" t="n">
        <v>15310732</v>
      </c>
      <c r="J12" s="11" t="n">
        <v>3783951</v>
      </c>
      <c r="K12" s="4" t="n">
        <v>0</v>
      </c>
    </row>
    <row r="13">
      <c r="A13" s="4" t="inlineStr">
        <is>
          <t>WH03</t>
        </is>
      </c>
      <c r="B13" s="4" t="inlineStr">
        <is>
          <t>Lucknow DC</t>
        </is>
      </c>
      <c r="C13" s="4" t="inlineStr">
        <is>
          <t>North</t>
        </is>
      </c>
      <c r="D13" s="4" t="n">
        <v>16</v>
      </c>
      <c r="E13" s="20" t="n">
        <v>68.8</v>
      </c>
      <c r="F13" s="20" t="n">
        <v>23.1</v>
      </c>
      <c r="G13" s="20" t="n">
        <v>8.1</v>
      </c>
      <c r="H13" s="4" t="n">
        <v>553</v>
      </c>
      <c r="I13" s="11" t="n">
        <v>21998147</v>
      </c>
      <c r="J13" s="11" t="n">
        <v>2298009</v>
      </c>
      <c r="K13" s="4" t="n">
        <v>0</v>
      </c>
    </row>
    <row r="14">
      <c r="A14" s="4" t="inlineStr">
        <is>
          <t>WH12</t>
        </is>
      </c>
      <c r="B14" s="4" t="inlineStr">
        <is>
          <t>Nagpur DC</t>
        </is>
      </c>
      <c r="C14" s="4" t="inlineStr">
        <is>
          <t>Central</t>
        </is>
      </c>
      <c r="D14" s="4" t="n">
        <v>13</v>
      </c>
      <c r="E14" s="20" t="n">
        <v>68.09999999999999</v>
      </c>
      <c r="F14" s="20" t="n">
        <v>27</v>
      </c>
      <c r="G14" s="20" t="n">
        <v>4.9</v>
      </c>
      <c r="H14" s="4" t="n">
        <v>250</v>
      </c>
      <c r="I14" s="11" t="n">
        <v>11332274</v>
      </c>
      <c r="J14" s="11" t="n">
        <v>2184267</v>
      </c>
      <c r="K14" s="4" t="n">
        <v>0</v>
      </c>
    </row>
    <row r="15">
      <c r="A15" s="4" t="inlineStr">
        <is>
          <t>WH11</t>
        </is>
      </c>
      <c r="B15" s="4" t="inlineStr">
        <is>
          <t>Guwahati DC</t>
        </is>
      </c>
      <c r="C15" s="4" t="inlineStr">
        <is>
          <t>East</t>
        </is>
      </c>
      <c r="D15" s="4" t="n">
        <v>7</v>
      </c>
      <c r="E15" s="20" t="n">
        <v>83.40000000000001</v>
      </c>
      <c r="F15" s="20" t="n">
        <v>11.2</v>
      </c>
      <c r="G15" s="20" t="n">
        <v>5.3</v>
      </c>
      <c r="H15" s="4" t="n">
        <v>179</v>
      </c>
      <c r="I15" s="11" t="n">
        <v>8772577</v>
      </c>
      <c r="J15" s="11" t="n">
        <v>502713</v>
      </c>
      <c r="K15" s="4" t="n">
        <v>-1</v>
      </c>
    </row>
    <row r="16">
      <c r="A16" s="4" t="inlineStr">
        <is>
          <t>WH08</t>
        </is>
      </c>
      <c r="B16" s="4" t="inlineStr">
        <is>
          <t>Chennai DC</t>
        </is>
      </c>
      <c r="C16" s="4" t="inlineStr">
        <is>
          <t>South</t>
        </is>
      </c>
      <c r="D16" s="4" t="n">
        <v>14</v>
      </c>
      <c r="E16" s="20" t="n">
        <v>93.09999999999999</v>
      </c>
      <c r="F16" s="20" t="n">
        <v>0.5</v>
      </c>
      <c r="G16" s="20" t="n">
        <v>6.4</v>
      </c>
      <c r="H16" s="4" t="n">
        <v>431</v>
      </c>
      <c r="I16" s="11" t="n">
        <v>17932158</v>
      </c>
      <c r="J16" s="11" t="n">
        <v>77079</v>
      </c>
      <c r="K16" s="4" t="n">
        <v>-4</v>
      </c>
    </row>
    <row r="17">
      <c r="A17" s="5" t="inlineStr">
        <is>
          <t>NETWORK</t>
        </is>
      </c>
      <c r="D17" s="7">
        <f>SUM(D5:D16)</f>
        <v/>
      </c>
      <c r="H17" s="7">
        <f>SUM(H5:H16)</f>
        <v/>
      </c>
      <c r="I17" s="7">
        <f>SUM(I5:I16)</f>
        <v/>
      </c>
      <c r="J17" s="7">
        <f>SUM(J5:J16)</f>
        <v/>
      </c>
      <c r="K17" s="7">
        <f>SUM(K5:K16)</f>
        <v/>
      </c>
    </row>
    <row r="20">
      <c r="A20" s="5" t="inlineStr">
        <is>
          <t>Detail by warehouse and asset type</t>
        </is>
      </c>
    </row>
    <row r="21" ht="30" customHeight="1">
      <c r="A21" s="18" t="inlineStr">
        <is>
          <t>warehouse_id</t>
        </is>
      </c>
      <c r="B21" s="18" t="inlineStr">
        <is>
          <t>warehouse_name</t>
        </is>
      </c>
      <c r="C21" s="18" t="inlineStr">
        <is>
          <t>region</t>
        </is>
      </c>
      <c r="D21" s="18" t="inlineStr">
        <is>
          <t>asset_type</t>
        </is>
      </c>
      <c r="E21" s="18" t="inlineStr">
        <is>
          <t>asset_count</t>
        </is>
      </c>
      <c r="F21" s="18" t="inlineStr">
        <is>
          <t>avg_age_years</t>
        </is>
      </c>
      <c r="G21" s="18" t="inlineStr">
        <is>
          <t>utilisation_pct</t>
        </is>
      </c>
      <c r="H21" s="18" t="inlineStr">
        <is>
          <t>idle_pct</t>
        </is>
      </c>
      <c r="I21" s="18" t="inlineStr">
        <is>
          <t>downtime_pct</t>
        </is>
      </c>
      <c r="J21" s="18" t="inlineStr">
        <is>
          <t>breakdowns</t>
        </is>
      </c>
      <c r="K21" s="18" t="inlineStr">
        <is>
          <t>maintenance_cost_inr</t>
        </is>
      </c>
      <c r="L21" s="18" t="inlineStr">
        <is>
          <t>maintenance_cost_per_run_hour_inr</t>
        </is>
      </c>
      <c r="M21" s="18" t="inlineStr">
        <is>
          <t>idle_cost_inr</t>
        </is>
      </c>
      <c r="N21" s="18" t="inlineStr">
        <is>
          <t>surplus_assets</t>
        </is>
      </c>
      <c r="O21" s="18" t="inlineStr">
        <is>
          <t>diagnosis</t>
        </is>
      </c>
    </row>
    <row r="22">
      <c r="A22" s="4" t="inlineStr">
        <is>
          <t>WH01</t>
        </is>
      </c>
      <c r="B22" s="4" t="inlineStr">
        <is>
          <t>Gurugram DC</t>
        </is>
      </c>
      <c r="C22" s="4" t="inlineStr">
        <is>
          <t>North</t>
        </is>
      </c>
      <c r="D22" s="4" t="inlineStr">
        <is>
          <t>Conveyor Line</t>
        </is>
      </c>
      <c r="E22" s="4" t="n">
        <v>2</v>
      </c>
      <c r="F22" s="13" t="n">
        <v>2.4</v>
      </c>
      <c r="G22" s="20" t="n">
        <v>85.3</v>
      </c>
      <c r="H22" s="20" t="n">
        <v>11.5</v>
      </c>
      <c r="I22" s="20" t="n">
        <v>3.1</v>
      </c>
      <c r="J22" s="4" t="n">
        <v>18</v>
      </c>
      <c r="K22" s="11" t="n">
        <v>1624772</v>
      </c>
      <c r="L22" s="11" t="n">
        <v>79.3</v>
      </c>
      <c r="M22" s="11" t="n">
        <v>115651</v>
      </c>
      <c r="N22" s="4" t="n">
        <v>0</v>
      </c>
      <c r="O22" s="4" t="inlineStr">
        <is>
          <t>OK</t>
        </is>
      </c>
    </row>
    <row r="23">
      <c r="A23" s="4" t="inlineStr">
        <is>
          <t>WH01</t>
        </is>
      </c>
      <c r="B23" s="4" t="inlineStr">
        <is>
          <t>Gurugram DC</t>
        </is>
      </c>
      <c r="C23" s="4" t="inlineStr">
        <is>
          <t>North</t>
        </is>
      </c>
      <c r="D23" s="4" t="inlineStr">
        <is>
          <t>Delivery Truck</t>
        </is>
      </c>
      <c r="E23" s="4" t="n">
        <v>7</v>
      </c>
      <c r="F23" s="13" t="n">
        <v>5.9</v>
      </c>
      <c r="G23" s="20" t="n">
        <v>69.40000000000001</v>
      </c>
      <c r="H23" s="20" t="n">
        <v>25.6</v>
      </c>
      <c r="I23" s="20" t="n">
        <v>5</v>
      </c>
      <c r="J23" s="4" t="n">
        <v>143</v>
      </c>
      <c r="K23" s="11" t="n">
        <v>7841431</v>
      </c>
      <c r="L23" s="11" t="n">
        <v>224.2</v>
      </c>
      <c r="M23" s="11" t="n">
        <v>1606866</v>
      </c>
      <c r="N23" s="4" t="n">
        <v>0</v>
      </c>
      <c r="O23" s="4" t="inlineStr">
        <is>
          <t>OK</t>
        </is>
      </c>
    </row>
    <row r="24">
      <c r="A24" s="4" t="inlineStr">
        <is>
          <t>WH01</t>
        </is>
      </c>
      <c r="B24" s="4" t="inlineStr">
        <is>
          <t>Gurugram DC</t>
        </is>
      </c>
      <c r="C24" s="4" t="inlineStr">
        <is>
          <t>North</t>
        </is>
      </c>
      <c r="D24" s="4" t="inlineStr">
        <is>
          <t>Electric Pallet Jack</t>
        </is>
      </c>
      <c r="E24" s="4" t="n">
        <v>8</v>
      </c>
      <c r="F24" s="13" t="n">
        <v>4.9</v>
      </c>
      <c r="G24" s="20" t="n">
        <v>72.7</v>
      </c>
      <c r="H24" s="20" t="n">
        <v>22.9</v>
      </c>
      <c r="I24" s="20" t="n">
        <v>4.4</v>
      </c>
      <c r="J24" s="4" t="n">
        <v>152</v>
      </c>
      <c r="K24" s="11" t="n">
        <v>2405801</v>
      </c>
      <c r="L24" s="11" t="n">
        <v>43.1</v>
      </c>
      <c r="M24" s="11" t="n">
        <v>641913</v>
      </c>
      <c r="N24" s="4" t="n">
        <v>0</v>
      </c>
      <c r="O24" s="4" t="inlineStr">
        <is>
          <t>OK</t>
        </is>
      </c>
    </row>
    <row r="25">
      <c r="A25" s="4" t="inlineStr">
        <is>
          <t>WH01</t>
        </is>
      </c>
      <c r="B25" s="4" t="inlineStr">
        <is>
          <t>Gurugram DC</t>
        </is>
      </c>
      <c r="C25" s="4" t="inlineStr">
        <is>
          <t>North</t>
        </is>
      </c>
      <c r="D25" s="4" t="inlineStr">
        <is>
          <t>Forklift (Electric)</t>
        </is>
      </c>
      <c r="E25" s="4" t="n">
        <v>6</v>
      </c>
      <c r="F25" s="13" t="n">
        <v>6.1</v>
      </c>
      <c r="G25" s="20" t="n">
        <v>72.8</v>
      </c>
      <c r="H25" s="20" t="n">
        <v>22</v>
      </c>
      <c r="I25" s="20" t="n">
        <v>5.2</v>
      </c>
      <c r="J25" s="4" t="n">
        <v>138</v>
      </c>
      <c r="K25" s="11" t="n">
        <v>5533554</v>
      </c>
      <c r="L25" s="11" t="n">
        <v>132</v>
      </c>
      <c r="M25" s="11" t="n">
        <v>837573</v>
      </c>
      <c r="N25" s="4" t="n">
        <v>0</v>
      </c>
      <c r="O25" s="4" t="inlineStr">
        <is>
          <t>OK</t>
        </is>
      </c>
    </row>
    <row r="26">
      <c r="A26" s="4" t="inlineStr">
        <is>
          <t>WH01</t>
        </is>
      </c>
      <c r="B26" s="4" t="inlineStr">
        <is>
          <t>Gurugram DC</t>
        </is>
      </c>
      <c r="C26" s="4" t="inlineStr">
        <is>
          <t>North</t>
        </is>
      </c>
      <c r="D26" s="4" t="inlineStr">
        <is>
          <t>Reach Truck</t>
        </is>
      </c>
      <c r="E26" s="4" t="n">
        <v>4</v>
      </c>
      <c r="F26" s="13" t="n">
        <v>5</v>
      </c>
      <c r="G26" s="20" t="n">
        <v>72.90000000000001</v>
      </c>
      <c r="H26" s="20" t="n">
        <v>22.7</v>
      </c>
      <c r="I26" s="20" t="n">
        <v>4.4</v>
      </c>
      <c r="J26" s="4" t="n">
        <v>72</v>
      </c>
      <c r="K26" s="11" t="n">
        <v>4895890</v>
      </c>
      <c r="L26" s="11" t="n">
        <v>175</v>
      </c>
      <c r="M26" s="11" t="n">
        <v>888600</v>
      </c>
      <c r="N26" s="4" t="n">
        <v>0</v>
      </c>
      <c r="O26" s="4" t="inlineStr">
        <is>
          <t>OK</t>
        </is>
      </c>
    </row>
    <row r="27">
      <c r="A27" s="4" t="inlineStr">
        <is>
          <t>WH02</t>
        </is>
      </c>
      <c r="B27" s="4" t="inlineStr">
        <is>
          <t>Jaipur DC</t>
        </is>
      </c>
      <c r="C27" s="4" t="inlineStr">
        <is>
          <t>North</t>
        </is>
      </c>
      <c r="D27" s="4" t="inlineStr">
        <is>
          <t>Conveyor Line</t>
        </is>
      </c>
      <c r="E27" s="4" t="n">
        <v>2</v>
      </c>
      <c r="F27" s="13" t="n">
        <v>3.7</v>
      </c>
      <c r="G27" s="20" t="n">
        <v>41.9</v>
      </c>
      <c r="H27" s="20" t="n">
        <v>54.4</v>
      </c>
      <c r="I27" s="20" t="n">
        <v>3.6</v>
      </c>
      <c r="J27" s="4" t="n">
        <v>28</v>
      </c>
      <c r="K27" s="11" t="n">
        <v>2315655</v>
      </c>
      <c r="L27" s="11" t="n">
        <v>230.1</v>
      </c>
      <c r="M27" s="11" t="n">
        <v>679771</v>
      </c>
      <c r="N27" s="4" t="n">
        <v>1</v>
      </c>
      <c r="O27" s="4" t="inlineStr">
        <is>
          <t>OVER-PROVISIONED (idle capacity)</t>
        </is>
      </c>
    </row>
    <row r="28">
      <c r="A28" s="4" t="inlineStr">
        <is>
          <t>WH02</t>
        </is>
      </c>
      <c r="B28" s="4" t="inlineStr">
        <is>
          <t>Jaipur DC</t>
        </is>
      </c>
      <c r="C28" s="4" t="inlineStr">
        <is>
          <t>North</t>
        </is>
      </c>
      <c r="D28" s="4" t="inlineStr">
        <is>
          <t>Delivery Truck</t>
        </is>
      </c>
      <c r="E28" s="4" t="n">
        <v>6</v>
      </c>
      <c r="F28" s="13" t="n">
        <v>5</v>
      </c>
      <c r="G28" s="20" t="n">
        <v>38.6</v>
      </c>
      <c r="H28" s="20" t="n">
        <v>56.9</v>
      </c>
      <c r="I28" s="20" t="n">
        <v>4.5</v>
      </c>
      <c r="J28" s="4" t="n">
        <v>120</v>
      </c>
      <c r="K28" s="11" t="n">
        <v>6825987</v>
      </c>
      <c r="L28" s="11" t="n">
        <v>409.9</v>
      </c>
      <c r="M28" s="11" t="n">
        <v>3179074</v>
      </c>
      <c r="N28" s="4" t="n">
        <v>3</v>
      </c>
      <c r="O28" s="4" t="inlineStr">
        <is>
          <t>OVER-PROVISIONED (idle capacity)</t>
        </is>
      </c>
    </row>
    <row r="29">
      <c r="A29" s="4" t="inlineStr">
        <is>
          <t>WH02</t>
        </is>
      </c>
      <c r="B29" s="4" t="inlineStr">
        <is>
          <t>Jaipur DC</t>
        </is>
      </c>
      <c r="C29" s="4" t="inlineStr">
        <is>
          <t>North</t>
        </is>
      </c>
      <c r="D29" s="4" t="inlineStr">
        <is>
          <t>Electric Pallet Jack</t>
        </is>
      </c>
      <c r="E29" s="4" t="n">
        <v>7</v>
      </c>
      <c r="F29" s="13" t="n">
        <v>5.2</v>
      </c>
      <c r="G29" s="20" t="n">
        <v>39.5</v>
      </c>
      <c r="H29" s="20" t="n">
        <v>55.9</v>
      </c>
      <c r="I29" s="20" t="n">
        <v>4.6</v>
      </c>
      <c r="J29" s="4" t="n">
        <v>149</v>
      </c>
      <c r="K29" s="11" t="n">
        <v>2212594</v>
      </c>
      <c r="L29" s="11" t="n">
        <v>83.3</v>
      </c>
      <c r="M29" s="11" t="n">
        <v>1384735</v>
      </c>
      <c r="N29" s="4" t="n">
        <v>3</v>
      </c>
      <c r="O29" s="4" t="inlineStr">
        <is>
          <t>OVER-PROVISIONED (idle capacity)</t>
        </is>
      </c>
    </row>
    <row r="30">
      <c r="A30" s="4" t="inlineStr">
        <is>
          <t>WH02</t>
        </is>
      </c>
      <c r="B30" s="4" t="inlineStr">
        <is>
          <t>Jaipur DC</t>
        </is>
      </c>
      <c r="C30" s="4" t="inlineStr">
        <is>
          <t>North</t>
        </is>
      </c>
      <c r="D30" s="4" t="inlineStr">
        <is>
          <t>Forklift (Electric)</t>
        </is>
      </c>
      <c r="E30" s="4" t="n">
        <v>5</v>
      </c>
      <c r="F30" s="13" t="n">
        <v>7.1</v>
      </c>
      <c r="G30" s="20" t="n">
        <v>41.7</v>
      </c>
      <c r="H30" s="20" t="n">
        <v>52.7</v>
      </c>
      <c r="I30" s="20" t="n">
        <v>5.6</v>
      </c>
      <c r="J30" s="4" t="n">
        <v>135</v>
      </c>
      <c r="K30" s="11" t="n">
        <v>5268378</v>
      </c>
      <c r="L30" s="11" t="n">
        <v>263.4</v>
      </c>
      <c r="M30" s="11" t="n">
        <v>1597765</v>
      </c>
      <c r="N30" s="4" t="n">
        <v>2</v>
      </c>
      <c r="O30" s="4" t="inlineStr">
        <is>
          <t>OVER-PROVISIONED (idle capacity)</t>
        </is>
      </c>
    </row>
    <row r="31">
      <c r="A31" s="4" t="inlineStr">
        <is>
          <t>WH02</t>
        </is>
      </c>
      <c r="B31" s="4" t="inlineStr">
        <is>
          <t>Jaipur DC</t>
        </is>
      </c>
      <c r="C31" s="4" t="inlineStr">
        <is>
          <t>North</t>
        </is>
      </c>
      <c r="D31" s="4" t="inlineStr">
        <is>
          <t>Reach Truck</t>
        </is>
      </c>
      <c r="E31" s="4" t="n">
        <v>3</v>
      </c>
      <c r="F31" s="13" t="n">
        <v>7.3</v>
      </c>
      <c r="G31" s="20" t="n">
        <v>45.8</v>
      </c>
      <c r="H31" s="20" t="n">
        <v>48.5</v>
      </c>
      <c r="I31" s="20" t="n">
        <v>5.7</v>
      </c>
      <c r="J31" s="4" t="n">
        <v>67</v>
      </c>
      <c r="K31" s="11" t="n">
        <v>4432773</v>
      </c>
      <c r="L31" s="11" t="n">
        <v>336.4</v>
      </c>
      <c r="M31" s="11" t="n">
        <v>1442227</v>
      </c>
      <c r="N31" s="4" t="n">
        <v>1</v>
      </c>
      <c r="O31" s="4" t="inlineStr">
        <is>
          <t>OVER-PROVISIONED (idle capacity)</t>
        </is>
      </c>
    </row>
    <row r="32">
      <c r="A32" s="4" t="inlineStr">
        <is>
          <t>WH03</t>
        </is>
      </c>
      <c r="B32" s="4" t="inlineStr">
        <is>
          <t>Lucknow DC</t>
        </is>
      </c>
      <c r="C32" s="4" t="inlineStr">
        <is>
          <t>North</t>
        </is>
      </c>
      <c r="D32" s="4" t="inlineStr">
        <is>
          <t>Conveyor Line</t>
        </is>
      </c>
      <c r="E32" s="4" t="n">
        <v>1</v>
      </c>
      <c r="F32" s="13" t="n">
        <v>10.2</v>
      </c>
      <c r="G32" s="20" t="n">
        <v>88.8</v>
      </c>
      <c r="H32" s="20" t="n">
        <v>3.1</v>
      </c>
      <c r="I32" s="20" t="n">
        <v>8.1</v>
      </c>
      <c r="J32" s="4" t="n">
        <v>33</v>
      </c>
      <c r="K32" s="11" t="n">
        <v>2198833</v>
      </c>
      <c r="L32" s="11" t="n">
        <v>206.4</v>
      </c>
      <c r="M32" s="11" t="n">
        <v>19484</v>
      </c>
      <c r="N32" s="4" t="n">
        <v>0</v>
      </c>
      <c r="O32" s="4" t="inlineStr">
        <is>
          <t>RELIABILITY (ageing / breakdowns)</t>
        </is>
      </c>
    </row>
    <row r="33">
      <c r="A33" s="4" t="inlineStr">
        <is>
          <t>WH03</t>
        </is>
      </c>
      <c r="B33" s="4" t="inlineStr">
        <is>
          <t>Lucknow DC</t>
        </is>
      </c>
      <c r="C33" s="4" t="inlineStr">
        <is>
          <t>North</t>
        </is>
      </c>
      <c r="D33" s="4" t="inlineStr">
        <is>
          <t>Delivery Truck</t>
        </is>
      </c>
      <c r="E33" s="4" t="n">
        <v>4</v>
      </c>
      <c r="F33" s="13" t="n">
        <v>11.4</v>
      </c>
      <c r="G33" s="20" t="n">
        <v>68.40000000000001</v>
      </c>
      <c r="H33" s="20" t="n">
        <v>23.3</v>
      </c>
      <c r="I33" s="20" t="n">
        <v>8.300000000000001</v>
      </c>
      <c r="J33" s="4" t="n">
        <v>152</v>
      </c>
      <c r="K33" s="11" t="n">
        <v>7862194</v>
      </c>
      <c r="L33" s="11" t="n">
        <v>399.1</v>
      </c>
      <c r="M33" s="11" t="n">
        <v>802589</v>
      </c>
      <c r="N33" s="4" t="n">
        <v>0</v>
      </c>
      <c r="O33" s="4" t="inlineStr">
        <is>
          <t>RELIABILITY (ageing / breakdowns)</t>
        </is>
      </c>
    </row>
    <row r="34">
      <c r="A34" s="4" t="inlineStr">
        <is>
          <t>WH03</t>
        </is>
      </c>
      <c r="B34" s="4" t="inlineStr">
        <is>
          <t>Lucknow DC</t>
        </is>
      </c>
      <c r="C34" s="4" t="inlineStr">
        <is>
          <t>North</t>
        </is>
      </c>
      <c r="D34" s="4" t="inlineStr">
        <is>
          <t>Electric Pallet Jack</t>
        </is>
      </c>
      <c r="E34" s="4" t="n">
        <v>5</v>
      </c>
      <c r="F34" s="13" t="n">
        <v>10.6</v>
      </c>
      <c r="G34" s="20" t="n">
        <v>65.40000000000001</v>
      </c>
      <c r="H34" s="20" t="n">
        <v>26.9</v>
      </c>
      <c r="I34" s="20" t="n">
        <v>7.7</v>
      </c>
      <c r="J34" s="4" t="n">
        <v>161</v>
      </c>
      <c r="K34" s="11" t="n">
        <v>2312188</v>
      </c>
      <c r="L34" s="11" t="n">
        <v>73.7</v>
      </c>
      <c r="M34" s="11" t="n">
        <v>472608</v>
      </c>
      <c r="N34" s="4" t="n">
        <v>0</v>
      </c>
      <c r="O34" s="4" t="inlineStr">
        <is>
          <t>RELIABILITY (ageing / breakdowns)</t>
        </is>
      </c>
    </row>
    <row r="35">
      <c r="A35" s="4" t="inlineStr">
        <is>
          <t>WH03</t>
        </is>
      </c>
      <c r="B35" s="4" t="inlineStr">
        <is>
          <t>Lucknow DC</t>
        </is>
      </c>
      <c r="C35" s="4" t="inlineStr">
        <is>
          <t>North</t>
        </is>
      </c>
      <c r="D35" s="4" t="inlineStr">
        <is>
          <t>Forklift (Electric)</t>
        </is>
      </c>
      <c r="E35" s="4" t="n">
        <v>4</v>
      </c>
      <c r="F35" s="13" t="n">
        <v>11.6</v>
      </c>
      <c r="G35" s="20" t="n">
        <v>61.4</v>
      </c>
      <c r="H35" s="20" t="n">
        <v>30.2</v>
      </c>
      <c r="I35" s="20" t="n">
        <v>8.4</v>
      </c>
      <c r="J35" s="4" t="n">
        <v>141</v>
      </c>
      <c r="K35" s="11" t="n">
        <v>5552488</v>
      </c>
      <c r="L35" s="11" t="n">
        <v>235.6</v>
      </c>
      <c r="M35" s="11" t="n">
        <v>773988</v>
      </c>
      <c r="N35" s="4" t="n">
        <v>0</v>
      </c>
      <c r="O35" s="4" t="inlineStr">
        <is>
          <t>RELIABILITY (ageing / breakdowns)</t>
        </is>
      </c>
    </row>
    <row r="36">
      <c r="A36" s="4" t="inlineStr">
        <is>
          <t>WH03</t>
        </is>
      </c>
      <c r="B36" s="4" t="inlineStr">
        <is>
          <t>Lucknow DC</t>
        </is>
      </c>
      <c r="C36" s="4" t="inlineStr">
        <is>
          <t>North</t>
        </is>
      </c>
      <c r="D36" s="4" t="inlineStr">
        <is>
          <t>Reach Truck</t>
        </is>
      </c>
      <c r="E36" s="4" t="n">
        <v>2</v>
      </c>
      <c r="F36" s="13" t="n">
        <v>11.4</v>
      </c>
      <c r="G36" s="20" t="n">
        <v>80.59999999999999</v>
      </c>
      <c r="H36" s="20" t="n">
        <v>11.2</v>
      </c>
      <c r="I36" s="20" t="n">
        <v>8.199999999999999</v>
      </c>
      <c r="J36" s="4" t="n">
        <v>66</v>
      </c>
      <c r="K36" s="11" t="n">
        <v>4072444</v>
      </c>
      <c r="L36" s="11" t="n">
        <v>263.2</v>
      </c>
      <c r="M36" s="11" t="n">
        <v>229340</v>
      </c>
      <c r="N36" s="4" t="n">
        <v>0</v>
      </c>
      <c r="O36" s="4" t="inlineStr">
        <is>
          <t>RELIABILITY (ageing / breakdowns)</t>
        </is>
      </c>
    </row>
    <row r="37">
      <c r="A37" s="4" t="inlineStr">
        <is>
          <t>WH04</t>
        </is>
      </c>
      <c r="B37" s="4" t="inlineStr">
        <is>
          <t>Bhiwandi DC</t>
        </is>
      </c>
      <c r="C37" s="4" t="inlineStr">
        <is>
          <t>West</t>
        </is>
      </c>
      <c r="D37" s="4" t="inlineStr">
        <is>
          <t>Conveyor Line</t>
        </is>
      </c>
      <c r="E37" s="4" t="n">
        <v>4</v>
      </c>
      <c r="F37" s="13" t="n">
        <v>4.8</v>
      </c>
      <c r="G37" s="20" t="n">
        <v>64.09999999999999</v>
      </c>
      <c r="H37" s="20" t="n">
        <v>31.7</v>
      </c>
      <c r="I37" s="20" t="n">
        <v>4.2</v>
      </c>
      <c r="J37" s="4" t="n">
        <v>73</v>
      </c>
      <c r="K37" s="11" t="n">
        <v>5475404</v>
      </c>
      <c r="L37" s="11" t="n">
        <v>177.9</v>
      </c>
      <c r="M37" s="11" t="n">
        <v>854467</v>
      </c>
      <c r="N37" s="4" t="n">
        <v>0</v>
      </c>
      <c r="O37" s="4" t="inlineStr">
        <is>
          <t>OK</t>
        </is>
      </c>
    </row>
    <row r="38">
      <c r="A38" s="4" t="inlineStr">
        <is>
          <t>WH04</t>
        </is>
      </c>
      <c r="B38" s="4" t="inlineStr">
        <is>
          <t>Bhiwandi DC</t>
        </is>
      </c>
      <c r="C38" s="4" t="inlineStr">
        <is>
          <t>West</t>
        </is>
      </c>
      <c r="D38" s="4" t="inlineStr">
        <is>
          <t>Delivery Truck</t>
        </is>
      </c>
      <c r="E38" s="4" t="n">
        <v>10</v>
      </c>
      <c r="F38" s="13" t="n">
        <v>5.4</v>
      </c>
      <c r="G38" s="20" t="n">
        <v>71.8</v>
      </c>
      <c r="H38" s="20" t="n">
        <v>23.5</v>
      </c>
      <c r="I38" s="20" t="n">
        <v>4.7</v>
      </c>
      <c r="J38" s="4" t="n">
        <v>197</v>
      </c>
      <c r="K38" s="11" t="n">
        <v>10725496</v>
      </c>
      <c r="L38" s="11" t="n">
        <v>207.5</v>
      </c>
      <c r="M38" s="11" t="n">
        <v>2167648</v>
      </c>
      <c r="N38" s="4" t="n">
        <v>0</v>
      </c>
      <c r="O38" s="4" t="inlineStr">
        <is>
          <t>OK</t>
        </is>
      </c>
    </row>
    <row r="39">
      <c r="A39" s="4" t="inlineStr">
        <is>
          <t>WH04</t>
        </is>
      </c>
      <c r="B39" s="4" t="inlineStr">
        <is>
          <t>Bhiwandi DC</t>
        </is>
      </c>
      <c r="C39" s="4" t="inlineStr">
        <is>
          <t>West</t>
        </is>
      </c>
      <c r="D39" s="4" t="inlineStr">
        <is>
          <t>Electric Pallet Jack</t>
        </is>
      </c>
      <c r="E39" s="4" t="n">
        <v>12</v>
      </c>
      <c r="F39" s="13" t="n">
        <v>5.6</v>
      </c>
      <c r="G39" s="20" t="n">
        <v>71.40000000000001</v>
      </c>
      <c r="H39" s="20" t="n">
        <v>23.8</v>
      </c>
      <c r="I39" s="20" t="n">
        <v>4.8</v>
      </c>
      <c r="J39" s="4" t="n">
        <v>220</v>
      </c>
      <c r="K39" s="11" t="n">
        <v>3526052</v>
      </c>
      <c r="L39" s="11" t="n">
        <v>42.9</v>
      </c>
      <c r="M39" s="11" t="n">
        <v>1009779</v>
      </c>
      <c r="N39" s="4" t="n">
        <v>0</v>
      </c>
      <c r="O39" s="4" t="inlineStr">
        <is>
          <t>OK</t>
        </is>
      </c>
    </row>
    <row r="40">
      <c r="A40" s="4" t="inlineStr">
        <is>
          <t>WH04</t>
        </is>
      </c>
      <c r="B40" s="4" t="inlineStr">
        <is>
          <t>Bhiwandi DC</t>
        </is>
      </c>
      <c r="C40" s="4" t="inlineStr">
        <is>
          <t>West</t>
        </is>
      </c>
      <c r="D40" s="4" t="inlineStr">
        <is>
          <t>Forklift (Electric)</t>
        </is>
      </c>
      <c r="E40" s="4" t="n">
        <v>9</v>
      </c>
      <c r="F40" s="13" t="n">
        <v>5.5</v>
      </c>
      <c r="G40" s="20" t="n">
        <v>71.5</v>
      </c>
      <c r="H40" s="20" t="n">
        <v>23.7</v>
      </c>
      <c r="I40" s="20" t="n">
        <v>4.8</v>
      </c>
      <c r="J40" s="4" t="n">
        <v>181</v>
      </c>
      <c r="K40" s="11" t="n">
        <v>7223538</v>
      </c>
      <c r="L40" s="11" t="n">
        <v>116.9</v>
      </c>
      <c r="M40" s="11" t="n">
        <v>1352297</v>
      </c>
      <c r="N40" s="4" t="n">
        <v>0</v>
      </c>
      <c r="O40" s="4" t="inlineStr">
        <is>
          <t>OK</t>
        </is>
      </c>
    </row>
    <row r="41">
      <c r="A41" s="4" t="inlineStr">
        <is>
          <t>WH04</t>
        </is>
      </c>
      <c r="B41" s="4" t="inlineStr">
        <is>
          <t>Bhiwandi DC</t>
        </is>
      </c>
      <c r="C41" s="4" t="inlineStr">
        <is>
          <t>West</t>
        </is>
      </c>
      <c r="D41" s="4" t="inlineStr">
        <is>
          <t>Reach Truck</t>
        </is>
      </c>
      <c r="E41" s="4" t="n">
        <v>6</v>
      </c>
      <c r="F41" s="13" t="n">
        <v>6.2</v>
      </c>
      <c r="G41" s="20" t="n">
        <v>71.90000000000001</v>
      </c>
      <c r="H41" s="20" t="n">
        <v>23</v>
      </c>
      <c r="I41" s="20" t="n">
        <v>5.1</v>
      </c>
      <c r="J41" s="4" t="n">
        <v>111</v>
      </c>
      <c r="K41" s="11" t="n">
        <v>7650088</v>
      </c>
      <c r="L41" s="11" t="n">
        <v>184.7</v>
      </c>
      <c r="M41" s="11" t="n">
        <v>1247987</v>
      </c>
      <c r="N41" s="4" t="n">
        <v>0</v>
      </c>
      <c r="O41" s="4" t="inlineStr">
        <is>
          <t>OK</t>
        </is>
      </c>
    </row>
    <row r="42">
      <c r="A42" s="4" t="inlineStr">
        <is>
          <t>WH05</t>
        </is>
      </c>
      <c r="B42" s="4" t="inlineStr">
        <is>
          <t>Pune DC</t>
        </is>
      </c>
      <c r="C42" s="4" t="inlineStr">
        <is>
          <t>West</t>
        </is>
      </c>
      <c r="D42" s="4" t="inlineStr">
        <is>
          <t>Conveyor Line</t>
        </is>
      </c>
      <c r="E42" s="4" t="n">
        <v>4</v>
      </c>
      <c r="F42" s="13" t="n">
        <v>5</v>
      </c>
      <c r="G42" s="20" t="n">
        <v>32.3</v>
      </c>
      <c r="H42" s="20" t="n">
        <v>63.2</v>
      </c>
      <c r="I42" s="20" t="n">
        <v>4.5</v>
      </c>
      <c r="J42" s="4" t="n">
        <v>94</v>
      </c>
      <c r="K42" s="11" t="n">
        <v>6209132</v>
      </c>
      <c r="L42" s="11" t="n">
        <v>399.9</v>
      </c>
      <c r="M42" s="11" t="n">
        <v>1524435</v>
      </c>
      <c r="N42" s="4" t="n">
        <v>2</v>
      </c>
      <c r="O42" s="4" t="inlineStr">
        <is>
          <t>OVER-PROVISIONED (idle capacity)</t>
        </is>
      </c>
    </row>
    <row r="43">
      <c r="A43" s="4" t="inlineStr">
        <is>
          <t>WH05</t>
        </is>
      </c>
      <c r="B43" s="4" t="inlineStr">
        <is>
          <t>Pune DC</t>
        </is>
      </c>
      <c r="C43" s="4" t="inlineStr">
        <is>
          <t>West</t>
        </is>
      </c>
      <c r="D43" s="4" t="inlineStr">
        <is>
          <t>Delivery Truck</t>
        </is>
      </c>
      <c r="E43" s="4" t="n">
        <v>10</v>
      </c>
      <c r="F43" s="13" t="n">
        <v>4.5</v>
      </c>
      <c r="G43" s="20" t="n">
        <v>35.9</v>
      </c>
      <c r="H43" s="20" t="n">
        <v>60</v>
      </c>
      <c r="I43" s="20" t="n">
        <v>4.1</v>
      </c>
      <c r="J43" s="4" t="n">
        <v>174</v>
      </c>
      <c r="K43" s="11" t="n">
        <v>9829694</v>
      </c>
      <c r="L43" s="11" t="n">
        <v>380.4</v>
      </c>
      <c r="M43" s="11" t="n">
        <v>5242984</v>
      </c>
      <c r="N43" s="4" t="n">
        <v>5</v>
      </c>
      <c r="O43" s="4" t="inlineStr">
        <is>
          <t>OVER-PROVISIONED (idle capacity)</t>
        </is>
      </c>
    </row>
    <row r="44">
      <c r="A44" s="4" t="inlineStr">
        <is>
          <t>WH05</t>
        </is>
      </c>
      <c r="B44" s="4" t="inlineStr">
        <is>
          <t>Pune DC</t>
        </is>
      </c>
      <c r="C44" s="4" t="inlineStr">
        <is>
          <t>West</t>
        </is>
      </c>
      <c r="D44" s="4" t="inlineStr">
        <is>
          <t>Electric Pallet Jack</t>
        </is>
      </c>
      <c r="E44" s="4" t="n">
        <v>12</v>
      </c>
      <c r="F44" s="13" t="n">
        <v>3.9</v>
      </c>
      <c r="G44" s="20" t="n">
        <v>36</v>
      </c>
      <c r="H44" s="20" t="n">
        <v>60.2</v>
      </c>
      <c r="I44" s="20" t="n">
        <v>3.8</v>
      </c>
      <c r="J44" s="4" t="n">
        <v>186</v>
      </c>
      <c r="K44" s="11" t="n">
        <v>3184236</v>
      </c>
      <c r="L44" s="11" t="n">
        <v>76.7</v>
      </c>
      <c r="M44" s="11" t="n">
        <v>2529646</v>
      </c>
      <c r="N44" s="4" t="n">
        <v>6</v>
      </c>
      <c r="O44" s="4" t="inlineStr">
        <is>
          <t>OVER-PROVISIONED (idle capacity)</t>
        </is>
      </c>
    </row>
    <row r="45">
      <c r="A45" s="4" t="inlineStr">
        <is>
          <t>WH05</t>
        </is>
      </c>
      <c r="B45" s="4" t="inlineStr">
        <is>
          <t>Pune DC</t>
        </is>
      </c>
      <c r="C45" s="4" t="inlineStr">
        <is>
          <t>West</t>
        </is>
      </c>
      <c r="D45" s="4" t="inlineStr">
        <is>
          <t>Forklift (Electric)</t>
        </is>
      </c>
      <c r="E45" s="4" t="n">
        <v>9</v>
      </c>
      <c r="F45" s="13" t="n">
        <v>4.4</v>
      </c>
      <c r="G45" s="20" t="n">
        <v>36</v>
      </c>
      <c r="H45" s="20" t="n">
        <v>60</v>
      </c>
      <c r="I45" s="20" t="n">
        <v>4</v>
      </c>
      <c r="J45" s="4" t="n">
        <v>140</v>
      </c>
      <c r="K45" s="11" t="n">
        <v>5970185</v>
      </c>
      <c r="L45" s="11" t="n">
        <v>191.9</v>
      </c>
      <c r="M45" s="11" t="n">
        <v>3464420</v>
      </c>
      <c r="N45" s="4" t="n">
        <v>4</v>
      </c>
      <c r="O45" s="4" t="inlineStr">
        <is>
          <t>OVER-PROVISIONED (idle capacity)</t>
        </is>
      </c>
    </row>
    <row r="46">
      <c r="A46" s="4" t="inlineStr">
        <is>
          <t>WH05</t>
        </is>
      </c>
      <c r="B46" s="4" t="inlineStr">
        <is>
          <t>Pune DC</t>
        </is>
      </c>
      <c r="C46" s="4" t="inlineStr">
        <is>
          <t>West</t>
        </is>
      </c>
      <c r="D46" s="4" t="inlineStr">
        <is>
          <t>Reach Truck</t>
        </is>
      </c>
      <c r="E46" s="4" t="n">
        <v>6</v>
      </c>
      <c r="F46" s="13" t="n">
        <v>4.5</v>
      </c>
      <c r="G46" s="20" t="n">
        <v>36</v>
      </c>
      <c r="H46" s="20" t="n">
        <v>59.9</v>
      </c>
      <c r="I46" s="20" t="n">
        <v>4.1</v>
      </c>
      <c r="J46" s="4" t="n">
        <v>101</v>
      </c>
      <c r="K46" s="11" t="n">
        <v>7138536</v>
      </c>
      <c r="L46" s="11" t="n">
        <v>344.7</v>
      </c>
      <c r="M46" s="11" t="n">
        <v>3471428</v>
      </c>
      <c r="N46" s="4" t="n">
        <v>3</v>
      </c>
      <c r="O46" s="4" t="inlineStr">
        <is>
          <t>OVER-PROVISIONED (idle capacity)</t>
        </is>
      </c>
    </row>
    <row r="47">
      <c r="A47" s="4" t="inlineStr">
        <is>
          <t>WH06</t>
        </is>
      </c>
      <c r="B47" s="4" t="inlineStr">
        <is>
          <t>Ahmedabad DC</t>
        </is>
      </c>
      <c r="C47" s="4" t="inlineStr">
        <is>
          <t>West</t>
        </is>
      </c>
      <c r="D47" s="4" t="inlineStr">
        <is>
          <t>Conveyor Line</t>
        </is>
      </c>
      <c r="E47" s="4" t="n">
        <v>2</v>
      </c>
      <c r="F47" s="13" t="n">
        <v>3.9</v>
      </c>
      <c r="G47" s="20" t="n">
        <v>71.59999999999999</v>
      </c>
      <c r="H47" s="20" t="n">
        <v>24.6</v>
      </c>
      <c r="I47" s="20" t="n">
        <v>3.8</v>
      </c>
      <c r="J47" s="4" t="n">
        <v>26</v>
      </c>
      <c r="K47" s="11" t="n">
        <v>2073079</v>
      </c>
      <c r="L47" s="11" t="n">
        <v>120.6</v>
      </c>
      <c r="M47" s="11" t="n">
        <v>303953</v>
      </c>
      <c r="N47" s="4" t="n">
        <v>0</v>
      </c>
      <c r="O47" s="4" t="inlineStr">
        <is>
          <t>OK</t>
        </is>
      </c>
    </row>
    <row r="48">
      <c r="A48" s="4" t="inlineStr">
        <is>
          <t>WH06</t>
        </is>
      </c>
      <c r="B48" s="4" t="inlineStr">
        <is>
          <t>Ahmedabad DC</t>
        </is>
      </c>
      <c r="C48" s="4" t="inlineStr">
        <is>
          <t>West</t>
        </is>
      </c>
      <c r="D48" s="4" t="inlineStr">
        <is>
          <t>Delivery Truck</t>
        </is>
      </c>
      <c r="E48" s="4" t="n">
        <v>6</v>
      </c>
      <c r="F48" s="13" t="n">
        <v>4.3</v>
      </c>
      <c r="G48" s="20" t="n">
        <v>65.7</v>
      </c>
      <c r="H48" s="20" t="n">
        <v>30.2</v>
      </c>
      <c r="I48" s="20" t="n">
        <v>4</v>
      </c>
      <c r="J48" s="4" t="n">
        <v>94</v>
      </c>
      <c r="K48" s="11" t="n">
        <v>5205056</v>
      </c>
      <c r="L48" s="11" t="n">
        <v>183.3</v>
      </c>
      <c r="M48" s="11" t="n">
        <v>1560589</v>
      </c>
      <c r="N48" s="4" t="n">
        <v>0</v>
      </c>
      <c r="O48" s="4" t="inlineStr">
        <is>
          <t>OK</t>
        </is>
      </c>
    </row>
    <row r="49">
      <c r="A49" s="4" t="inlineStr">
        <is>
          <t>WH06</t>
        </is>
      </c>
      <c r="B49" s="4" t="inlineStr">
        <is>
          <t>Ahmedabad DC</t>
        </is>
      </c>
      <c r="C49" s="4" t="inlineStr">
        <is>
          <t>West</t>
        </is>
      </c>
      <c r="D49" s="4" t="inlineStr">
        <is>
          <t>Electric Pallet Jack</t>
        </is>
      </c>
      <c r="E49" s="4" t="n">
        <v>7</v>
      </c>
      <c r="F49" s="13" t="n">
        <v>4</v>
      </c>
      <c r="G49" s="20" t="n">
        <v>68</v>
      </c>
      <c r="H49" s="20" t="n">
        <v>28.2</v>
      </c>
      <c r="I49" s="20" t="n">
        <v>3.8</v>
      </c>
      <c r="J49" s="4" t="n">
        <v>98</v>
      </c>
      <c r="K49" s="11" t="n">
        <v>1625616</v>
      </c>
      <c r="L49" s="11" t="n">
        <v>35.6</v>
      </c>
      <c r="M49" s="11" t="n">
        <v>670796</v>
      </c>
      <c r="N49" s="4" t="n">
        <v>0</v>
      </c>
      <c r="O49" s="4" t="inlineStr">
        <is>
          <t>OK</t>
        </is>
      </c>
    </row>
    <row r="50">
      <c r="A50" s="4" t="inlineStr">
        <is>
          <t>WH06</t>
        </is>
      </c>
      <c r="B50" s="4" t="inlineStr">
        <is>
          <t>Ahmedabad DC</t>
        </is>
      </c>
      <c r="C50" s="4" t="inlineStr">
        <is>
          <t>West</t>
        </is>
      </c>
      <c r="D50" s="4" t="inlineStr">
        <is>
          <t>Forklift (Electric)</t>
        </is>
      </c>
      <c r="E50" s="4" t="n">
        <v>5</v>
      </c>
      <c r="F50" s="13" t="n">
        <v>4.2</v>
      </c>
      <c r="G50" s="20" t="n">
        <v>70.90000000000001</v>
      </c>
      <c r="H50" s="20" t="n">
        <v>25.2</v>
      </c>
      <c r="I50" s="20" t="n">
        <v>4</v>
      </c>
      <c r="J50" s="4" t="n">
        <v>66</v>
      </c>
      <c r="K50" s="11" t="n">
        <v>2838254</v>
      </c>
      <c r="L50" s="11" t="n">
        <v>83.40000000000001</v>
      </c>
      <c r="M50" s="11" t="n">
        <v>786361</v>
      </c>
      <c r="N50" s="4" t="n">
        <v>0</v>
      </c>
      <c r="O50" s="4" t="inlineStr">
        <is>
          <t>OK</t>
        </is>
      </c>
    </row>
    <row r="51">
      <c r="A51" s="4" t="inlineStr">
        <is>
          <t>WH06</t>
        </is>
      </c>
      <c r="B51" s="4" t="inlineStr">
        <is>
          <t>Ahmedabad DC</t>
        </is>
      </c>
      <c r="C51" s="4" t="inlineStr">
        <is>
          <t>West</t>
        </is>
      </c>
      <c r="D51" s="4" t="inlineStr">
        <is>
          <t>Reach Truck</t>
        </is>
      </c>
      <c r="E51" s="4" t="n">
        <v>3</v>
      </c>
      <c r="F51" s="13" t="n">
        <v>4.4</v>
      </c>
      <c r="G51" s="20" t="n">
        <v>78.5</v>
      </c>
      <c r="H51" s="20" t="n">
        <v>17.3</v>
      </c>
      <c r="I51" s="20" t="n">
        <v>4.1</v>
      </c>
      <c r="J51" s="4" t="n">
        <v>50</v>
      </c>
      <c r="K51" s="11" t="n">
        <v>3568727</v>
      </c>
      <c r="L51" s="11" t="n">
        <v>157.8</v>
      </c>
      <c r="M51" s="11" t="n">
        <v>462251</v>
      </c>
      <c r="N51" s="4" t="n">
        <v>0</v>
      </c>
      <c r="O51" s="4" t="inlineStr">
        <is>
          <t>OK</t>
        </is>
      </c>
    </row>
    <row r="52">
      <c r="A52" s="4" t="inlineStr">
        <is>
          <t>WH07</t>
        </is>
      </c>
      <c r="B52" s="4" t="inlineStr">
        <is>
          <t>Bengaluru DC</t>
        </is>
      </c>
      <c r="C52" s="4" t="inlineStr">
        <is>
          <t>South</t>
        </is>
      </c>
      <c r="D52" s="4" t="inlineStr">
        <is>
          <t>Conveyor Line</t>
        </is>
      </c>
      <c r="E52" s="4" t="n">
        <v>3</v>
      </c>
      <c r="F52" s="13" t="n">
        <v>4.4</v>
      </c>
      <c r="G52" s="20" t="n">
        <v>67.8</v>
      </c>
      <c r="H52" s="20" t="n">
        <v>28.1</v>
      </c>
      <c r="I52" s="20" t="n">
        <v>4.1</v>
      </c>
      <c r="J52" s="4" t="n">
        <v>45</v>
      </c>
      <c r="K52" s="11" t="n">
        <v>3459793</v>
      </c>
      <c r="L52" s="11" t="n">
        <v>141.8</v>
      </c>
      <c r="M52" s="11" t="n">
        <v>450878</v>
      </c>
      <c r="N52" s="4" t="n">
        <v>0</v>
      </c>
      <c r="O52" s="4" t="inlineStr">
        <is>
          <t>OK</t>
        </is>
      </c>
    </row>
    <row r="53">
      <c r="A53" s="4" t="inlineStr">
        <is>
          <t>WH07</t>
        </is>
      </c>
      <c r="B53" s="4" t="inlineStr">
        <is>
          <t>Bengaluru DC</t>
        </is>
      </c>
      <c r="C53" s="4" t="inlineStr">
        <is>
          <t>South</t>
        </is>
      </c>
      <c r="D53" s="4" t="inlineStr">
        <is>
          <t>Delivery Truck</t>
        </is>
      </c>
      <c r="E53" s="4" t="n">
        <v>8</v>
      </c>
      <c r="F53" s="13" t="n">
        <v>4.6</v>
      </c>
      <c r="G53" s="20" t="n">
        <v>70.5</v>
      </c>
      <c r="H53" s="20" t="n">
        <v>25.4</v>
      </c>
      <c r="I53" s="20" t="n">
        <v>4.1</v>
      </c>
      <c r="J53" s="4" t="n">
        <v>128</v>
      </c>
      <c r="K53" s="11" t="n">
        <v>7371195</v>
      </c>
      <c r="L53" s="11" t="n">
        <v>181.6</v>
      </c>
      <c r="M53" s="11" t="n">
        <v>1859760</v>
      </c>
      <c r="N53" s="4" t="n">
        <v>0</v>
      </c>
      <c r="O53" s="4" t="inlineStr">
        <is>
          <t>OK</t>
        </is>
      </c>
    </row>
    <row r="54">
      <c r="A54" s="4" t="inlineStr">
        <is>
          <t>WH07</t>
        </is>
      </c>
      <c r="B54" s="4" t="inlineStr">
        <is>
          <t>Bengaluru DC</t>
        </is>
      </c>
      <c r="C54" s="4" t="inlineStr">
        <is>
          <t>South</t>
        </is>
      </c>
      <c r="D54" s="4" t="inlineStr">
        <is>
          <t>Electric Pallet Jack</t>
        </is>
      </c>
      <c r="E54" s="4" t="n">
        <v>10</v>
      </c>
      <c r="F54" s="13" t="n">
        <v>4.1</v>
      </c>
      <c r="G54" s="20" t="n">
        <v>67.59999999999999</v>
      </c>
      <c r="H54" s="20" t="n">
        <v>28.5</v>
      </c>
      <c r="I54" s="20" t="n">
        <v>3.9</v>
      </c>
      <c r="J54" s="4" t="n">
        <v>158</v>
      </c>
      <c r="K54" s="11" t="n">
        <v>2444463</v>
      </c>
      <c r="L54" s="11" t="n">
        <v>37.7</v>
      </c>
      <c r="M54" s="11" t="n">
        <v>992839</v>
      </c>
      <c r="N54" s="4" t="n">
        <v>0</v>
      </c>
      <c r="O54" s="4" t="inlineStr">
        <is>
          <t>OK</t>
        </is>
      </c>
    </row>
    <row r="55">
      <c r="A55" s="4" t="inlineStr">
        <is>
          <t>WH07</t>
        </is>
      </c>
      <c r="B55" s="4" t="inlineStr">
        <is>
          <t>Bengaluru DC</t>
        </is>
      </c>
      <c r="C55" s="4" t="inlineStr">
        <is>
          <t>South</t>
        </is>
      </c>
      <c r="D55" s="4" t="inlineStr">
        <is>
          <t>Forklift (Electric)</t>
        </is>
      </c>
      <c r="E55" s="4" t="n">
        <v>7</v>
      </c>
      <c r="F55" s="13" t="n">
        <v>6.6</v>
      </c>
      <c r="G55" s="20" t="n">
        <v>72.5</v>
      </c>
      <c r="H55" s="20" t="n">
        <v>22</v>
      </c>
      <c r="I55" s="20" t="n">
        <v>5.4</v>
      </c>
      <c r="J55" s="4" t="n">
        <v>151</v>
      </c>
      <c r="K55" s="11" t="n">
        <v>6217173</v>
      </c>
      <c r="L55" s="11" t="n">
        <v>127.6</v>
      </c>
      <c r="M55" s="11" t="n">
        <v>951056</v>
      </c>
      <c r="N55" s="4" t="n">
        <v>0</v>
      </c>
      <c r="O55" s="4" t="inlineStr">
        <is>
          <t>OK</t>
        </is>
      </c>
    </row>
    <row r="56">
      <c r="A56" s="4" t="inlineStr">
        <is>
          <t>WH07</t>
        </is>
      </c>
      <c r="B56" s="4" t="inlineStr">
        <is>
          <t>Bengaluru DC</t>
        </is>
      </c>
      <c r="C56" s="4" t="inlineStr">
        <is>
          <t>South</t>
        </is>
      </c>
      <c r="D56" s="4" t="inlineStr">
        <is>
          <t>Reach Truck</t>
        </is>
      </c>
      <c r="E56" s="4" t="n">
        <v>5</v>
      </c>
      <c r="F56" s="13" t="n">
        <v>5.2</v>
      </c>
      <c r="G56" s="20" t="n">
        <v>67.7</v>
      </c>
      <c r="H56" s="20" t="n">
        <v>27.8</v>
      </c>
      <c r="I56" s="20" t="n">
        <v>4.6</v>
      </c>
      <c r="J56" s="4" t="n">
        <v>83</v>
      </c>
      <c r="K56" s="11" t="n">
        <v>5853567</v>
      </c>
      <c r="L56" s="11" t="n">
        <v>180.2</v>
      </c>
      <c r="M56" s="11" t="n">
        <v>1358662</v>
      </c>
      <c r="N56" s="4" t="n">
        <v>0</v>
      </c>
      <c r="O56" s="4" t="inlineStr">
        <is>
          <t>OK</t>
        </is>
      </c>
    </row>
    <row r="57">
      <c r="A57" s="4" t="inlineStr">
        <is>
          <t>WH08</t>
        </is>
      </c>
      <c r="B57" s="4" t="inlineStr">
        <is>
          <t>Chennai DC</t>
        </is>
      </c>
      <c r="C57" s="4" t="inlineStr">
        <is>
          <t>South</t>
        </is>
      </c>
      <c r="D57" s="4" t="inlineStr">
        <is>
          <t>Conveyor Line</t>
        </is>
      </c>
      <c r="E57" s="4" t="n">
        <v>1</v>
      </c>
      <c r="F57" s="13" t="n">
        <v>5</v>
      </c>
      <c r="G57" s="20" t="n">
        <v>92.5</v>
      </c>
      <c r="H57" s="20" t="n">
        <v>0</v>
      </c>
      <c r="I57" s="20" t="n">
        <v>7.5</v>
      </c>
      <c r="J57" s="4" t="n">
        <v>35</v>
      </c>
      <c r="K57" s="11" t="n">
        <v>2170900</v>
      </c>
      <c r="L57" s="11" t="n">
        <v>195.6</v>
      </c>
      <c r="M57" s="11" t="n">
        <v>0</v>
      </c>
      <c r="N57" s="4" t="n">
        <v>0</v>
      </c>
      <c r="O57" s="4" t="inlineStr">
        <is>
          <t>RELIABILITY (ageing / breakdowns)</t>
        </is>
      </c>
    </row>
    <row r="58">
      <c r="A58" s="4" t="inlineStr">
        <is>
          <t>WH08</t>
        </is>
      </c>
      <c r="B58" s="4" t="inlineStr">
        <is>
          <t>Chennai DC</t>
        </is>
      </c>
      <c r="C58" s="4" t="inlineStr">
        <is>
          <t>South</t>
        </is>
      </c>
      <c r="D58" s="4" t="inlineStr">
        <is>
          <t>Delivery Truck</t>
        </is>
      </c>
      <c r="E58" s="4" t="n">
        <v>4</v>
      </c>
      <c r="F58" s="13" t="n">
        <v>4.9</v>
      </c>
      <c r="G58" s="20" t="n">
        <v>92.59999999999999</v>
      </c>
      <c r="H58" s="20" t="n">
        <v>2.1</v>
      </c>
      <c r="I58" s="20" t="n">
        <v>5.4</v>
      </c>
      <c r="J58" s="4" t="n">
        <v>83</v>
      </c>
      <c r="K58" s="11" t="n">
        <v>4743678</v>
      </c>
      <c r="L58" s="11" t="n">
        <v>178</v>
      </c>
      <c r="M58" s="11" t="n">
        <v>77079</v>
      </c>
      <c r="N58" s="4" t="n">
        <v>-1</v>
      </c>
      <c r="O58" s="4" t="inlineStr">
        <is>
          <t>UNDER-PROVISIONED (overstretched)</t>
        </is>
      </c>
    </row>
    <row r="59">
      <c r="A59" s="4" t="inlineStr">
        <is>
          <t>WH08</t>
        </is>
      </c>
      <c r="B59" s="4" t="inlineStr">
        <is>
          <t>Chennai DC</t>
        </is>
      </c>
      <c r="C59" s="4" t="inlineStr">
        <is>
          <t>South</t>
        </is>
      </c>
      <c r="D59" s="4" t="inlineStr">
        <is>
          <t>Electric Pallet Jack</t>
        </is>
      </c>
      <c r="E59" s="4" t="n">
        <v>4</v>
      </c>
      <c r="F59" s="13" t="n">
        <v>4.5</v>
      </c>
      <c r="G59" s="20" t="n">
        <v>94</v>
      </c>
      <c r="H59" s="20" t="n">
        <v>0</v>
      </c>
      <c r="I59" s="20" t="n">
        <v>6</v>
      </c>
      <c r="J59" s="4" t="n">
        <v>121</v>
      </c>
      <c r="K59" s="11" t="n">
        <v>1725354</v>
      </c>
      <c r="L59" s="11" t="n">
        <v>47.8</v>
      </c>
      <c r="M59" s="11" t="n">
        <v>0</v>
      </c>
      <c r="N59" s="4" t="n">
        <v>-1</v>
      </c>
      <c r="O59" s="4" t="inlineStr">
        <is>
          <t>UNDER-PROVISIONED (overstretched)</t>
        </is>
      </c>
    </row>
    <row r="60">
      <c r="A60" s="4" t="inlineStr">
        <is>
          <t>WH08</t>
        </is>
      </c>
      <c r="B60" s="4" t="inlineStr">
        <is>
          <t>Chennai DC</t>
        </is>
      </c>
      <c r="C60" s="4" t="inlineStr">
        <is>
          <t>South</t>
        </is>
      </c>
      <c r="D60" s="4" t="inlineStr">
        <is>
          <t>Forklift (Electric)</t>
        </is>
      </c>
      <c r="E60" s="4" t="n">
        <v>3</v>
      </c>
      <c r="F60" s="13" t="n">
        <v>5.5</v>
      </c>
      <c r="G60" s="20" t="n">
        <v>93.40000000000001</v>
      </c>
      <c r="H60" s="20" t="n">
        <v>0</v>
      </c>
      <c r="I60" s="20" t="n">
        <v>6.6</v>
      </c>
      <c r="J60" s="4" t="n">
        <v>103</v>
      </c>
      <c r="K60" s="11" t="n">
        <v>3849972</v>
      </c>
      <c r="L60" s="11" t="n">
        <v>143.1</v>
      </c>
      <c r="M60" s="11" t="n">
        <v>0</v>
      </c>
      <c r="N60" s="4" t="n">
        <v>-1</v>
      </c>
      <c r="O60" s="4" t="inlineStr">
        <is>
          <t>UNDER-PROVISIONED (overstretched)</t>
        </is>
      </c>
    </row>
    <row r="61">
      <c r="A61" s="4" t="inlineStr">
        <is>
          <t>WH08</t>
        </is>
      </c>
      <c r="B61" s="4" t="inlineStr">
        <is>
          <t>Chennai DC</t>
        </is>
      </c>
      <c r="C61" s="4" t="inlineStr">
        <is>
          <t>South</t>
        </is>
      </c>
      <c r="D61" s="4" t="inlineStr">
        <is>
          <t>Reach Truck</t>
        </is>
      </c>
      <c r="E61" s="4" t="n">
        <v>2</v>
      </c>
      <c r="F61" s="13" t="n">
        <v>7.3</v>
      </c>
      <c r="G61" s="20" t="n">
        <v>92.2</v>
      </c>
      <c r="H61" s="20" t="n">
        <v>0</v>
      </c>
      <c r="I61" s="20" t="n">
        <v>7.8</v>
      </c>
      <c r="J61" s="4" t="n">
        <v>89</v>
      </c>
      <c r="K61" s="11" t="n">
        <v>5442254</v>
      </c>
      <c r="L61" s="11" t="n">
        <v>307.4</v>
      </c>
      <c r="M61" s="11" t="n">
        <v>0</v>
      </c>
      <c r="N61" s="4" t="n">
        <v>-1</v>
      </c>
      <c r="O61" s="4" t="inlineStr">
        <is>
          <t>RELIABILITY (ageing / breakdowns)</t>
        </is>
      </c>
    </row>
    <row r="62">
      <c r="A62" s="4" t="inlineStr">
        <is>
          <t>WH09</t>
        </is>
      </c>
      <c r="B62" s="4" t="inlineStr">
        <is>
          <t>Hyderabad DC</t>
        </is>
      </c>
      <c r="C62" s="4" t="inlineStr">
        <is>
          <t>South</t>
        </is>
      </c>
      <c r="D62" s="4" t="inlineStr">
        <is>
          <t>Conveyor Line</t>
        </is>
      </c>
      <c r="E62" s="4" t="n">
        <v>2</v>
      </c>
      <c r="F62" s="13" t="n">
        <v>6.3</v>
      </c>
      <c r="G62" s="20" t="n">
        <v>83.40000000000001</v>
      </c>
      <c r="H62" s="20" t="n">
        <v>11.2</v>
      </c>
      <c r="I62" s="20" t="n">
        <v>5.4</v>
      </c>
      <c r="J62" s="4" t="n">
        <v>52</v>
      </c>
      <c r="K62" s="11" t="n">
        <v>3801275</v>
      </c>
      <c r="L62" s="11" t="n">
        <v>190</v>
      </c>
      <c r="M62" s="11" t="n">
        <v>144975</v>
      </c>
      <c r="N62" s="4" t="n">
        <v>0</v>
      </c>
      <c r="O62" s="4" t="inlineStr">
        <is>
          <t>OK</t>
        </is>
      </c>
    </row>
    <row r="63">
      <c r="A63" s="4" t="inlineStr">
        <is>
          <t>WH09</t>
        </is>
      </c>
      <c r="B63" s="4" t="inlineStr">
        <is>
          <t>Hyderabad DC</t>
        </is>
      </c>
      <c r="C63" s="4" t="inlineStr">
        <is>
          <t>South</t>
        </is>
      </c>
      <c r="D63" s="4" t="inlineStr">
        <is>
          <t>Delivery Truck</t>
        </is>
      </c>
      <c r="E63" s="4" t="n">
        <v>7</v>
      </c>
      <c r="F63" s="13" t="n">
        <v>5.3</v>
      </c>
      <c r="G63" s="20" t="n">
        <v>67.90000000000001</v>
      </c>
      <c r="H63" s="20" t="n">
        <v>27.6</v>
      </c>
      <c r="I63" s="20" t="n">
        <v>4.6</v>
      </c>
      <c r="J63" s="4" t="n">
        <v>131</v>
      </c>
      <c r="K63" s="11" t="n">
        <v>7031786</v>
      </c>
      <c r="L63" s="11" t="n">
        <v>205.5</v>
      </c>
      <c r="M63" s="11" t="n">
        <v>1744789</v>
      </c>
      <c r="N63" s="4" t="n">
        <v>0</v>
      </c>
      <c r="O63" s="4" t="inlineStr">
        <is>
          <t>OK</t>
        </is>
      </c>
    </row>
    <row r="64">
      <c r="A64" s="4" t="inlineStr">
        <is>
          <t>WH09</t>
        </is>
      </c>
      <c r="B64" s="4" t="inlineStr">
        <is>
          <t>Hyderabad DC</t>
        </is>
      </c>
      <c r="C64" s="4" t="inlineStr">
        <is>
          <t>South</t>
        </is>
      </c>
      <c r="D64" s="4" t="inlineStr">
        <is>
          <t>Electric Pallet Jack</t>
        </is>
      </c>
      <c r="E64" s="4" t="n">
        <v>8</v>
      </c>
      <c r="F64" s="13" t="n">
        <v>4.2</v>
      </c>
      <c r="G64" s="20" t="n">
        <v>71.5</v>
      </c>
      <c r="H64" s="20" t="n">
        <v>24.4</v>
      </c>
      <c r="I64" s="20" t="n">
        <v>4</v>
      </c>
      <c r="J64" s="4" t="n">
        <v>116</v>
      </c>
      <c r="K64" s="11" t="n">
        <v>1883992</v>
      </c>
      <c r="L64" s="11" t="n">
        <v>34.3</v>
      </c>
      <c r="M64" s="11" t="n">
        <v>697595</v>
      </c>
      <c r="N64" s="4" t="n">
        <v>0</v>
      </c>
      <c r="O64" s="4" t="inlineStr">
        <is>
          <t>OK</t>
        </is>
      </c>
    </row>
    <row r="65">
      <c r="A65" s="4" t="inlineStr">
        <is>
          <t>WH09</t>
        </is>
      </c>
      <c r="B65" s="4" t="inlineStr">
        <is>
          <t>Hyderabad DC</t>
        </is>
      </c>
      <c r="C65" s="4" t="inlineStr">
        <is>
          <t>South</t>
        </is>
      </c>
      <c r="D65" s="4" t="inlineStr">
        <is>
          <t>Forklift (Electric)</t>
        </is>
      </c>
      <c r="E65" s="4" t="n">
        <v>6</v>
      </c>
      <c r="F65" s="13" t="n">
        <v>6.1</v>
      </c>
      <c r="G65" s="20" t="n">
        <v>70.7</v>
      </c>
      <c r="H65" s="20" t="n">
        <v>24.3</v>
      </c>
      <c r="I65" s="20" t="n">
        <v>5</v>
      </c>
      <c r="J65" s="4" t="n">
        <v>135</v>
      </c>
      <c r="K65" s="11" t="n">
        <v>5333531</v>
      </c>
      <c r="L65" s="11" t="n">
        <v>131</v>
      </c>
      <c r="M65" s="11" t="n">
        <v>942239</v>
      </c>
      <c r="N65" s="4" t="n">
        <v>0</v>
      </c>
      <c r="O65" s="4" t="inlineStr">
        <is>
          <t>OK</t>
        </is>
      </c>
    </row>
    <row r="66">
      <c r="A66" s="4" t="inlineStr">
        <is>
          <t>WH09</t>
        </is>
      </c>
      <c r="B66" s="4" t="inlineStr">
        <is>
          <t>Hyderabad DC</t>
        </is>
      </c>
      <c r="C66" s="4" t="inlineStr">
        <is>
          <t>South</t>
        </is>
      </c>
      <c r="D66" s="4" t="inlineStr">
        <is>
          <t>Reach Truck</t>
        </is>
      </c>
      <c r="E66" s="4" t="n">
        <v>4</v>
      </c>
      <c r="F66" s="13" t="n">
        <v>5.4</v>
      </c>
      <c r="G66" s="20" t="n">
        <v>71.2</v>
      </c>
      <c r="H66" s="20" t="n">
        <v>24.1</v>
      </c>
      <c r="I66" s="20" t="n">
        <v>4.6</v>
      </c>
      <c r="J66" s="4" t="n">
        <v>71</v>
      </c>
      <c r="K66" s="11" t="n">
        <v>5011234</v>
      </c>
      <c r="L66" s="11" t="n">
        <v>183.2</v>
      </c>
      <c r="M66" s="11" t="n">
        <v>930679</v>
      </c>
      <c r="N66" s="4" t="n">
        <v>0</v>
      </c>
      <c r="O66" s="4" t="inlineStr">
        <is>
          <t>OK</t>
        </is>
      </c>
    </row>
    <row r="67">
      <c r="A67" s="4" t="inlineStr">
        <is>
          <t>WH10</t>
        </is>
      </c>
      <c r="B67" s="4" t="inlineStr">
        <is>
          <t>Kolkata DC</t>
        </is>
      </c>
      <c r="C67" s="4" t="inlineStr">
        <is>
          <t>East</t>
        </is>
      </c>
      <c r="D67" s="4" t="inlineStr">
        <is>
          <t>Conveyor Line</t>
        </is>
      </c>
      <c r="E67" s="4" t="n">
        <v>2</v>
      </c>
      <c r="F67" s="13" t="n">
        <v>11.6</v>
      </c>
      <c r="G67" s="20" t="n">
        <v>78.40000000000001</v>
      </c>
      <c r="H67" s="20" t="n">
        <v>13.1</v>
      </c>
      <c r="I67" s="20" t="n">
        <v>8.4</v>
      </c>
      <c r="J67" s="4" t="n">
        <v>77</v>
      </c>
      <c r="K67" s="11" t="n">
        <v>4993805</v>
      </c>
      <c r="L67" s="11" t="n">
        <v>265.3</v>
      </c>
      <c r="M67" s="11" t="n">
        <v>137977</v>
      </c>
      <c r="N67" s="4" t="n">
        <v>0</v>
      </c>
      <c r="O67" s="4" t="inlineStr">
        <is>
          <t>RELIABILITY (ageing / breakdowns)</t>
        </is>
      </c>
    </row>
    <row r="68">
      <c r="A68" s="4" t="inlineStr">
        <is>
          <t>WH10</t>
        </is>
      </c>
      <c r="B68" s="4" t="inlineStr">
        <is>
          <t>Kolkata DC</t>
        </is>
      </c>
      <c r="C68" s="4" t="inlineStr">
        <is>
          <t>East</t>
        </is>
      </c>
      <c r="D68" s="4" t="inlineStr">
        <is>
          <t>Delivery Truck</t>
        </is>
      </c>
      <c r="E68" s="4" t="n">
        <v>6</v>
      </c>
      <c r="F68" s="13" t="n">
        <v>12</v>
      </c>
      <c r="G68" s="20" t="n">
        <v>72.7</v>
      </c>
      <c r="H68" s="20" t="n">
        <v>18.7</v>
      </c>
      <c r="I68" s="20" t="n">
        <v>8.6</v>
      </c>
      <c r="J68" s="4" t="n">
        <v>233</v>
      </c>
      <c r="K68" s="11" t="n">
        <v>12039322</v>
      </c>
      <c r="L68" s="11" t="n">
        <v>383.2</v>
      </c>
      <c r="M68" s="11" t="n">
        <v>1087671</v>
      </c>
      <c r="N68" s="4" t="n">
        <v>0</v>
      </c>
      <c r="O68" s="4" t="inlineStr">
        <is>
          <t>RELIABILITY (ageing / breakdowns)</t>
        </is>
      </c>
    </row>
    <row r="69">
      <c r="A69" s="4" t="inlineStr">
        <is>
          <t>WH10</t>
        </is>
      </c>
      <c r="B69" s="4" t="inlineStr">
        <is>
          <t>Kolkata DC</t>
        </is>
      </c>
      <c r="C69" s="4" t="inlineStr">
        <is>
          <t>East</t>
        </is>
      </c>
      <c r="D69" s="4" t="inlineStr">
        <is>
          <t>Electric Pallet Jack</t>
        </is>
      </c>
      <c r="E69" s="4" t="n">
        <v>8</v>
      </c>
      <c r="F69" s="13" t="n">
        <v>12</v>
      </c>
      <c r="G69" s="20" t="n">
        <v>66.2</v>
      </c>
      <c r="H69" s="20" t="n">
        <v>25.1</v>
      </c>
      <c r="I69" s="20" t="n">
        <v>8.699999999999999</v>
      </c>
      <c r="J69" s="4" t="n">
        <v>313</v>
      </c>
      <c r="K69" s="11" t="n">
        <v>4575516</v>
      </c>
      <c r="L69" s="11" t="n">
        <v>90</v>
      </c>
      <c r="M69" s="11" t="n">
        <v>723848</v>
      </c>
      <c r="N69" s="4" t="n">
        <v>0</v>
      </c>
      <c r="O69" s="4" t="inlineStr">
        <is>
          <t>RELIABILITY (ageing / breakdowns)</t>
        </is>
      </c>
    </row>
    <row r="70">
      <c r="A70" s="4" t="inlineStr">
        <is>
          <t>WH10</t>
        </is>
      </c>
      <c r="B70" s="4" t="inlineStr">
        <is>
          <t>Kolkata DC</t>
        </is>
      </c>
      <c r="C70" s="4" t="inlineStr">
        <is>
          <t>East</t>
        </is>
      </c>
      <c r="D70" s="4" t="inlineStr">
        <is>
          <t>Forklift (Electric)</t>
        </is>
      </c>
      <c r="E70" s="4" t="n">
        <v>6</v>
      </c>
      <c r="F70" s="13" t="n">
        <v>13.1</v>
      </c>
      <c r="G70" s="20" t="n">
        <v>65.59999999999999</v>
      </c>
      <c r="H70" s="20" t="n">
        <v>25.1</v>
      </c>
      <c r="I70" s="20" t="n">
        <v>9.300000000000001</v>
      </c>
      <c r="J70" s="4" t="n">
        <v>239</v>
      </c>
      <c r="K70" s="11" t="n">
        <v>9124979</v>
      </c>
      <c r="L70" s="11" t="n">
        <v>241.6</v>
      </c>
      <c r="M70" s="11" t="n">
        <v>974616</v>
      </c>
      <c r="N70" s="4" t="n">
        <v>0</v>
      </c>
      <c r="O70" s="4" t="inlineStr">
        <is>
          <t>RELIABILITY (ageing / breakdowns)</t>
        </is>
      </c>
    </row>
    <row r="71">
      <c r="A71" s="4" t="inlineStr">
        <is>
          <t>WH10</t>
        </is>
      </c>
      <c r="B71" s="4" t="inlineStr">
        <is>
          <t>Kolkata DC</t>
        </is>
      </c>
      <c r="C71" s="4" t="inlineStr">
        <is>
          <t>East</t>
        </is>
      </c>
      <c r="D71" s="4" t="inlineStr">
        <is>
          <t>Reach Truck</t>
        </is>
      </c>
      <c r="E71" s="4" t="n">
        <v>4</v>
      </c>
      <c r="F71" s="13" t="n">
        <v>11.8</v>
      </c>
      <c r="G71" s="20" t="n">
        <v>65.90000000000001</v>
      </c>
      <c r="H71" s="20" t="n">
        <v>25.6</v>
      </c>
      <c r="I71" s="20" t="n">
        <v>8.5</v>
      </c>
      <c r="J71" s="4" t="n">
        <v>170</v>
      </c>
      <c r="K71" s="11" t="n">
        <v>10387495</v>
      </c>
      <c r="L71" s="11" t="n">
        <v>410.8</v>
      </c>
      <c r="M71" s="11" t="n">
        <v>947423</v>
      </c>
      <c r="N71" s="4" t="n">
        <v>0</v>
      </c>
      <c r="O71" s="4" t="inlineStr">
        <is>
          <t>RELIABILITY (ageing / breakdowns)</t>
        </is>
      </c>
    </row>
    <row r="72">
      <c r="A72" s="4" t="inlineStr">
        <is>
          <t>WH11</t>
        </is>
      </c>
      <c r="B72" s="4" t="inlineStr">
        <is>
          <t>Guwahati DC</t>
        </is>
      </c>
      <c r="C72" s="4" t="inlineStr">
        <is>
          <t>East</t>
        </is>
      </c>
      <c r="D72" s="4" t="inlineStr">
        <is>
          <t>Conveyor Line</t>
        </is>
      </c>
      <c r="E72" s="4" t="n">
        <v>1</v>
      </c>
      <c r="F72" s="13" t="n">
        <v>8.5</v>
      </c>
      <c r="G72" s="20" t="n">
        <v>59.4</v>
      </c>
      <c r="H72" s="20" t="n">
        <v>34.2</v>
      </c>
      <c r="I72" s="20" t="n">
        <v>6.4</v>
      </c>
      <c r="J72" s="4" t="n">
        <v>35</v>
      </c>
      <c r="K72" s="11" t="n">
        <v>2308597</v>
      </c>
      <c r="L72" s="11" t="n">
        <v>324</v>
      </c>
      <c r="M72" s="11" t="n">
        <v>201932</v>
      </c>
      <c r="N72" s="4" t="n">
        <v>0</v>
      </c>
      <c r="O72" s="4" t="inlineStr">
        <is>
          <t>OK</t>
        </is>
      </c>
    </row>
    <row r="73">
      <c r="A73" s="4" t="inlineStr">
        <is>
          <t>WH11</t>
        </is>
      </c>
      <c r="B73" s="4" t="inlineStr">
        <is>
          <t>Guwahati DC</t>
        </is>
      </c>
      <c r="C73" s="4" t="inlineStr">
        <is>
          <t>East</t>
        </is>
      </c>
      <c r="D73" s="4" t="inlineStr">
        <is>
          <t>Delivery Truck</t>
        </is>
      </c>
      <c r="E73" s="4" t="n">
        <v>2</v>
      </c>
      <c r="F73" s="13" t="n">
        <v>5</v>
      </c>
      <c r="G73" s="20" t="n">
        <v>81.59999999999999</v>
      </c>
      <c r="H73" s="20" t="n">
        <v>13.8</v>
      </c>
      <c r="I73" s="20" t="n">
        <v>4.5</v>
      </c>
      <c r="J73" s="4" t="n">
        <v>37</v>
      </c>
      <c r="K73" s="11" t="n">
        <v>2220883</v>
      </c>
      <c r="L73" s="11" t="n">
        <v>188.9</v>
      </c>
      <c r="M73" s="11" t="n">
        <v>235927</v>
      </c>
      <c r="N73" s="4" t="n">
        <v>0</v>
      </c>
      <c r="O73" s="4" t="inlineStr">
        <is>
          <t>OK</t>
        </is>
      </c>
    </row>
    <row r="74">
      <c r="A74" s="4" t="inlineStr">
        <is>
          <t>WH11</t>
        </is>
      </c>
      <c r="B74" s="4" t="inlineStr">
        <is>
          <t>Guwahati DC</t>
        </is>
      </c>
      <c r="C74" s="4" t="inlineStr">
        <is>
          <t>East</t>
        </is>
      </c>
      <c r="D74" s="4" t="inlineStr">
        <is>
          <t>Electric Pallet Jack</t>
        </is>
      </c>
      <c r="E74" s="4" t="n">
        <v>2</v>
      </c>
      <c r="F74" s="13" t="n">
        <v>4.1</v>
      </c>
      <c r="G74" s="20" t="n">
        <v>91.3</v>
      </c>
      <c r="H74" s="20" t="n">
        <v>4.3</v>
      </c>
      <c r="I74" s="20" t="n">
        <v>4.4</v>
      </c>
      <c r="J74" s="4" t="n">
        <v>31</v>
      </c>
      <c r="K74" s="11" t="n">
        <v>503832</v>
      </c>
      <c r="L74" s="11" t="n">
        <v>28.7</v>
      </c>
      <c r="M74" s="11" t="n">
        <v>29813</v>
      </c>
      <c r="N74" s="4" t="n">
        <v>-1</v>
      </c>
      <c r="O74" s="4" t="inlineStr">
        <is>
          <t>UNDER-PROVISIONED (overstretched)</t>
        </is>
      </c>
    </row>
    <row r="75">
      <c r="A75" s="4" t="inlineStr">
        <is>
          <t>WH11</t>
        </is>
      </c>
      <c r="B75" s="4" t="inlineStr">
        <is>
          <t>Guwahati DC</t>
        </is>
      </c>
      <c r="C75" s="4" t="inlineStr">
        <is>
          <t>East</t>
        </is>
      </c>
      <c r="D75" s="4" t="inlineStr">
        <is>
          <t>Forklift (Electric)</t>
        </is>
      </c>
      <c r="E75" s="4" t="n">
        <v>1</v>
      </c>
      <c r="F75" s="13" t="n">
        <v>3.6</v>
      </c>
      <c r="G75" s="20" t="n">
        <v>93.59999999999999</v>
      </c>
      <c r="H75" s="20" t="n">
        <v>0</v>
      </c>
      <c r="I75" s="20" t="n">
        <v>6.4</v>
      </c>
      <c r="J75" s="4" t="n">
        <v>42</v>
      </c>
      <c r="K75" s="11" t="n">
        <v>1558958</v>
      </c>
      <c r="L75" s="11" t="n">
        <v>173.4</v>
      </c>
      <c r="M75" s="11" t="n">
        <v>0</v>
      </c>
      <c r="N75" s="4" t="n">
        <v>0</v>
      </c>
      <c r="O75" s="4" t="inlineStr">
        <is>
          <t>UNDER-PROVISIONED (overstretched)</t>
        </is>
      </c>
    </row>
    <row r="76">
      <c r="A76" s="4" t="inlineStr">
        <is>
          <t>WH11</t>
        </is>
      </c>
      <c r="B76" s="4" t="inlineStr">
        <is>
          <t>Guwahati DC</t>
        </is>
      </c>
      <c r="C76" s="4" t="inlineStr">
        <is>
          <t>East</t>
        </is>
      </c>
      <c r="D76" s="4" t="inlineStr">
        <is>
          <t>Reach Truck</t>
        </is>
      </c>
      <c r="E76" s="4" t="n">
        <v>1</v>
      </c>
      <c r="F76" s="13" t="n">
        <v>7</v>
      </c>
      <c r="G76" s="20" t="n">
        <v>90.2</v>
      </c>
      <c r="H76" s="20" t="n">
        <v>3.8</v>
      </c>
      <c r="I76" s="20" t="n">
        <v>6</v>
      </c>
      <c r="J76" s="4" t="n">
        <v>34</v>
      </c>
      <c r="K76" s="11" t="n">
        <v>2180307</v>
      </c>
      <c r="L76" s="11" t="n">
        <v>251.7</v>
      </c>
      <c r="M76" s="11" t="n">
        <v>35041</v>
      </c>
      <c r="N76" s="4" t="n">
        <v>0</v>
      </c>
      <c r="O76" s="4" t="inlineStr">
        <is>
          <t>UNDER-PROVISIONED (overstretched)</t>
        </is>
      </c>
    </row>
    <row r="77">
      <c r="A77" s="4" t="inlineStr">
        <is>
          <t>WH12</t>
        </is>
      </c>
      <c r="B77" s="4" t="inlineStr">
        <is>
          <t>Nagpur DC</t>
        </is>
      </c>
      <c r="C77" s="4" t="inlineStr">
        <is>
          <t>Central</t>
        </is>
      </c>
      <c r="D77" s="4" t="inlineStr">
        <is>
          <t>Conveyor Line</t>
        </is>
      </c>
      <c r="E77" s="4" t="n">
        <v>1</v>
      </c>
      <c r="F77" s="13" t="n">
        <v>3.3</v>
      </c>
      <c r="G77" s="20" t="n">
        <v>78.5</v>
      </c>
      <c r="H77" s="20" t="n">
        <v>18</v>
      </c>
      <c r="I77" s="20" t="n">
        <v>3.5</v>
      </c>
      <c r="J77" s="4" t="n">
        <v>13</v>
      </c>
      <c r="K77" s="11" t="n">
        <v>1142693</v>
      </c>
      <c r="L77" s="11" t="n">
        <v>121.3</v>
      </c>
      <c r="M77" s="11" t="n">
        <v>78029</v>
      </c>
      <c r="N77" s="4" t="n">
        <v>0</v>
      </c>
      <c r="O77" s="4" t="inlineStr">
        <is>
          <t>OK</t>
        </is>
      </c>
    </row>
    <row r="78">
      <c r="A78" s="4" t="inlineStr">
        <is>
          <t>WH12</t>
        </is>
      </c>
      <c r="B78" s="4" t="inlineStr">
        <is>
          <t>Nagpur DC</t>
        </is>
      </c>
      <c r="C78" s="4" t="inlineStr">
        <is>
          <t>Central</t>
        </is>
      </c>
      <c r="D78" s="4" t="inlineStr">
        <is>
          <t>Delivery Truck</t>
        </is>
      </c>
      <c r="E78" s="4" t="n">
        <v>3</v>
      </c>
      <c r="F78" s="13" t="n">
        <v>7.9</v>
      </c>
      <c r="G78" s="20" t="n">
        <v>73.09999999999999</v>
      </c>
      <c r="H78" s="20" t="n">
        <v>20.6</v>
      </c>
      <c r="I78" s="20" t="n">
        <v>6.3</v>
      </c>
      <c r="J78" s="4" t="n">
        <v>84</v>
      </c>
      <c r="K78" s="11" t="n">
        <v>4688499</v>
      </c>
      <c r="L78" s="11" t="n">
        <v>296.8</v>
      </c>
      <c r="M78" s="11" t="n">
        <v>581851</v>
      </c>
      <c r="N78" s="4" t="n">
        <v>0</v>
      </c>
      <c r="O78" s="4" t="inlineStr">
        <is>
          <t>OK</t>
        </is>
      </c>
    </row>
    <row r="79">
      <c r="A79" s="4" t="inlineStr">
        <is>
          <t>WH12</t>
        </is>
      </c>
      <c r="B79" s="4" t="inlineStr">
        <is>
          <t>Nagpur DC</t>
        </is>
      </c>
      <c r="C79" s="4" t="inlineStr">
        <is>
          <t>Central</t>
        </is>
      </c>
      <c r="D79" s="4" t="inlineStr">
        <is>
          <t>Electric Pallet Jack</t>
        </is>
      </c>
      <c r="E79" s="4" t="n">
        <v>4</v>
      </c>
      <c r="F79" s="13" t="n">
        <v>6.1</v>
      </c>
      <c r="G79" s="20" t="n">
        <v>65.5</v>
      </c>
      <c r="H79" s="20" t="n">
        <v>29.5</v>
      </c>
      <c r="I79" s="20" t="n">
        <v>5</v>
      </c>
      <c r="J79" s="4" t="n">
        <v>71</v>
      </c>
      <c r="K79" s="11" t="n">
        <v>1178066</v>
      </c>
      <c r="L79" s="11" t="n">
        <v>46.9</v>
      </c>
      <c r="M79" s="11" t="n">
        <v>412093</v>
      </c>
      <c r="N79" s="4" t="n">
        <v>0</v>
      </c>
      <c r="O79" s="4" t="inlineStr">
        <is>
          <t>OK</t>
        </is>
      </c>
    </row>
    <row r="80">
      <c r="A80" s="4" t="inlineStr">
        <is>
          <t>WH12</t>
        </is>
      </c>
      <c r="B80" s="4" t="inlineStr">
        <is>
          <t>Nagpur DC</t>
        </is>
      </c>
      <c r="C80" s="4" t="inlineStr">
        <is>
          <t>Central</t>
        </is>
      </c>
      <c r="D80" s="4" t="inlineStr">
        <is>
          <t>Forklift (Electric)</t>
        </is>
      </c>
      <c r="E80" s="4" t="n">
        <v>3</v>
      </c>
      <c r="F80" s="13" t="n">
        <v>4.8</v>
      </c>
      <c r="G80" s="20" t="n">
        <v>65.7</v>
      </c>
      <c r="H80" s="20" t="n">
        <v>29.9</v>
      </c>
      <c r="I80" s="20" t="n">
        <v>4.4</v>
      </c>
      <c r="J80" s="4" t="n">
        <v>49</v>
      </c>
      <c r="K80" s="11" t="n">
        <v>1988629</v>
      </c>
      <c r="L80" s="11" t="n">
        <v>105.1</v>
      </c>
      <c r="M80" s="11" t="n">
        <v>556798</v>
      </c>
      <c r="N80" s="4" t="n">
        <v>0</v>
      </c>
      <c r="O80" s="4" t="inlineStr">
        <is>
          <t>OK</t>
        </is>
      </c>
    </row>
    <row r="81">
      <c r="A81" s="4" t="inlineStr">
        <is>
          <t>WH12</t>
        </is>
      </c>
      <c r="B81" s="4" t="inlineStr">
        <is>
          <t>Nagpur DC</t>
        </is>
      </c>
      <c r="C81" s="4" t="inlineStr">
        <is>
          <t>Central</t>
        </is>
      </c>
      <c r="D81" s="4" t="inlineStr">
        <is>
          <t>Reach Truck</t>
        </is>
      </c>
      <c r="E81" s="4" t="n">
        <v>2</v>
      </c>
      <c r="F81" s="13" t="n">
        <v>5.5</v>
      </c>
      <c r="G81" s="20" t="n">
        <v>65.09999999999999</v>
      </c>
      <c r="H81" s="20" t="n">
        <v>30.2</v>
      </c>
      <c r="I81" s="20" t="n">
        <v>4.7</v>
      </c>
      <c r="J81" s="4" t="n">
        <v>33</v>
      </c>
      <c r="K81" s="11" t="n">
        <v>2334387</v>
      </c>
      <c r="L81" s="11" t="n">
        <v>186.8</v>
      </c>
      <c r="M81" s="11" t="n">
        <v>555496</v>
      </c>
      <c r="N81" s="4" t="n">
        <v>0</v>
      </c>
      <c r="O81" s="4" t="inlineStr">
        <is>
          <t>OK</t>
        </is>
      </c>
    </row>
  </sheetData>
  <autoFilter ref="A21:O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2026-10-15T17:31:17Z</dcterms:created>
  <dcterms:modified xmlns:dcterms="http://purl.org/dc/terms/" xmlns:xsi="http://www.w3.org/2001/XMLSchema-instance" xsi:type="dcterms:W3CDTF">2026-10-15T17:31:22Z</dcterms:modified>
</cp:coreProperties>
</file>